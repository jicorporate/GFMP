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IMYAÉDITION\source\repos\GFMP\"/>
    </mc:Choice>
  </mc:AlternateContent>
  <xr:revisionPtr revIDLastSave="0" documentId="13_ncr:1_{13603719-1174-4E99-85EB-CB10F973045D}" xr6:coauthVersionLast="47" xr6:coauthVersionMax="47" xr10:uidLastSave="{00000000-0000-0000-0000-000000000000}"/>
  <bookViews>
    <workbookView xWindow="-120" yWindow="480" windowWidth="24240" windowHeight="13140" xr2:uid="{15E60B8E-A9EB-4C8E-B9A6-575A59F00C56}"/>
  </bookViews>
  <sheets>
    <sheet name="Dermatoses Bulleuses CNHU HKM" sheetId="2" r:id="rId1"/>
    <sheet name="Rapport_Complet" sheetId="3" r:id="rId2"/>
  </sheets>
  <definedNames>
    <definedName name="ExternalData_1" localSheetId="0" hidden="1">'Dermatoses Bulleuses CNHU HKM'!$A$1:$V$131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54" i="3" l="1"/>
  <c r="E253" i="3"/>
  <c r="D253" i="3"/>
  <c r="C253" i="3"/>
  <c r="B253" i="3"/>
  <c r="E252" i="3"/>
  <c r="D252" i="3"/>
  <c r="C252" i="3"/>
  <c r="B252" i="3"/>
  <c r="E251" i="3"/>
  <c r="D251" i="3"/>
  <c r="C251" i="3"/>
  <c r="B251" i="3"/>
  <c r="E250" i="3"/>
  <c r="D250" i="3"/>
  <c r="C250" i="3"/>
  <c r="B250" i="3"/>
  <c r="E249" i="3"/>
  <c r="D249" i="3"/>
  <c r="C249" i="3"/>
  <c r="B249" i="3"/>
  <c r="D244" i="3"/>
  <c r="C244" i="3"/>
  <c r="B244" i="3"/>
  <c r="D243" i="3"/>
  <c r="C243" i="3"/>
  <c r="B243" i="3"/>
  <c r="D242" i="3"/>
  <c r="C242" i="3"/>
  <c r="B242" i="3"/>
  <c r="C236" i="3"/>
  <c r="B236" i="3"/>
  <c r="C235" i="3"/>
  <c r="B235" i="3"/>
  <c r="C234" i="3"/>
  <c r="B234" i="3"/>
  <c r="C233" i="3"/>
  <c r="B233" i="3"/>
  <c r="C229" i="3"/>
  <c r="B229" i="3"/>
  <c r="C228" i="3"/>
  <c r="B228" i="3"/>
  <c r="C227" i="3"/>
  <c r="B227" i="3"/>
  <c r="C223" i="3"/>
  <c r="B223" i="3"/>
  <c r="C222" i="3"/>
  <c r="B222" i="3"/>
  <c r="C218" i="3"/>
  <c r="B218" i="3"/>
  <c r="C217" i="3"/>
  <c r="B217" i="3"/>
  <c r="C216" i="3"/>
  <c r="B216" i="3"/>
  <c r="B212" i="3"/>
  <c r="C207" i="3"/>
  <c r="B207" i="3"/>
  <c r="C206" i="3"/>
  <c r="B206" i="3"/>
  <c r="C205" i="3"/>
  <c r="B205" i="3"/>
  <c r="C204" i="3"/>
  <c r="B204" i="3"/>
  <c r="C200" i="3"/>
  <c r="B200" i="3"/>
  <c r="C199" i="3"/>
  <c r="B199" i="3"/>
  <c r="C198" i="3"/>
  <c r="B198" i="3"/>
  <c r="C194" i="3"/>
  <c r="B194" i="3"/>
  <c r="C193" i="3"/>
  <c r="B193" i="3"/>
  <c r="C189" i="3"/>
  <c r="B189" i="3"/>
  <c r="C188" i="3"/>
  <c r="B188" i="3"/>
  <c r="C187" i="3"/>
  <c r="B187" i="3"/>
  <c r="B183" i="3"/>
  <c r="C176" i="3"/>
  <c r="B176" i="3"/>
  <c r="C175" i="3"/>
  <c r="B175" i="3"/>
  <c r="C174" i="3"/>
  <c r="B174" i="3"/>
  <c r="C173" i="3"/>
  <c r="B173" i="3"/>
  <c r="C169" i="3"/>
  <c r="B169" i="3"/>
  <c r="C168" i="3"/>
  <c r="B168" i="3"/>
  <c r="C167" i="3"/>
  <c r="B167" i="3"/>
  <c r="C163" i="3"/>
  <c r="B163" i="3"/>
  <c r="C162" i="3"/>
  <c r="B162" i="3"/>
  <c r="C158" i="3"/>
  <c r="B158" i="3"/>
  <c r="C157" i="3"/>
  <c r="B157" i="3"/>
  <c r="B153" i="3"/>
  <c r="C148" i="3"/>
  <c r="B148" i="3"/>
  <c r="C147" i="3"/>
  <c r="B147" i="3"/>
  <c r="C146" i="3"/>
  <c r="B146" i="3"/>
  <c r="C145" i="3"/>
  <c r="B145" i="3"/>
  <c r="C141" i="3"/>
  <c r="B141" i="3"/>
  <c r="C140" i="3"/>
  <c r="B140" i="3"/>
  <c r="C139" i="3"/>
  <c r="B139" i="3"/>
  <c r="C135" i="3"/>
  <c r="B135" i="3"/>
  <c r="C134" i="3"/>
  <c r="B134" i="3"/>
  <c r="C130" i="3"/>
  <c r="B130" i="3"/>
  <c r="C129" i="3"/>
  <c r="B129" i="3"/>
  <c r="B125" i="3"/>
  <c r="C120" i="3"/>
  <c r="B120" i="3"/>
  <c r="C119" i="3"/>
  <c r="B119" i="3"/>
  <c r="C118" i="3"/>
  <c r="B118" i="3"/>
  <c r="C117" i="3"/>
  <c r="B117" i="3"/>
  <c r="C113" i="3"/>
  <c r="B113" i="3"/>
  <c r="C112" i="3"/>
  <c r="B112" i="3"/>
  <c r="C111" i="3"/>
  <c r="B111" i="3"/>
  <c r="C107" i="3"/>
  <c r="B107" i="3"/>
  <c r="C106" i="3"/>
  <c r="B106" i="3"/>
  <c r="C102" i="3"/>
  <c r="B102" i="3"/>
  <c r="C101" i="3"/>
  <c r="B101" i="3"/>
  <c r="B97" i="3"/>
  <c r="C92" i="3"/>
  <c r="B92" i="3"/>
  <c r="C91" i="3"/>
  <c r="B91" i="3"/>
  <c r="C90" i="3"/>
  <c r="B90" i="3"/>
  <c r="C89" i="3"/>
  <c r="B89" i="3"/>
  <c r="B82" i="3"/>
  <c r="B81" i="3"/>
  <c r="B80" i="3"/>
  <c r="B79" i="3"/>
  <c r="C75" i="3"/>
  <c r="B75" i="3"/>
  <c r="C74" i="3"/>
  <c r="B74" i="3"/>
  <c r="C73" i="3"/>
  <c r="B73" i="3"/>
  <c r="C72" i="3"/>
  <c r="B72" i="3"/>
  <c r="C71" i="3"/>
  <c r="B71" i="3"/>
  <c r="C67" i="3"/>
  <c r="B67" i="3"/>
  <c r="C66" i="3"/>
  <c r="B66" i="3"/>
  <c r="C65" i="3"/>
  <c r="B65" i="3"/>
  <c r="C64" i="3"/>
  <c r="B64" i="3"/>
  <c r="C60" i="3"/>
  <c r="B60" i="3"/>
  <c r="C59" i="3"/>
  <c r="B59" i="3"/>
  <c r="C58" i="3"/>
  <c r="B58" i="3"/>
  <c r="C57" i="3"/>
  <c r="B57" i="3"/>
  <c r="C56" i="3"/>
  <c r="B56" i="3"/>
  <c r="C55" i="3"/>
  <c r="B55" i="3"/>
  <c r="B54" i="3"/>
  <c r="C50" i="3"/>
  <c r="B50" i="3"/>
  <c r="C49" i="3"/>
  <c r="B49" i="3"/>
  <c r="C48" i="3"/>
  <c r="B48" i="3"/>
  <c r="C47" i="3"/>
  <c r="B47" i="3"/>
  <c r="C43" i="3"/>
  <c r="B43" i="3" a="1"/>
  <c r="B43" i="3" s="1"/>
  <c r="C42" i="3"/>
  <c r="B42" i="3" a="1"/>
  <c r="B42" i="3" s="1"/>
  <c r="C41" i="3"/>
  <c r="B41" i="3" a="1"/>
  <c r="B41" i="3" s="1"/>
  <c r="C40" i="3"/>
  <c r="B40" i="3" a="1"/>
  <c r="B40" i="3" s="1"/>
  <c r="B36" i="3"/>
  <c r="B35" i="3"/>
  <c r="B34" i="3"/>
  <c r="B33" i="3"/>
  <c r="C29" i="3"/>
  <c r="B29" i="3"/>
  <c r="C28" i="3"/>
  <c r="B28" i="3"/>
  <c r="C27" i="3"/>
  <c r="B27" i="3"/>
  <c r="C23" i="3"/>
  <c r="B23" i="3"/>
  <c r="C22" i="3"/>
  <c r="B22" i="3"/>
  <c r="C18" i="3"/>
  <c r="B18" i="3"/>
  <c r="C17" i="3"/>
  <c r="B17" i="3"/>
  <c r="B13" i="3"/>
  <c r="B12" i="3"/>
  <c r="B11" i="3"/>
  <c r="B10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4D07A3-4D3E-47A8-8D92-AD840650DB19}" keepAlive="1" name="Query - Dermatoses Bulleuses CNHU HKM" description="Connection to the 'Dermatoses Bulleuses CNHU HKM' query in the workbook." type="5" refreshedVersion="8" background="1" saveData="1">
    <dbPr connection="Provider=Microsoft.Mashup.OleDb.1;Data Source=$Workbook$;Location=&quot;Dermatoses Bulleuses CNHU HKM&quot;;Extended Properties=&quot;&quot;" command="SELECT * FROM [Dermatoses Bulleuses CNHU HKM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<sst xmlns="http://schemas.openxmlformats.org/spreadsheetml/2006/main" count="1305" uniqueCount="240">
  <si>
    <t>_id</t>
  </si>
  <si>
    <t>start</t>
  </si>
  <si>
    <t>end</t>
  </si>
  <si>
    <t>today</t>
  </si>
  <si>
    <t>Âge (en mois)</t>
  </si>
  <si>
    <t>age_years_calc</t>
  </si>
  <si>
    <t>Sexe</t>
  </si>
  <si>
    <t>Profession</t>
  </si>
  <si>
    <t>Date de consultation</t>
  </si>
  <si>
    <t>Délai de consultation (en jours)</t>
  </si>
  <si>
    <t>Notion de prise médicamenteuse</t>
  </si>
  <si>
    <t>Préciser le ou les médicament(s)</t>
  </si>
  <si>
    <t>Type d'atteinte</t>
  </si>
  <si>
    <t>Surface corporelle atteinte</t>
  </si>
  <si>
    <t>Signes associés</t>
  </si>
  <si>
    <t>Préciser l'autre signe</t>
  </si>
  <si>
    <t>Catégorie de la dermatose</t>
  </si>
  <si>
    <t>Dermatose Auto-immune</t>
  </si>
  <si>
    <t>Dermatose Infectieuse</t>
  </si>
  <si>
    <t>Toxidermie</t>
  </si>
  <si>
    <t>Dermatose Immunoallergique</t>
  </si>
  <si>
    <t>Préciser l'autre diagnostic</t>
  </si>
  <si>
    <t>Homme</t>
  </si>
  <si>
    <t>Aucune</t>
  </si>
  <si>
    <t>Non</t>
  </si>
  <si>
    <t>Cutanée seule</t>
  </si>
  <si>
    <t>Autre</t>
  </si>
  <si>
    <t>Aucun</t>
  </si>
  <si>
    <t>Infectieuse</t>
  </si>
  <si>
    <t>Épidermolyse staphylococcique</t>
  </si>
  <si>
    <t>Femme</t>
  </si>
  <si>
    <t>Ménagère</t>
  </si>
  <si>
    <t>Oui</t>
  </si>
  <si>
    <t>Amoxicilline</t>
  </si>
  <si>
    <t>Prurit</t>
  </si>
  <si>
    <t>EPF Bulleux</t>
  </si>
  <si>
    <t>Sociologue</t>
  </si>
  <si>
    <t>Doxycycline CP,, nitrofurantoin cp</t>
  </si>
  <si>
    <t>Cutanée et muqueuse</t>
  </si>
  <si>
    <t>Commerçant</t>
  </si>
  <si>
    <t>Auto-immune</t>
  </si>
  <si>
    <t>Dermatose à IgA linéaire</t>
  </si>
  <si>
    <t>Enseignante</t>
  </si>
  <si>
    <t>Aerius cp,flagyl cp,lincocyne cp</t>
  </si>
  <si>
    <t>Pemphigoïde bulleuse</t>
  </si>
  <si>
    <t>Vendeuse</t>
  </si>
  <si>
    <t>Cotrimoxazole, ibuprofene, quinine, paracetamol, metronidazole</t>
  </si>
  <si>
    <t>Autre à préciser...</t>
  </si>
  <si>
    <t>Érythème pigmenté fixe</t>
  </si>
  <si>
    <t>Cultivateur</t>
  </si>
  <si>
    <t>Griseofilvine cp, polaramine cp, cetimizine cp, deslora denk, atarax 25mg</t>
  </si>
  <si>
    <t>Prurit Fièvre</t>
  </si>
  <si>
    <t>Erytrodermie</t>
  </si>
  <si>
    <t>Coiffeuse</t>
  </si>
  <si>
    <t>Vitafer sirop, forcan 150mg, lorhist cp</t>
  </si>
  <si>
    <t>Epidermolyse bulleuse acquise</t>
  </si>
  <si>
    <t>Agent commercial</t>
  </si>
  <si>
    <t>Duccay keylaneHD</t>
  </si>
  <si>
    <t>Muqueuse seule</t>
  </si>
  <si>
    <t>Douleur Fièvre</t>
  </si>
  <si>
    <t>Fièvre Autre</t>
  </si>
  <si>
    <t>Plaies buccales</t>
  </si>
  <si>
    <t>Secrétaire</t>
  </si>
  <si>
    <t>Sérum anti tétanique, asmocet L cp</t>
  </si>
  <si>
    <t>Syndrome de Lyell</t>
  </si>
  <si>
    <t>Technicien</t>
  </si>
  <si>
    <t>Forcan 150mg</t>
  </si>
  <si>
    <t>Pneumatique</t>
  </si>
  <si>
    <t>Ceftriaxone inj, gentamicine inj, celestene, Diclofénac, Polaramine</t>
  </si>
  <si>
    <t>Douleur Prurit</t>
  </si>
  <si>
    <t>Syndrome de chevauchement</t>
  </si>
  <si>
    <t>Informaticienne</t>
  </si>
  <si>
    <t>Sédaspir cp, ibuprofen cp</t>
  </si>
  <si>
    <t>Fièvre</t>
  </si>
  <si>
    <t>Syndrome de Stevens Johnson</t>
  </si>
  <si>
    <t>Fleuriste</t>
  </si>
  <si>
    <t>Griseofulvine, cloxacilline, flagyl cp,</t>
  </si>
  <si>
    <t>Commerçante</t>
  </si>
  <si>
    <t>Cloxacilline</t>
  </si>
  <si>
    <t>Écolière</t>
  </si>
  <si>
    <t>Amoxicilline cp, quinine cp, paracéamol 500mg, bactrim cp, fluconazole suspension, doprex collyre</t>
  </si>
  <si>
    <t>Élève</t>
  </si>
  <si>
    <t>Ciprofloxacin comprimés</t>
  </si>
  <si>
    <t>Érythème polymorphe mineur</t>
  </si>
  <si>
    <t>Étudiant</t>
  </si>
  <si>
    <t>Épidermolyse bulleuse acquise</t>
  </si>
  <si>
    <t>Écolier</t>
  </si>
  <si>
    <t>Phytothérapie</t>
  </si>
  <si>
    <t>Douleur</t>
  </si>
  <si>
    <t>Frissons</t>
  </si>
  <si>
    <t>Revendeuse</t>
  </si>
  <si>
    <t>Pemphigus paranéoplasique</t>
  </si>
  <si>
    <t>Cotrimoxazole</t>
  </si>
  <si>
    <t>Douleur Autre</t>
  </si>
  <si>
    <t>Sensation de brulure</t>
  </si>
  <si>
    <t>Amoxicilline, paracétamol cp</t>
  </si>
  <si>
    <t>Coartem, aspirine</t>
  </si>
  <si>
    <t>Étudiante</t>
  </si>
  <si>
    <t>Dermatite herpétiforme</t>
  </si>
  <si>
    <t>Technicienne de laboratoire</t>
  </si>
  <si>
    <t>Diclofenac comprimés</t>
  </si>
  <si>
    <t>Impétigo bulleux</t>
  </si>
  <si>
    <t>Phenobarbital, previscan, myorel, cortancyl</t>
  </si>
  <si>
    <t>Retraité</t>
  </si>
  <si>
    <t>Xeloda, caprcitabine</t>
  </si>
  <si>
    <t>Sulfadoxine-pyriméthamine</t>
  </si>
  <si>
    <t>Sulfadoxine-pyriméthamine, amoxicilline, paracétamol</t>
  </si>
  <si>
    <t>Agent de PTT</t>
  </si>
  <si>
    <t>Erythromicine, flucoxacilline cp, cloxacilline cp</t>
  </si>
  <si>
    <t>Bactrim cp, paracétamol cp, vermifuge</t>
  </si>
  <si>
    <t>Douleur Prurit Fièvre</t>
  </si>
  <si>
    <t>Médecin chirurgien</t>
  </si>
  <si>
    <t>Neuroleptil</t>
  </si>
  <si>
    <t>Fucomax cp, Advil sirop, ceftriaxone inj, gentamicine injectable, aspegic injectable</t>
  </si>
  <si>
    <t>Professeur à la retraite</t>
  </si>
  <si>
    <t>Nifelat retard</t>
  </si>
  <si>
    <t>Apprentie coiffeuse</t>
  </si>
  <si>
    <t>Ibuprofene cp, sulfamides cp</t>
  </si>
  <si>
    <t>Administrateur en gestion de projet</t>
  </si>
  <si>
    <t>Métamizole cp, spiramycine cp, metronidazole cp</t>
  </si>
  <si>
    <t>Prurit Autre</t>
  </si>
  <si>
    <t>Picotements et chaleur</t>
  </si>
  <si>
    <t>Moringa</t>
  </si>
  <si>
    <t>Rougeur conjonctivale, érosion buccale</t>
  </si>
  <si>
    <t>Nifluril cp, bactrim cp,</t>
  </si>
  <si>
    <t>Militaire</t>
  </si>
  <si>
    <t>Metronidazole cp, powergésic, deslora denk, cotipred, atarax 25mg</t>
  </si>
  <si>
    <t>Érythème polymorphe majeur</t>
  </si>
  <si>
    <t>Paracétamol</t>
  </si>
  <si>
    <t>Lamotrigine</t>
  </si>
  <si>
    <t>Enseignant</t>
  </si>
  <si>
    <t>Zona</t>
  </si>
  <si>
    <t>Lupus bulleux</t>
  </si>
  <si>
    <t>Comptable</t>
  </si>
  <si>
    <t>Non précisé</t>
  </si>
  <si>
    <t>Arthemeter lumefantrine, paracétamol</t>
  </si>
  <si>
    <t>Pemphigus vulgaire</t>
  </si>
  <si>
    <t>Guérisseur traditionnel</t>
  </si>
  <si>
    <t>Paracétamol, ibuprofène</t>
  </si>
  <si>
    <t>Metamizole sodique</t>
  </si>
  <si>
    <t>Bronquidiazina</t>
  </si>
  <si>
    <t>Couturière</t>
  </si>
  <si>
    <t>Epidermolyse bulleuse héréditaire</t>
  </si>
  <si>
    <t>Infirmière</t>
  </si>
  <si>
    <t>Immunoallergique</t>
  </si>
  <si>
    <t>Lichen bulleux</t>
  </si>
  <si>
    <t>Juriste</t>
  </si>
  <si>
    <t>DHBANN</t>
  </si>
  <si>
    <t>Paracétamol, phytothérapie</t>
  </si>
  <si>
    <t>Chauffeur</t>
  </si>
  <si>
    <t>Directeur de microfinances</t>
  </si>
  <si>
    <t>Arthemeter lumefantrine</t>
  </si>
  <si>
    <t>Réalisateur de films</t>
  </si>
  <si>
    <t>Mécanicien</t>
  </si>
  <si>
    <t>Trimethoprine + sulfamethoxazole</t>
  </si>
  <si>
    <t>Technicien multimédia</t>
  </si>
  <si>
    <t>Décoratrice</t>
  </si>
  <si>
    <t>AsuDenk (Artesunate + Sulfamethoxypyrazine)</t>
  </si>
  <si>
    <t>Institutrice</t>
  </si>
  <si>
    <t>Tegretol LP 400mg</t>
  </si>
  <si>
    <t>Rivotril cp(clonazépam)</t>
  </si>
  <si>
    <t>Ibuprofène</t>
  </si>
  <si>
    <t>Exanthème véiculo bulleux</t>
  </si>
  <si>
    <t>Dexamethazone</t>
  </si>
  <si>
    <t>Ibuprofene cp, antibiotique x, antalgiques y</t>
  </si>
  <si>
    <t>Arthemeter lumefantrine, phytothérapie</t>
  </si>
  <si>
    <t>Assistante de direction</t>
  </si>
  <si>
    <t>Arthéméther luméfantrine, cac1000</t>
  </si>
  <si>
    <t>Triexyphénidyle chlorhydrate cp, halopenidol cp, phénobarbital cp, carbamazépine cp</t>
  </si>
  <si>
    <t>Inconnu</t>
  </si>
  <si>
    <t>Astaph cp</t>
  </si>
  <si>
    <t>Ingénieur</t>
  </si>
  <si>
    <t>Vitrier</t>
  </si>
  <si>
    <t>Sulfate de pyrymethadoxine</t>
  </si>
  <si>
    <t>Amoxicilline cp</t>
  </si>
  <si>
    <t>Eczéma bulleux</t>
  </si>
  <si>
    <t>RAPPORT DERMATOSES BULLEUSES CNHU HKM</t>
  </si>
  <si>
    <t>SECTION 1: POPULATION TOTALE</t>
  </si>
  <si>
    <t>Nombre total de répondants:</t>
  </si>
  <si>
    <t>STATISTIQUES D'ÂGE (en années)</t>
  </si>
  <si>
    <t>Statistique</t>
  </si>
  <si>
    <t>Valeur</t>
  </si>
  <si>
    <t>Moyenne</t>
  </si>
  <si>
    <t>Médiane</t>
  </si>
  <si>
    <t>Mode</t>
  </si>
  <si>
    <t>Écart-type</t>
  </si>
  <si>
    <t>SEXE</t>
  </si>
  <si>
    <t>Fréquence</t>
  </si>
  <si>
    <t>Pourcentage</t>
  </si>
  <si>
    <t>NOTION DE PRISE MÉDICAMENTEUSE</t>
  </si>
  <si>
    <t>TYPE D'ATTEINTE</t>
  </si>
  <si>
    <t>SURFACE CORPORELLE ATTEINTE</t>
  </si>
  <si>
    <t>SIGNES ASSOCIÉS</t>
  </si>
  <si>
    <t>CATÉGORIE DE LA DERMATOSE</t>
  </si>
  <si>
    <t>DERMATOSE AUTO-IMMUNE</t>
  </si>
  <si>
    <t>DERMATOSE INFECTIEUSE</t>
  </si>
  <si>
    <t>TOXIDERMIE</t>
  </si>
  <si>
    <t>DÉLAI DE CONSULTATION (en jours)</t>
  </si>
  <si>
    <t>SECTION 2: ANALYSE PAR TRANCHE D'ÂGE</t>
  </si>
  <si>
    <t>RÉPARTITION PAR TRANCHE D'ÂGE</t>
  </si>
  <si>
    <t>Tranche d'âge</t>
  </si>
  <si>
    <t>0-18 ans</t>
  </si>
  <si>
    <t>19-60 ans</t>
  </si>
  <si>
    <t>&gt;60 ans</t>
  </si>
  <si>
    <t>TOTAL</t>
  </si>
  <si>
    <t>2.1 TRANCHE D'ÂGE: 0-18 ANS</t>
  </si>
  <si>
    <t>Effectif (0-18 ans):</t>
  </si>
  <si>
    <t>SEXE (0-18 ans)</t>
  </si>
  <si>
    <t>NOTION DE PRISE MÉDICAMENTEUSE (0-18 ans)</t>
  </si>
  <si>
    <t>TYPE D'ATTEINTE (0-18 ans)</t>
  </si>
  <si>
    <t>CATÉGORIE DE LA DERMATOSE (0-18 ans)</t>
  </si>
  <si>
    <t>2.2 TRANCHE D'ÂGE: 19-60 ANS</t>
  </si>
  <si>
    <t>Effectif (19-60 ans):</t>
  </si>
  <si>
    <t>SEXE (19-60 ans)</t>
  </si>
  <si>
    <t>NOTION DE PRISE MÉDICAMENTEUSE (19-60 ans)</t>
  </si>
  <si>
    <t>TYPE D'ATTEINTE (19-60 ans)</t>
  </si>
  <si>
    <t>CATÉGORIE DE LA DERMATOSE (19-60 ans)</t>
  </si>
  <si>
    <t>2.3 TRANCHE D'ÂGE: PLUS DE 60 ANS</t>
  </si>
  <si>
    <t>Effectif (&gt;60 ans):</t>
  </si>
  <si>
    <t>SEXE (&gt;60 ans)</t>
  </si>
  <si>
    <t>NOTION DE PRISE MÉDICAMENTEUSE (&gt;60 ans)</t>
  </si>
  <si>
    <t>TYPE D'ATTEINTE (&gt;60 ans)</t>
  </si>
  <si>
    <t>CATÉGORIE DE LA DERMATOSE (&gt;60 ans)</t>
  </si>
  <si>
    <t>SECTION 3: ANALYSE PAR SEXE</t>
  </si>
  <si>
    <t>3.1 SEXE: FEMME</t>
  </si>
  <si>
    <t>Effectif (Femmes):</t>
  </si>
  <si>
    <t>RÉPARTITION PAR ÂGE (Femmes)</t>
  </si>
  <si>
    <t>NOTION DE PRISE MÉDICAMENTEUSE (Femmes)</t>
  </si>
  <si>
    <t>TYPE D'ATTEINTE (Femmes)</t>
  </si>
  <si>
    <t>CATÉGORIE DE LA DERMATOSE (Femmes)</t>
  </si>
  <si>
    <t>3.2 SEXE: HOMME</t>
  </si>
  <si>
    <t>Effectif (Hommes):</t>
  </si>
  <si>
    <t>RÉPARTITION PAR ÂGE (Hommes)</t>
  </si>
  <si>
    <t>NOTION DE PRISE MÉDICAMENTEUSE (Hommes)</t>
  </si>
  <si>
    <t>TYPE D'ATTEINTE (Hommes)</t>
  </si>
  <si>
    <t>CATÉGORIE DE LA DERMATOSE (Hommes)</t>
  </si>
  <si>
    <t>SECTION 4: TABLEAU CROISÉ SEXE x TRANCHE D'ÂGE</t>
  </si>
  <si>
    <t>Total</t>
  </si>
  <si>
    <t>TABLEAU CROISÉ CATÉGORIE DE DERMATOSE x TRANCHE D'ÂGE</t>
  </si>
  <si>
    <t>Catégorie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</si>
</sst>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theme="1"/>
      <name val="ADLaM Display"/>
      <family val="2"/>
    </font>
    <font>
      <b/>
      <sz val="18"/>
      <color theme="1"/>
      <name val="ADLaM Display"/>
    </font>
    <font>
      <sz val="10"/>
      <color theme="1"/>
      <name val="ADLaM Display"/>
    </font>
    <font>
      <i/>
      <sz val="10"/>
      <color theme="1"/>
      <name val="ADLaM Display"/>
    </font>
    <font>
      <b/>
      <sz val="14"/>
      <color rgb="FFFFFFFF"/>
      <name val="ADLaM Display"/>
    </font>
    <font>
      <b/>
      <sz val="10"/>
      <color theme="1"/>
      <name val="ADLaM Display"/>
    </font>
    <font>
      <b/>
      <sz val="12"/>
      <color rgb="FFFFFFFF"/>
      <name val="ADLaM Display"/>
    </font>
  </fonts>
  <fills count="1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FF69B4"/>
        <bgColor indexed="64"/>
      </patternFill>
    </fill>
    <fill>
      <patternFill patternType="solid">
        <fgColor rgb="FFFFB6C1"/>
        <bgColor indexed="64"/>
      </patternFill>
    </fill>
    <fill>
      <patternFill patternType="solid">
        <fgColor rgb="FF4169E1"/>
        <bgColor indexed="64"/>
      </patternFill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22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2" fontId="2" fillId="0" borderId="0" xfId="0" applyNumberFormat="1" applyFont="1"/>
    <xf numFmtId="0" fontId="6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5" fillId="7" borderId="0" xfId="0" applyFont="1" applyFill="1"/>
    <xf numFmtId="0" fontId="6" fillId="8" borderId="0" xfId="0" applyFont="1" applyFill="1"/>
    <xf numFmtId="0" fontId="5" fillId="9" borderId="0" xfId="0" applyFont="1" applyFill="1"/>
    <xf numFmtId="0" fontId="6" fillId="10" borderId="0" xfId="0" applyFont="1" applyFill="1"/>
    <xf numFmtId="0" fontId="5" fillId="11" borderId="0" xfId="0" applyFont="1" applyFill="1"/>
    <xf numFmtId="0" fontId="6" fillId="12" borderId="0" xfId="0" applyFont="1" applyFill="1"/>
    <xf numFmtId="0" fontId="5" fillId="13" borderId="0" xfId="0" applyFont="1" applyFill="1"/>
    <xf numFmtId="0" fontId="5" fillId="3" borderId="0" xfId="0" applyFont="1" applyFill="1"/>
    <xf numFmtId="0" fontId="3" fillId="0" borderId="0" xfId="0" applyFon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27" formatCode="m/d/yyyy\ h:mm"/>
    </dxf>
    <dxf>
      <numFmt numFmtId="27" formatCode="m/d/yyyy\ h:mm"/>
    </dxf>
  </dxfs>
  <tableStyles count="1" defaultTableStyle="TableStyleMedium2" defaultPivotStyle="PivotStyleLight16">
    <tableStyle name="Invisible" pivot="0" table="0" count="0" xr9:uid="{D7B5179E-2BAD-4C68-AFC0-1F478DC8098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Sexe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4C-4F6B-AA16-DB889DBDD8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4C-4F6B-AA16-DB889DBDD8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Rapport_Complet!$A$17:$A$18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Rapport_Complet!$B$17:$B$18</c:f>
              <c:numCache>
                <c:formatCode>General</c:formatCode>
                <c:ptCount val="2"/>
                <c:pt idx="0">
                  <c:v>74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9C-41E5-91C8-2ABB2D1944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la dermatose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3571432337698142E-3"/>
                  <c:y val="-9.71725016584084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DBD-40C3-B88D-8B8A601B62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Rapport_Complet!$A$47:$A$50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Rapport_Complet!$C$47:$C$50</c:f>
              <c:numCache>
                <c:formatCode>0.00</c:formatCode>
                <c:ptCount val="4"/>
                <c:pt idx="0">
                  <c:v>57.692307692307686</c:v>
                </c:pt>
                <c:pt idx="1">
                  <c:v>23.846153846153847</c:v>
                </c:pt>
                <c:pt idx="2">
                  <c:v>14.615384615384617</c:v>
                </c:pt>
                <c:pt idx="3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BD-40C3-B88D-8B8A601B62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9727"/>
        <c:axId val="520246847"/>
      </c:barChart>
      <c:catAx>
        <c:axId val="52024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6847"/>
        <c:crosses val="autoZero"/>
        <c:auto val="1"/>
        <c:lblAlgn val="ctr"/>
        <c:lblOffset val="100"/>
        <c:noMultiLvlLbl val="0"/>
      </c:catAx>
      <c:valAx>
        <c:axId val="5202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Notion de prise médicamenteuse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2E-4419-B143-681A64F214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2E-4419-B143-681A64F214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Rapport_Complet!$A$22:$A$23</c:f>
              <c:strCache>
                <c:ptCount val="2"/>
                <c:pt idx="0">
                  <c:v>Oui</c:v>
                </c:pt>
                <c:pt idx="1">
                  <c:v>Non</c:v>
                </c:pt>
              </c:strCache>
            </c:strRef>
          </c:cat>
          <c:val>
            <c:numRef>
              <c:f>Rapport_Complet!$C$22:$C$23</c:f>
              <c:numCache>
                <c:formatCode>0.00</c:formatCode>
                <c:ptCount val="2"/>
                <c:pt idx="0">
                  <c:v>52.307692307692314</c:v>
                </c:pt>
                <c:pt idx="1">
                  <c:v>47.692307692307693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C-418E-8108-E6082BB661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 d'atteinte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0C85-4CCC-885A-68848AFA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Rapport_Complet!$A$27:$A$29</c:f>
              <c:strCache>
                <c:ptCount val="3"/>
                <c:pt idx="0">
                  <c:v>Cutanée seule</c:v>
                </c:pt>
                <c:pt idx="1">
                  <c:v>Cutanée et muqueuse</c:v>
                </c:pt>
                <c:pt idx="2">
                  <c:v>Muqueuse seule</c:v>
                </c:pt>
              </c:strCache>
            </c:strRef>
          </c:cat>
          <c:val>
            <c:numRef>
              <c:f>Rapport_Complet!$C$27:$C$29</c:f>
              <c:numCache>
                <c:formatCode>0.00</c:formatCode>
                <c:ptCount val="3"/>
                <c:pt idx="0">
                  <c:v>51.538461538461533</c:v>
                </c:pt>
                <c:pt idx="1">
                  <c:v>46.153846153846153</c:v>
                </c:pt>
                <c:pt idx="2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5-4CCC-885A-68848AFA4B5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2527"/>
        <c:axId val="520257407"/>
      </c:barChart>
      <c:catAx>
        <c:axId val="5202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57407"/>
        <c:crosses val="autoZero"/>
        <c:auto val="1"/>
        <c:lblAlgn val="ctr"/>
        <c:lblOffset val="100"/>
        <c:noMultiLvlLbl val="0"/>
      </c:catAx>
      <c:valAx>
        <c:axId val="52025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99-4EDE-83D6-779B5E4A6B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9-4EDE-83D6-779B5E4A6B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99-4EDE-83D6-779B5E4A6B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Rapport_Complet!$A$89:$A$91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Rapport_Complet!$C$89:$C$91</c:f>
              <c:numCache>
                <c:formatCode>0.00</c:formatCode>
                <c:ptCount val="3"/>
                <c:pt idx="0">
                  <c:v>33.076923076923073</c:v>
                </c:pt>
                <c:pt idx="1">
                  <c:v>46.92307692307692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BC0-881F-C9793A5019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Toxidermie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Rapport_Complet!$A$71:$A$75</c:f>
              <c:strCache>
                <c:ptCount val="5"/>
                <c:pt idx="0">
                  <c:v>EPF Bulleux</c:v>
                </c:pt>
                <c:pt idx="1">
                  <c:v>Syndrome de Stevens Johnson</c:v>
                </c:pt>
                <c:pt idx="2">
                  <c:v>Syndrome de Lyell</c:v>
                </c:pt>
                <c:pt idx="3">
                  <c:v>Syndrome de chevauchement</c:v>
                </c:pt>
                <c:pt idx="4">
                  <c:v>Autre à préciser...</c:v>
                </c:pt>
              </c:strCache>
            </c:strRef>
          </c:cat>
          <c:val>
            <c:numRef>
              <c:f>Rapport_Complet!$B$71:$B$75</c:f>
              <c:numCache>
                <c:formatCode>General</c:formatCode>
                <c:ptCount val="5"/>
                <c:pt idx="0">
                  <c:v>25</c:v>
                </c:pt>
                <c:pt idx="1">
                  <c:v>20</c:v>
                </c:pt>
                <c:pt idx="2">
                  <c:v>15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7-43AA-A156-C3FC234A8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260767"/>
        <c:axId val="520270847"/>
      </c:barChart>
      <c:catAx>
        <c:axId val="52026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70847"/>
        <c:crosses val="autoZero"/>
        <c:auto val="1"/>
        <c:lblAlgn val="ctr"/>
        <c:lblOffset val="100"/>
        <c:noMultiLvlLbl val="0"/>
      </c:catAx>
      <c:valAx>
        <c:axId val="52027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Auto-immune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Rapport_Complet!$A$54:$A$60</c:f>
              <c:strCache>
                <c:ptCount val="7"/>
                <c:pt idx="0">
                  <c:v>Pemphigoïde bulleuse</c:v>
                </c:pt>
                <c:pt idx="1">
                  <c:v>Pemphigus vulgaire</c:v>
                </c:pt>
                <c:pt idx="2">
                  <c:v>Pemphigus paranéoplasique</c:v>
                </c:pt>
                <c:pt idx="3">
                  <c:v>Dermatose à IgA linéaire</c:v>
                </c:pt>
                <c:pt idx="4">
                  <c:v>Épidermolyse bulleuse acquise</c:v>
                </c:pt>
                <c:pt idx="5">
                  <c:v>Dermatite herpétiforme</c:v>
                </c:pt>
                <c:pt idx="6">
                  <c:v>Autre à préciser...</c:v>
                </c:pt>
              </c:strCache>
            </c:strRef>
          </c:cat>
          <c:val>
            <c:numRef>
              <c:f>Rapport_Complet!$C$54:$C$60</c:f>
              <c:numCache>
                <c:formatCode>0.00</c:formatCode>
                <c:ptCount val="7"/>
                <c:pt idx="0">
                  <c:v>11.538461538461538</c:v>
                </c:pt>
                <c:pt idx="1">
                  <c:v>5.384615384615385</c:v>
                </c:pt>
                <c:pt idx="2">
                  <c:v>2.3076923076923079</c:v>
                </c:pt>
                <c:pt idx="3">
                  <c:v>0.76923076923076927</c:v>
                </c:pt>
                <c:pt idx="4">
                  <c:v>0.76923076923076927</c:v>
                </c:pt>
                <c:pt idx="5">
                  <c:v>0.76923076923076927</c:v>
                </c:pt>
                <c:pt idx="6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A-4329-BB55-95E9E6ED68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8927"/>
        <c:axId val="520269407"/>
      </c:barChart>
      <c:catAx>
        <c:axId val="5202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9407"/>
        <c:crosses val="autoZero"/>
        <c:auto val="1"/>
        <c:lblAlgn val="ctr"/>
        <c:lblOffset val="100"/>
        <c:noMultiLvlLbl val="0"/>
      </c:catAx>
      <c:valAx>
        <c:axId val="5202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8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Infectieuse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Rapport_Complet!$A$64:$A$67</c:f>
              <c:strCache>
                <c:ptCount val="4"/>
                <c:pt idx="0">
                  <c:v>Impétigo bulleux</c:v>
                </c:pt>
                <c:pt idx="1">
                  <c:v>Épidermolyse staphylococcique</c:v>
                </c:pt>
                <c:pt idx="2">
                  <c:v>DHBANN</c:v>
                </c:pt>
                <c:pt idx="3">
                  <c:v>Autre à préciser...</c:v>
                </c:pt>
              </c:strCache>
            </c:strRef>
          </c:cat>
          <c:val>
            <c:numRef>
              <c:f>Rapport_Complet!$C$64:$C$67</c:f>
              <c:numCache>
                <c:formatCode>0.00</c:formatCode>
                <c:ptCount val="4"/>
                <c:pt idx="0">
                  <c:v>7.6923076923076925</c:v>
                </c:pt>
                <c:pt idx="1">
                  <c:v>2.3076923076923079</c:v>
                </c:pt>
                <c:pt idx="2">
                  <c:v>1.5384615384615385</c:v>
                </c:pt>
                <c:pt idx="3">
                  <c:v>3.0769230769230771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E-45EC-BEA3-E753D474D8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6047"/>
        <c:axId val="520266527"/>
      </c:barChart>
      <c:catAx>
        <c:axId val="520266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527"/>
        <c:crosses val="autoZero"/>
        <c:auto val="1"/>
        <c:lblAlgn val="ctr"/>
        <c:lblOffset val="100"/>
        <c:noMultiLvlLbl val="0"/>
      </c:catAx>
      <c:valAx>
        <c:axId val="5202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CF-44DE-8FE6-15731CB1C9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CF-44DE-8FE6-15731CB1C9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Rapport_Complet!$A$101:$A$102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Rapport_Complet!$C$101:$C$102</c:f>
              <c:numCache>
                <c:formatCode>0.00</c:formatCode>
                <c:ptCount val="2"/>
                <c:pt idx="0">
                  <c:v>44.186046511627907</c:v>
                </c:pt>
                <c:pt idx="1">
                  <c:v>55.813953488372093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6-4797-9C8B-AE3A02FAC0A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Rapport_Complet!$A$117:$A$120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Rapport_Complet!$C$117:$C$120</c:f>
              <c:numCache>
                <c:formatCode>0.00</c:formatCode>
                <c:ptCount val="4"/>
                <c:pt idx="0">
                  <c:v>62.790697674418603</c:v>
                </c:pt>
                <c:pt idx="1">
                  <c:v>4.6511627906976747</c:v>
                </c:pt>
                <c:pt idx="2">
                  <c:v>30.232558139534881</c:v>
                </c:pt>
                <c:pt idx="3">
                  <c:v>2.3255813953488373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A-4F42-ACE9-A8865AC4D01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7087"/>
        <c:axId val="320020767"/>
      </c:barChart>
      <c:catAx>
        <c:axId val="32003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20767"/>
        <c:crosses val="autoZero"/>
        <c:auto val="1"/>
        <c:lblAlgn val="ctr"/>
        <c:lblOffset val="100"/>
        <c:noMultiLvlLbl val="0"/>
      </c:catAx>
      <c:valAx>
        <c:axId val="32002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5C-456C-BDE3-69C77390DE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5C-456C-BDE3-69C77390DE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Rapport_Complet!$A$129:$A$130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Rapport_Complet!$C$129:$C$130</c:f>
              <c:numCache>
                <c:formatCode>0.00</c:formatCode>
                <c:ptCount val="2"/>
                <c:pt idx="0">
                  <c:v>65.573770491803273</c:v>
                </c:pt>
                <c:pt idx="1">
                  <c:v>34.42622950819672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1-46F7-A69A-75ADCA305D7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Rapport_Complet!$A$145:$A$148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Rapport_Complet!$C$145:$C$148</c:f>
              <c:numCache>
                <c:formatCode>0.00</c:formatCode>
                <c:ptCount val="4"/>
                <c:pt idx="0">
                  <c:v>65.573770491803273</c:v>
                </c:pt>
                <c:pt idx="1">
                  <c:v>19.672131147540984</c:v>
                </c:pt>
                <c:pt idx="2">
                  <c:v>8.1967213114754092</c:v>
                </c:pt>
                <c:pt idx="3">
                  <c:v>6.557377049180328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B-47EA-9981-A110B58DF9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9967"/>
        <c:axId val="320040447"/>
      </c:barChart>
      <c:catAx>
        <c:axId val="32003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40447"/>
        <c:crosses val="autoZero"/>
        <c:auto val="1"/>
        <c:lblAlgn val="ctr"/>
        <c:lblOffset val="100"/>
        <c:noMultiLvlLbl val="0"/>
      </c:catAx>
      <c:valAx>
        <c:axId val="32004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CE-4B04-8B6E-DB9748292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CE-4B04-8B6E-DB9748292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Rapport_Complet!$A$157:$A$158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Rapport_Complet!$C$157:$C$158</c:f>
              <c:numCache>
                <c:formatCode>0.00</c:formatCode>
                <c:ptCount val="2"/>
                <c:pt idx="0">
                  <c:v>57.692307692307686</c:v>
                </c:pt>
                <c:pt idx="1">
                  <c:v>42.307692307692307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46A9-A3D3-F1B06B19FD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Rapport_Complet!$A$173:$A$176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Rapport_Complet!$C$173:$C$176</c:f>
              <c:numCache>
                <c:formatCode>0.00</c:formatCode>
                <c:ptCount val="4"/>
                <c:pt idx="0">
                  <c:v>30.76923076923077</c:v>
                </c:pt>
                <c:pt idx="1">
                  <c:v>65.384615384615387</c:v>
                </c:pt>
                <c:pt idx="2">
                  <c:v>3.8461538461538463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C-4932-B991-EAED0F4714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339631"/>
        <c:axId val="179324271"/>
      </c:barChart>
      <c:catAx>
        <c:axId val="179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24271"/>
        <c:crosses val="autoZero"/>
        <c:auto val="1"/>
        <c:lblAlgn val="ctr"/>
        <c:lblOffset val="100"/>
        <c:noMultiLvlLbl val="0"/>
      </c:catAx>
      <c:valAx>
        <c:axId val="1793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3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2F-4167-8DC0-612B25ED9D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2F-4167-8DC0-612B25ED9D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2F-4167-8DC0-612B25ED9D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Rapport_Complet!$A$187:$A$189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Rapport_Complet!$C$187:$C$189</c:f>
              <c:numCache>
                <c:formatCode>0.00</c:formatCode>
                <c:ptCount val="3"/>
                <c:pt idx="0">
                  <c:v>25.675675675675674</c:v>
                </c:pt>
                <c:pt idx="1">
                  <c:v>54.054054054054056</c:v>
                </c:pt>
                <c:pt idx="2">
                  <c:v>20.27027027027027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B-463D-8A52-8C03E24FB8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Rapport_Complet!$A$204:$A$207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Rapport_Complet!$C$204:$C$207</c:f>
              <c:numCache>
                <c:formatCode>0.00</c:formatCode>
                <c:ptCount val="4"/>
                <c:pt idx="0">
                  <c:v>58.108108108108105</c:v>
                </c:pt>
                <c:pt idx="1">
                  <c:v>28.378378378378379</c:v>
                </c:pt>
                <c:pt idx="2">
                  <c:v>9.4594594594594597</c:v>
                </c:pt>
                <c:pt idx="3">
                  <c:v>4.0540540540540544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D5-41D9-9824-083683A13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078991"/>
        <c:axId val="2114083311"/>
      </c:barChart>
      <c:catAx>
        <c:axId val="211407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83311"/>
        <c:crosses val="autoZero"/>
        <c:auto val="1"/>
        <c:lblAlgn val="ctr"/>
        <c:lblOffset val="100"/>
        <c:noMultiLvlLbl val="0"/>
      </c:catAx>
      <c:valAx>
        <c:axId val="21140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78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DC-4F2C-B527-88C58E9FCD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DC-4F2C-B527-88C58E9FCD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DC-4F2C-B527-88C58E9FCD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Rapport_Complet!$A$216:$A$218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Rapport_Complet!$C$216:$C$218</c:f>
              <c:numCache>
                <c:formatCode>0.00</c:formatCode>
                <c:ptCount val="3"/>
                <c:pt idx="0">
                  <c:v>42.857142857142854</c:v>
                </c:pt>
                <c:pt idx="1">
                  <c:v>37.5</c:v>
                </c:pt>
                <c:pt idx="2">
                  <c:v>19.642857142857142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5-4B85-B489-9C82E495596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Rapport_Complet!$A$233:$A$236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Rapport_Complet!$C$233:$C$236</c:f>
              <c:numCache>
                <c:formatCode>0.00</c:formatCode>
                <c:ptCount val="4"/>
                <c:pt idx="0">
                  <c:v>57.142857142857139</c:v>
                </c:pt>
                <c:pt idx="1">
                  <c:v>17.857142857142858</c:v>
                </c:pt>
                <c:pt idx="2">
                  <c:v>21.428571428571427</c:v>
                </c:pt>
                <c:pt idx="3">
                  <c:v>3.5714285714285712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36F-ABFF-462FF90F6AE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247"/>
        <c:axId val="1743762127"/>
      </c:barChart>
      <c:catAx>
        <c:axId val="17437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2127"/>
        <c:crosses val="autoZero"/>
        <c:auto val="1"/>
        <c:lblAlgn val="ctr"/>
        <c:lblOffset val="100"/>
        <c:noMultiLvlLbl val="0"/>
      </c:catAx>
      <c:valAx>
        <c:axId val="174376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Signes associés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Rapport_Complet!$A$40:$A$43</c:f>
              <c:strCache>
                <c:ptCount val="4"/>
                <c:pt idx="0">
                  <c:v>Prurit</c:v>
                </c:pt>
                <c:pt idx="1">
                  <c:v>Douleur</c:v>
                </c:pt>
                <c:pt idx="2">
                  <c:v>Fièvre</c:v>
                </c:pt>
                <c:pt idx="3">
                  <c:v>Autre</c:v>
                </c:pt>
              </c:strCache>
            </c:strRef>
          </c:cat>
          <c:val>
            <c:numRef>
              <c:f>Rapport_Complet!$C$40:$C$43</c:f>
              <c:numCache>
                <c:formatCode>0.00</c:formatCode>
                <c:ptCount val="4"/>
                <c:pt idx="0">
                  <c:v>54.615384615384613</c:v>
                </c:pt>
                <c:pt idx="1">
                  <c:v>42.307692307692307</c:v>
                </c:pt>
                <c:pt idx="2">
                  <c:v>13.846153846153847</c:v>
                </c:pt>
                <c:pt idx="3">
                  <c:v>19.230769230769234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B3-452A-984C-D6AD826920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1327"/>
        <c:axId val="1743781807"/>
      </c:barChart>
      <c:catAx>
        <c:axId val="174378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807"/>
        <c:crosses val="autoZero"/>
        <c:auto val="1"/>
        <c:lblAlgn val="ctr"/>
        <c:lblOffset val="100"/>
        <c:noMultiLvlLbl val="0"/>
      </c:catAx>
      <c:valAx>
        <c:axId val="174378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Sexe x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Rapport_Complet!$B$241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Rapport_Complet!$B$242:$B$243</c:f>
              <c:numCache>
                <c:formatCode>General</c:formatCode>
                <c:ptCount val="2"/>
                <c:pt idx="0">
                  <c:v>19</c:v>
                </c:pt>
                <c:pt idx="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9-4345-B254-7357D6DD8895}"/>
            </c:ext>
          </c:extLst>
        </c:ser>
        <c:ser>
          <c:idx val="1"/>
          <c:order val="1"/>
          <c:tx>
            <c:strRef>
              <c:f>Rapport_Complet!$C$241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Rapport_Complet!$C$242:$C$243</c:f>
              <c:numCache>
                <c:formatCode>General</c:formatCode>
                <c:ptCount val="2"/>
                <c:pt idx="0">
                  <c:v>40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9-4345-B254-7357D6DD8895}"/>
            </c:ext>
          </c:extLst>
        </c:ser>
        <c:ser>
          <c:idx val="2"/>
          <c:order val="2"/>
          <c:tx>
            <c:strRef>
              <c:f>Rapport_Complet!$D$241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Rapport_Complet!$D$242:$D$243</c:f>
              <c:numCache>
                <c:formatCode>General</c:formatCode>
                <c:ptCount val="2"/>
                <c:pt idx="0">
                  <c:v>15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9-4345-B254-7357D6DD88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727"/>
        <c:axId val="1743766927"/>
      </c:barChart>
      <c:catAx>
        <c:axId val="174377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6927"/>
        <c:crosses val="autoZero"/>
        <c:auto val="1"/>
        <c:lblAlgn val="ctr"/>
        <c:lblOffset val="100"/>
        <c:noMultiLvlLbl val="0"/>
      </c:catAx>
      <c:valAx>
        <c:axId val="174376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Rapport_Complet!$B$248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Rapport_Complet!$B$249:$B$252</c:f>
              <c:numCache>
                <c:formatCode>General</c:formatCode>
                <c:ptCount val="4"/>
                <c:pt idx="0">
                  <c:v>27</c:v>
                </c:pt>
                <c:pt idx="1">
                  <c:v>2</c:v>
                </c:pt>
                <c:pt idx="2">
                  <c:v>13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1-48E7-8C8B-88ABFDA9287B}"/>
            </c:ext>
          </c:extLst>
        </c:ser>
        <c:ser>
          <c:idx val="1"/>
          <c:order val="1"/>
          <c:tx>
            <c:strRef>
              <c:f>Rapport_Complet!$C$248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Rapport_Complet!$C$249:$C$252</c:f>
              <c:numCache>
                <c:formatCode>General</c:formatCode>
                <c:ptCount val="4"/>
                <c:pt idx="0">
                  <c:v>40</c:v>
                </c:pt>
                <c:pt idx="1">
                  <c:v>12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21-48E7-8C8B-88ABFDA9287B}"/>
            </c:ext>
          </c:extLst>
        </c:ser>
        <c:ser>
          <c:idx val="2"/>
          <c:order val="2"/>
          <c:tx>
            <c:strRef>
              <c:f>Rapport_Complet!$D$248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921-48E7-8C8B-88ABFDA9287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921-48E7-8C8B-88ABFDA928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Rapport_Complet!$D$249:$D$252</c:f>
              <c:numCache>
                <c:formatCode>General</c:formatCode>
                <c:ptCount val="4"/>
                <c:pt idx="0">
                  <c:v>8</c:v>
                </c:pt>
                <c:pt idx="1">
                  <c:v>17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21-48E7-8C8B-88ABFDA928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7567"/>
        <c:axId val="1743788527"/>
      </c:barChart>
      <c:catAx>
        <c:axId val="174378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8527"/>
        <c:crosses val="autoZero"/>
        <c:auto val="1"/>
        <c:lblAlgn val="ctr"/>
        <c:lblOffset val="100"/>
        <c:noMultiLvlLbl val="0"/>
      </c:catAx>
      <c:valAx>
        <c:axId val="174378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321733</xdr:colOff>
      <xdr:row>3</xdr:row>
      <xdr:rowOff>16933</xdr:rowOff>
    </xdr:from>
    <xdr:to>
      <xdr:col>16</xdr:col>
      <xdr:colOff>321733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0894C-E394-40DD-B62E-CAF474A46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110067</xdr:colOff>
      <xdr:row>58</xdr:row>
      <xdr:rowOff>135467</xdr:rowOff>
    </xdr:from>
    <xdr:to>
      <xdr:col>11</xdr:col>
      <xdr:colOff>110067</xdr:colOff>
      <xdr:row>74</xdr:row>
      <xdr:rowOff>135467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48016-7EDB-A27A-C55D-4DFBED3002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10</xdr:col>
      <xdr:colOff>677333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4FCED6-F2C9-EC02-8127-C600423C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143934</xdr:colOff>
      <xdr:row>26</xdr:row>
      <xdr:rowOff>127000</xdr:rowOff>
    </xdr:from>
    <xdr:to>
      <xdr:col>18</xdr:col>
      <xdr:colOff>143933</xdr:colOff>
      <xdr:row>42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460392-2131-A19C-2454-1C1E52BF4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85</xdr:row>
      <xdr:rowOff>186266</xdr:rowOff>
    </xdr:from>
    <xdr:to>
      <xdr:col>10</xdr:col>
      <xdr:colOff>677333</xdr:colOff>
      <xdr:row>101</xdr:row>
      <xdr:rowOff>186266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F8C0F8-50C4-B929-3CD7-F5B2F1373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228600</xdr:colOff>
      <xdr:row>78</xdr:row>
      <xdr:rowOff>160866</xdr:rowOff>
    </xdr:from>
    <xdr:to>
      <xdr:col>18</xdr:col>
      <xdr:colOff>228599</xdr:colOff>
      <xdr:row>94</xdr:row>
      <xdr:rowOff>110067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A3751A-CC61-DC65-0644-DE37391C9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474133</xdr:colOff>
      <xdr:row>44</xdr:row>
      <xdr:rowOff>101600</xdr:rowOff>
    </xdr:from>
    <xdr:to>
      <xdr:col>18</xdr:col>
      <xdr:colOff>474132</xdr:colOff>
      <xdr:row>60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627CF73-32AA-9C75-2501-40379A230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406401</xdr:colOff>
      <xdr:row>61</xdr:row>
      <xdr:rowOff>110067</xdr:rowOff>
    </xdr:from>
    <xdr:to>
      <xdr:col>18</xdr:col>
      <xdr:colOff>406400</xdr:colOff>
      <xdr:row>77</xdr:row>
      <xdr:rowOff>110067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00F5B2-4F75-DEEA-8945-6252C6170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127000</xdr:colOff>
      <xdr:row>96</xdr:row>
      <xdr:rowOff>67735</xdr:rowOff>
    </xdr:from>
    <xdr:to>
      <xdr:col>18</xdr:col>
      <xdr:colOff>126999</xdr:colOff>
      <xdr:row>112</xdr:row>
      <xdr:rowOff>67735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2B803A-3E7F-076A-D838-470AF10B50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220134</xdr:colOff>
      <xdr:row>114</xdr:row>
      <xdr:rowOff>118533</xdr:rowOff>
    </xdr:from>
    <xdr:to>
      <xdr:col>18</xdr:col>
      <xdr:colOff>220133</xdr:colOff>
      <xdr:row>130</xdr:row>
      <xdr:rowOff>118533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2D5530-9CFC-4782-57D6-B78C71D01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125</xdr:row>
      <xdr:rowOff>186266</xdr:rowOff>
    </xdr:from>
    <xdr:to>
      <xdr:col>10</xdr:col>
      <xdr:colOff>677333</xdr:colOff>
      <xdr:row>142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0A6D46-4654-61CC-EBD6-B1CAD395EA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660400</xdr:colOff>
      <xdr:row>141</xdr:row>
      <xdr:rowOff>8465</xdr:rowOff>
    </xdr:from>
    <xdr:to>
      <xdr:col>17</xdr:col>
      <xdr:colOff>660400</xdr:colOff>
      <xdr:row>157</xdr:row>
      <xdr:rowOff>8465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C917DAE-A223-3E09-ECD0-C72E1C4D5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154</xdr:row>
      <xdr:rowOff>0</xdr:rowOff>
    </xdr:from>
    <xdr:to>
      <xdr:col>10</xdr:col>
      <xdr:colOff>677333</xdr:colOff>
      <xdr:row>170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FEE54B3-7006-F23E-4FD2-1063B699C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321733</xdr:colOff>
      <xdr:row>167</xdr:row>
      <xdr:rowOff>160868</xdr:rowOff>
    </xdr:from>
    <xdr:to>
      <xdr:col>18</xdr:col>
      <xdr:colOff>321732</xdr:colOff>
      <xdr:row>183</xdr:row>
      <xdr:rowOff>160868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F47EF99-CE51-4702-90B0-A9FEBE095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183</xdr:row>
      <xdr:rowOff>186265</xdr:rowOff>
    </xdr:from>
    <xdr:to>
      <xdr:col>10</xdr:col>
      <xdr:colOff>677333</xdr:colOff>
      <xdr:row>199</xdr:row>
      <xdr:rowOff>186266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50B4CE7-D19F-D9FF-9BE4-1DE876F76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474133</xdr:colOff>
      <xdr:row>196</xdr:row>
      <xdr:rowOff>25400</xdr:rowOff>
    </xdr:from>
    <xdr:to>
      <xdr:col>18</xdr:col>
      <xdr:colOff>474132</xdr:colOff>
      <xdr:row>212</xdr:row>
      <xdr:rowOff>25400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5A089D4-8F1C-D32A-4F91-4676A3721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0</xdr:colOff>
      <xdr:row>212</xdr:row>
      <xdr:rowOff>186265</xdr:rowOff>
    </xdr:from>
    <xdr:to>
      <xdr:col>10</xdr:col>
      <xdr:colOff>677333</xdr:colOff>
      <xdr:row>228</xdr:row>
      <xdr:rowOff>186266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FCD7996-9D02-2ECD-4F69-D03A9D275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11</xdr:col>
      <xdr:colOff>381000</xdr:colOff>
      <xdr:row>224</xdr:row>
      <xdr:rowOff>101601</xdr:rowOff>
    </xdr:from>
    <xdr:to>
      <xdr:col>18</xdr:col>
      <xdr:colOff>380999</xdr:colOff>
      <xdr:row>240</xdr:row>
      <xdr:rowOff>101602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092B9F3-7910-6CFC-7D84-62A703559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93134</xdr:colOff>
      <xdr:row>39</xdr:row>
      <xdr:rowOff>143934</xdr:rowOff>
    </xdr:from>
    <xdr:to>
      <xdr:col>11</xdr:col>
      <xdr:colOff>93134</xdr:colOff>
      <xdr:row>55</xdr:row>
      <xdr:rowOff>143935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508F2C4-B0D3-7E67-36BC-A54B07F79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262467</xdr:colOff>
      <xdr:row>242</xdr:row>
      <xdr:rowOff>50799</xdr:rowOff>
    </xdr:from>
    <xdr:to>
      <xdr:col>19</xdr:col>
      <xdr:colOff>262467</xdr:colOff>
      <xdr:row>258</xdr:row>
      <xdr:rowOff>50800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865214E-C332-2759-CF7F-1330A146D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194734</xdr:colOff>
      <xdr:row>242</xdr:row>
      <xdr:rowOff>118533</xdr:rowOff>
    </xdr:from>
    <xdr:to>
      <xdr:col>12</xdr:col>
      <xdr:colOff>194733</xdr:colOff>
      <xdr:row>258</xdr:row>
      <xdr:rowOff>118534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F1984FF-D4E6-3082-92C8-A0F8392CE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25D3D7-E587-4CA0-939B-3359C050F9E0}" autoFormatId="16" applyNumberFormats="0" applyBorderFormats="0" applyFontFormats="0" applyPatternFormats="0" applyAlignmentFormats="0" applyWidthHeightFormats="0">
  <queryTableRefresh nextId="23">
    <queryTableFields count="22">
      <queryTableField id="1" name="_id" tableColumnId="1"/>
      <queryTableField id="2" name="start" tableColumnId="2"/>
      <queryTableField id="3" name="end" tableColumnId="3"/>
      <queryTableField id="4" name="today" tableColumnId="4"/>
      <queryTableField id="5" name="Âge (en mois)" tableColumnId="5"/>
      <queryTableField id="6" name="age_years_calc" tableColumnId="6"/>
      <queryTableField id="7" name="Sexe" tableColumnId="7"/>
      <queryTableField id="8" name="Profession" tableColumnId="8"/>
      <queryTableField id="9" name="Date de consultation" tableColumnId="9"/>
      <queryTableField id="10" name="Délai de consultation (en jours)" tableColumnId="10"/>
      <queryTableField id="11" name="Notion de prise médicamenteuse" tableColumnId="11"/>
      <queryTableField id="12" name="Préciser le ou les médicament(s)" tableColumnId="12"/>
      <queryTableField id="13" name="Type d'atteinte" tableColumnId="13"/>
      <queryTableField id="14" name="Surface corporelle atteinte" tableColumnId="14"/>
      <queryTableField id="15" name="Signes associés" tableColumnId="15"/>
      <queryTableField id="16" name="Préciser l'autre signe" tableColumnId="16"/>
      <queryTableField id="17" name="Catégorie de la dermatose" tableColumnId="17"/>
      <queryTableField id="18" name="Dermatose Auto-immune" tableColumnId="18"/>
      <queryTableField id="19" name="Dermatose Infectieuse" tableColumnId="19"/>
      <queryTableField id="20" name="Toxidermie" tableColumnId="20"/>
      <queryTableField id="21" name="Dermatose Immunoallergique" tableColumnId="21"/>
      <queryTableField id="22" name="Préciser l'autre diagnostic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38C1E1-2159-4388-B34E-D78BF2D367EE}" name="Dermatoses_Bulleuses_CNHU_HKM" displayName="Dermatoses_Bulleuses_CNHU_HKM" ref="A1:V131" tableType="queryTable" totalsRowShown="0">
  <autoFilter ref="A1:V131" xr:uid="{0E38C1E1-2159-4388-B34E-D78BF2D367EE}"/>
  <tableColumns count="22">
    <tableColumn id="1" xr3:uid="{889AEB71-9A91-4956-9D78-DA6109086436}" uniqueName="1" name="_id" queryTableFieldId="1"/>
    <tableColumn id="2" xr3:uid="{F5241D6C-7DE5-42A9-8A25-98BD8A23670C}" uniqueName="2" name="start" queryTableFieldId="2" dataDxfId="16"/>
    <tableColumn id="3" xr3:uid="{0085BA66-7872-4E7A-BC14-E901F4C1040A}" uniqueName="3" name="end" queryTableFieldId="3" dataDxfId="15"/>
    <tableColumn id="4" xr3:uid="{96F8265A-7C0A-4B71-AAEF-1FC76011EC3C}" uniqueName="4" name="today" queryTableFieldId="4" dataDxfId="14"/>
    <tableColumn id="5" xr3:uid="{16DAF7D2-4819-4E94-BEEF-DE1F58E59448}" uniqueName="5" name="Âge (en mois)" queryTableFieldId="5"/>
    <tableColumn id="6" xr3:uid="{8A738E5A-F578-4989-A695-EDC768142D7A}" uniqueName="6" name="age_years_calc" queryTableFieldId="6"/>
    <tableColumn id="7" xr3:uid="{5E00A5FC-9D92-4353-A051-C8B6F3E6644A}" uniqueName="7" name="Sexe" queryTableFieldId="7" dataDxfId="13"/>
    <tableColumn id="8" xr3:uid="{2D6784F8-355E-4336-81F3-8AA51685C60E}" uniqueName="8" name="Profession" queryTableFieldId="8" dataDxfId="12"/>
    <tableColumn id="9" xr3:uid="{28167740-405D-45BA-BDB5-31DCB9FA5F4D}" uniqueName="9" name="Date de consultation" queryTableFieldId="9" dataDxfId="11"/>
    <tableColumn id="10" xr3:uid="{ACA57843-C874-4655-B671-360A053B02FB}" uniqueName="10" name="Délai de consultation (en jours)" queryTableFieldId="10"/>
    <tableColumn id="11" xr3:uid="{532F84A5-F778-4A9E-B524-A8E5A759DF2A}" uniqueName="11" name="Notion de prise médicamenteuse" queryTableFieldId="11" dataDxfId="10"/>
    <tableColumn id="12" xr3:uid="{782B94AB-F0B3-44AC-B8B1-B4813943738A}" uniqueName="12" name="Préciser le ou les médicament(s)" queryTableFieldId="12" dataDxfId="9"/>
    <tableColumn id="13" xr3:uid="{9A774D2F-ABA2-4905-961E-087607318A69}" uniqueName="13" name="Type d'atteinte" queryTableFieldId="13" dataDxfId="8"/>
    <tableColumn id="14" xr3:uid="{181B2C81-3155-4130-BAFE-659F1839BCA4}" uniqueName="14" name="Surface corporelle atteinte" queryTableFieldId="14"/>
    <tableColumn id="15" xr3:uid="{5846F252-6A6D-4E71-9742-6B9651E6F0F5}" uniqueName="15" name="Signes associés" queryTableFieldId="15" dataDxfId="7"/>
    <tableColumn id="16" xr3:uid="{688F4CFA-EEC2-4660-AA43-9B43B5A043F8}" uniqueName="16" name="Préciser l'autre signe" queryTableFieldId="16" dataDxfId="6"/>
    <tableColumn id="17" xr3:uid="{063A20DE-F896-4172-B59E-0F66E66313D1}" uniqueName="17" name="Catégorie de la dermatose" queryTableFieldId="17" dataDxfId="5"/>
    <tableColumn id="18" xr3:uid="{2A2094B4-7BAD-4D5C-9CF2-0CA4FBBF1A11}" uniqueName="18" name="Dermatose Auto-immune" queryTableFieldId="18" dataDxfId="4"/>
    <tableColumn id="19" xr3:uid="{470FF3E0-BC97-4485-8868-46E4D315BCBC}" uniqueName="19" name="Dermatose Infectieuse" queryTableFieldId="19" dataDxfId="3"/>
    <tableColumn id="20" xr3:uid="{F899816F-2A59-4380-8E1D-D8A78361EB33}" uniqueName="20" name="Toxidermie" queryTableFieldId="20" dataDxfId="2"/>
    <tableColumn id="21" xr3:uid="{AD79F8C5-619A-4177-BDF8-2FE7F1E7E500}" uniqueName="21" name="Dermatose Immunoallergique" queryTableFieldId="21" dataDxfId="1"/>
    <tableColumn id="22" xr3:uid="{5412061F-94F8-446E-86A0-35334F30ACB5}" uniqueName="22" name="Préciser l'autre diagnostic" queryTableFieldId="22" dataDxfId="0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F6762-9649-44E7-B11C-7BB1AADC5C2A}">
  <dimension ref="A1:V131"/>
  <sheetViews>
    <sheetView tabSelected="1" workbookViewId="0">
      <selection activeCell="E17" sqref="E17"/>
    </sheetView>
  </sheetViews>
  <sheetFormatPr defaultRowHeight="14.25" x14ac:dyDescent="0.25"/>
  <cols>
    <col min="1" max="1" width="9.875" bestFit="1" customWidth="1"/>
    <col min="2" max="3" width="14.25" bestFit="1" customWidth="1"/>
    <col min="4" max="4" width="9.125" bestFit="1" customWidth="1"/>
    <col min="5" max="5" width="15.75" bestFit="1" customWidth="1"/>
    <col min="6" max="6" width="15.875" bestFit="1" customWidth="1"/>
    <col min="7" max="7" width="7.125" bestFit="1" customWidth="1"/>
    <col min="8" max="8" width="29.125" bestFit="1" customWidth="1"/>
    <col min="9" max="9" width="22" bestFit="1" customWidth="1"/>
    <col min="10" max="10" width="32.25" bestFit="1" customWidth="1"/>
    <col min="11" max="11" width="33" bestFit="1" customWidth="1"/>
    <col min="12" max="12" width="79.875" bestFit="1" customWidth="1"/>
    <col min="13" max="13" width="17.875" bestFit="1" customWidth="1"/>
    <col min="14" max="14" width="27.25" bestFit="1" customWidth="1"/>
    <col min="15" max="15" width="17.375" bestFit="1" customWidth="1"/>
    <col min="16" max="16" width="31.75" bestFit="1" customWidth="1"/>
    <col min="17" max="17" width="26.875" bestFit="1" customWidth="1"/>
    <col min="18" max="18" width="25.75" bestFit="1" customWidth="1"/>
    <col min="19" max="19" width="25.5" bestFit="1" customWidth="1"/>
    <col min="20" max="20" width="24.625" bestFit="1" customWidth="1"/>
    <col min="21" max="21" width="30" bestFit="1" customWidth="1"/>
    <col min="22" max="22" width="27.6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>
        <v>715501306</v>
      </c>
      <c r="B2" s="1">
        <v>46116.480437418984</v>
      </c>
      <c r="C2" s="1">
        <v>46116.483856608793</v>
      </c>
      <c r="D2" s="2">
        <v>46116</v>
      </c>
      <c r="E2">
        <v>1</v>
      </c>
      <c r="F2">
        <v>0.1</v>
      </c>
      <c r="G2" t="s">
        <v>22</v>
      </c>
      <c r="H2" t="s">
        <v>23</v>
      </c>
      <c r="I2" s="2">
        <v>42397</v>
      </c>
      <c r="J2">
        <v>9</v>
      </c>
      <c r="K2" t="s">
        <v>24</v>
      </c>
      <c r="M2" t="s">
        <v>25</v>
      </c>
      <c r="N2">
        <v>15</v>
      </c>
      <c r="O2" t="s">
        <v>26</v>
      </c>
      <c r="P2" t="s">
        <v>27</v>
      </c>
      <c r="Q2" t="s">
        <v>28</v>
      </c>
      <c r="S2" t="s">
        <v>29</v>
      </c>
    </row>
    <row r="3" spans="1:22" x14ac:dyDescent="0.25">
      <c r="A3">
        <v>715512334</v>
      </c>
      <c r="B3" s="1">
        <v>46116.483856956016</v>
      </c>
      <c r="C3" s="1">
        <v>46116.496881678242</v>
      </c>
      <c r="D3" s="2">
        <v>46116</v>
      </c>
      <c r="E3">
        <v>468</v>
      </c>
      <c r="F3">
        <v>39</v>
      </c>
      <c r="G3" t="s">
        <v>30</v>
      </c>
      <c r="H3" t="s">
        <v>31</v>
      </c>
      <c r="I3" s="2">
        <v>42418</v>
      </c>
      <c r="J3">
        <v>14</v>
      </c>
      <c r="K3" t="s">
        <v>32</v>
      </c>
      <c r="L3" t="s">
        <v>33</v>
      </c>
      <c r="M3" t="s">
        <v>25</v>
      </c>
      <c r="N3">
        <v>5</v>
      </c>
      <c r="O3" t="s">
        <v>34</v>
      </c>
      <c r="Q3" t="s">
        <v>19</v>
      </c>
      <c r="T3" t="s">
        <v>35</v>
      </c>
    </row>
    <row r="4" spans="1:22" x14ac:dyDescent="0.25">
      <c r="A4">
        <v>715636712</v>
      </c>
      <c r="B4" s="1">
        <v>46116.496882071762</v>
      </c>
      <c r="C4" s="1">
        <v>46116.63183322917</v>
      </c>
      <c r="D4" s="2">
        <v>46116</v>
      </c>
      <c r="E4">
        <v>324</v>
      </c>
      <c r="F4">
        <v>27</v>
      </c>
      <c r="G4" t="s">
        <v>22</v>
      </c>
      <c r="H4" t="s">
        <v>36</v>
      </c>
      <c r="I4" s="2">
        <v>42451</v>
      </c>
      <c r="J4">
        <v>7</v>
      </c>
      <c r="K4" t="s">
        <v>32</v>
      </c>
      <c r="L4" t="s">
        <v>37</v>
      </c>
      <c r="M4" t="s">
        <v>38</v>
      </c>
      <c r="N4">
        <v>3</v>
      </c>
      <c r="O4" t="s">
        <v>34</v>
      </c>
      <c r="Q4" t="s">
        <v>19</v>
      </c>
      <c r="T4" t="s">
        <v>35</v>
      </c>
    </row>
    <row r="5" spans="1:22" x14ac:dyDescent="0.25">
      <c r="A5">
        <v>715641743</v>
      </c>
      <c r="B5" s="1">
        <v>46116.631833819447</v>
      </c>
      <c r="C5" s="1">
        <v>46116.637224664351</v>
      </c>
      <c r="D5" s="2">
        <v>46116</v>
      </c>
      <c r="E5">
        <v>552</v>
      </c>
      <c r="F5">
        <v>46</v>
      </c>
      <c r="G5" t="s">
        <v>22</v>
      </c>
      <c r="H5" t="s">
        <v>39</v>
      </c>
      <c r="I5" s="2">
        <v>42388</v>
      </c>
      <c r="J5">
        <v>90</v>
      </c>
      <c r="K5" t="s">
        <v>24</v>
      </c>
      <c r="M5" t="s">
        <v>25</v>
      </c>
      <c r="N5">
        <v>6</v>
      </c>
      <c r="O5" t="s">
        <v>34</v>
      </c>
      <c r="Q5" t="s">
        <v>40</v>
      </c>
      <c r="R5" t="s">
        <v>41</v>
      </c>
    </row>
    <row r="6" spans="1:22" x14ac:dyDescent="0.25">
      <c r="A6">
        <v>718547936</v>
      </c>
      <c r="B6" s="1">
        <v>46119.907328344911</v>
      </c>
      <c r="C6" s="1">
        <v>46119.95221708333</v>
      </c>
      <c r="D6" s="2">
        <v>46119</v>
      </c>
      <c r="E6">
        <v>67</v>
      </c>
      <c r="F6">
        <v>5.6</v>
      </c>
      <c r="G6" t="s">
        <v>30</v>
      </c>
      <c r="H6" t="s">
        <v>42</v>
      </c>
      <c r="I6" s="2">
        <v>42929</v>
      </c>
      <c r="J6">
        <v>31</v>
      </c>
      <c r="K6" t="s">
        <v>32</v>
      </c>
      <c r="L6" t="s">
        <v>43</v>
      </c>
      <c r="M6" t="s">
        <v>25</v>
      </c>
      <c r="N6">
        <v>30</v>
      </c>
      <c r="O6" t="s">
        <v>26</v>
      </c>
      <c r="P6" t="s">
        <v>27</v>
      </c>
      <c r="Q6" t="s">
        <v>40</v>
      </c>
      <c r="R6" t="s">
        <v>44</v>
      </c>
    </row>
    <row r="7" spans="1:22" x14ac:dyDescent="0.25">
      <c r="A7">
        <v>718789179</v>
      </c>
      <c r="B7" s="1">
        <v>46119.962477847221</v>
      </c>
      <c r="C7" s="1">
        <v>46120.246203703704</v>
      </c>
      <c r="D7" s="2">
        <v>46119</v>
      </c>
      <c r="E7">
        <v>552</v>
      </c>
      <c r="F7">
        <v>46</v>
      </c>
      <c r="G7" t="s">
        <v>30</v>
      </c>
      <c r="H7" t="s">
        <v>45</v>
      </c>
      <c r="I7" s="2">
        <v>42765</v>
      </c>
      <c r="J7">
        <v>3</v>
      </c>
      <c r="K7" t="s">
        <v>32</v>
      </c>
      <c r="L7" t="s">
        <v>46</v>
      </c>
      <c r="M7" t="s">
        <v>25</v>
      </c>
      <c r="N7">
        <v>45</v>
      </c>
      <c r="O7" t="s">
        <v>26</v>
      </c>
      <c r="P7" t="s">
        <v>27</v>
      </c>
      <c r="Q7" t="s">
        <v>19</v>
      </c>
      <c r="T7" t="s">
        <v>47</v>
      </c>
      <c r="V7" t="s">
        <v>48</v>
      </c>
    </row>
    <row r="8" spans="1:22" x14ac:dyDescent="0.25">
      <c r="A8">
        <v>718806158</v>
      </c>
      <c r="B8" s="1">
        <v>46120.246205405092</v>
      </c>
      <c r="C8" s="1">
        <v>46120.257792083336</v>
      </c>
      <c r="D8" s="2">
        <v>46120</v>
      </c>
      <c r="E8">
        <v>516</v>
      </c>
      <c r="F8">
        <v>43</v>
      </c>
      <c r="G8" t="s">
        <v>22</v>
      </c>
      <c r="H8" t="s">
        <v>49</v>
      </c>
      <c r="I8" s="2">
        <v>42744</v>
      </c>
      <c r="J8">
        <v>63</v>
      </c>
      <c r="K8" t="s">
        <v>32</v>
      </c>
      <c r="L8" t="s">
        <v>50</v>
      </c>
      <c r="M8" t="s">
        <v>25</v>
      </c>
      <c r="N8">
        <v>80</v>
      </c>
      <c r="O8" t="s">
        <v>51</v>
      </c>
      <c r="Q8" t="s">
        <v>19</v>
      </c>
      <c r="T8" t="s">
        <v>47</v>
      </c>
      <c r="V8" t="s">
        <v>52</v>
      </c>
    </row>
    <row r="9" spans="1:22" x14ac:dyDescent="0.25">
      <c r="A9">
        <v>718947052</v>
      </c>
      <c r="B9" s="1">
        <v>46120.257793518518</v>
      </c>
      <c r="C9" s="1">
        <v>46120.344593321759</v>
      </c>
      <c r="D9" s="2">
        <v>46120</v>
      </c>
      <c r="E9">
        <v>456</v>
      </c>
      <c r="F9">
        <v>38</v>
      </c>
      <c r="G9" t="s">
        <v>30</v>
      </c>
      <c r="H9" t="s">
        <v>53</v>
      </c>
      <c r="I9" s="2">
        <v>42740</v>
      </c>
      <c r="J9">
        <v>6</v>
      </c>
      <c r="K9" t="s">
        <v>24</v>
      </c>
      <c r="M9" t="s">
        <v>25</v>
      </c>
      <c r="N9">
        <v>50</v>
      </c>
      <c r="O9" t="s">
        <v>26</v>
      </c>
      <c r="P9" t="s">
        <v>27</v>
      </c>
      <c r="Q9" t="s">
        <v>19</v>
      </c>
      <c r="T9" t="s">
        <v>35</v>
      </c>
    </row>
    <row r="10" spans="1:22" x14ac:dyDescent="0.25">
      <c r="A10">
        <v>719403589</v>
      </c>
      <c r="B10" s="1">
        <v>46120.344595243056</v>
      </c>
      <c r="C10" s="1">
        <v>46120.660881412034</v>
      </c>
      <c r="D10" s="2">
        <v>46120</v>
      </c>
      <c r="E10">
        <v>480</v>
      </c>
      <c r="F10">
        <v>40</v>
      </c>
      <c r="G10" t="s">
        <v>30</v>
      </c>
      <c r="H10" t="s">
        <v>45</v>
      </c>
      <c r="I10" s="2">
        <v>42793</v>
      </c>
      <c r="J10">
        <v>2310</v>
      </c>
      <c r="K10" t="s">
        <v>32</v>
      </c>
      <c r="L10" t="s">
        <v>54</v>
      </c>
      <c r="M10" t="s">
        <v>38</v>
      </c>
      <c r="N10">
        <v>60</v>
      </c>
      <c r="O10" t="s">
        <v>34</v>
      </c>
      <c r="Q10" t="s">
        <v>19</v>
      </c>
      <c r="T10" t="s">
        <v>47</v>
      </c>
      <c r="V10" t="s">
        <v>55</v>
      </c>
    </row>
    <row r="11" spans="1:22" x14ac:dyDescent="0.25">
      <c r="A11">
        <v>719426805</v>
      </c>
      <c r="B11" s="1">
        <v>46120.660883078701</v>
      </c>
      <c r="C11" s="1">
        <v>46120.675990266202</v>
      </c>
      <c r="D11" s="2">
        <v>46120</v>
      </c>
      <c r="E11">
        <v>288</v>
      </c>
      <c r="F11">
        <v>24</v>
      </c>
      <c r="G11" t="s">
        <v>30</v>
      </c>
      <c r="H11" t="s">
        <v>56</v>
      </c>
      <c r="I11" s="2">
        <v>42775</v>
      </c>
      <c r="J11">
        <v>93</v>
      </c>
      <c r="K11" t="s">
        <v>24</v>
      </c>
      <c r="M11" t="s">
        <v>38</v>
      </c>
      <c r="N11">
        <v>2</v>
      </c>
      <c r="O11" t="s">
        <v>34</v>
      </c>
      <c r="Q11" t="s">
        <v>28</v>
      </c>
      <c r="S11" t="s">
        <v>47</v>
      </c>
      <c r="V11" t="s">
        <v>48</v>
      </c>
    </row>
    <row r="12" spans="1:22" x14ac:dyDescent="0.25">
      <c r="A12">
        <v>722449196</v>
      </c>
      <c r="B12" s="1">
        <v>46120.675992256947</v>
      </c>
      <c r="C12" s="1">
        <v>46123.961871527776</v>
      </c>
      <c r="D12" s="2">
        <v>46120</v>
      </c>
      <c r="E12">
        <v>288</v>
      </c>
      <c r="F12">
        <v>24</v>
      </c>
      <c r="G12" t="s">
        <v>30</v>
      </c>
      <c r="H12" t="s">
        <v>56</v>
      </c>
      <c r="I12" s="2">
        <v>42775</v>
      </c>
      <c r="J12">
        <v>124</v>
      </c>
      <c r="K12" t="s">
        <v>32</v>
      </c>
      <c r="L12" t="s">
        <v>57</v>
      </c>
      <c r="M12" t="s">
        <v>38</v>
      </c>
      <c r="N12">
        <v>6</v>
      </c>
      <c r="O12" t="s">
        <v>26</v>
      </c>
      <c r="P12" t="s">
        <v>27</v>
      </c>
      <c r="Q12" t="s">
        <v>19</v>
      </c>
      <c r="T12" t="s">
        <v>35</v>
      </c>
    </row>
    <row r="13" spans="1:22" x14ac:dyDescent="0.25">
      <c r="A13">
        <v>722452001</v>
      </c>
      <c r="B13" s="1">
        <v>46123.961872615742</v>
      </c>
      <c r="C13" s="1">
        <v>46123.972492673609</v>
      </c>
      <c r="D13" s="2">
        <v>46123</v>
      </c>
      <c r="E13">
        <v>780</v>
      </c>
      <c r="F13">
        <v>65</v>
      </c>
      <c r="G13" t="s">
        <v>22</v>
      </c>
      <c r="H13" t="s">
        <v>49</v>
      </c>
      <c r="I13" s="2">
        <v>42913</v>
      </c>
      <c r="J13">
        <v>93</v>
      </c>
      <c r="K13" t="s">
        <v>24</v>
      </c>
      <c r="M13" t="s">
        <v>58</v>
      </c>
      <c r="N13">
        <v>30</v>
      </c>
      <c r="O13" t="s">
        <v>59</v>
      </c>
      <c r="Q13" t="s">
        <v>40</v>
      </c>
      <c r="R13" t="s">
        <v>44</v>
      </c>
    </row>
    <row r="14" spans="1:22" x14ac:dyDescent="0.25">
      <c r="A14">
        <v>722479386</v>
      </c>
      <c r="B14" s="1">
        <v>46123.972494340276</v>
      </c>
      <c r="C14" s="1">
        <v>46124.115919374999</v>
      </c>
      <c r="D14" s="2">
        <v>46123</v>
      </c>
      <c r="E14">
        <v>780</v>
      </c>
      <c r="F14">
        <v>65</v>
      </c>
      <c r="G14" t="s">
        <v>22</v>
      </c>
      <c r="H14" t="s">
        <v>49</v>
      </c>
      <c r="I14" s="2">
        <v>42913</v>
      </c>
      <c r="J14">
        <v>93</v>
      </c>
      <c r="K14" t="s">
        <v>24</v>
      </c>
      <c r="M14" t="s">
        <v>38</v>
      </c>
      <c r="N14">
        <v>20</v>
      </c>
      <c r="O14" t="s">
        <v>60</v>
      </c>
      <c r="P14" t="s">
        <v>61</v>
      </c>
      <c r="Q14" t="s">
        <v>40</v>
      </c>
      <c r="R14" t="s">
        <v>44</v>
      </c>
    </row>
    <row r="15" spans="1:22" x14ac:dyDescent="0.25">
      <c r="A15">
        <v>722480056</v>
      </c>
      <c r="B15" s="1">
        <v>46124.115920902776</v>
      </c>
      <c r="C15" s="1">
        <v>46124.121257777777</v>
      </c>
      <c r="D15" s="2">
        <v>46124</v>
      </c>
      <c r="E15">
        <v>504</v>
      </c>
      <c r="F15">
        <v>42</v>
      </c>
      <c r="G15" t="s">
        <v>30</v>
      </c>
      <c r="H15" t="s">
        <v>62</v>
      </c>
      <c r="I15" s="2">
        <v>42632</v>
      </c>
      <c r="J15">
        <v>13</v>
      </c>
      <c r="K15" t="s">
        <v>32</v>
      </c>
      <c r="L15" t="s">
        <v>63</v>
      </c>
      <c r="M15" t="s">
        <v>38</v>
      </c>
      <c r="N15">
        <v>7</v>
      </c>
      <c r="O15" t="s">
        <v>26</v>
      </c>
      <c r="P15" t="s">
        <v>27</v>
      </c>
      <c r="Q15" t="s">
        <v>19</v>
      </c>
      <c r="T15" t="s">
        <v>64</v>
      </c>
    </row>
    <row r="16" spans="1:22" x14ac:dyDescent="0.25">
      <c r="A16">
        <v>722480377</v>
      </c>
      <c r="B16" s="1">
        <v>46124.121259143518</v>
      </c>
      <c r="C16" s="1">
        <v>46124.123542719906</v>
      </c>
      <c r="D16" s="2">
        <v>46124</v>
      </c>
      <c r="E16">
        <v>480</v>
      </c>
      <c r="F16">
        <v>40</v>
      </c>
      <c r="G16" t="s">
        <v>30</v>
      </c>
      <c r="H16" t="s">
        <v>62</v>
      </c>
      <c r="I16" s="2">
        <v>42570</v>
      </c>
      <c r="J16">
        <v>31</v>
      </c>
      <c r="K16" t="s">
        <v>24</v>
      </c>
      <c r="M16" t="s">
        <v>25</v>
      </c>
      <c r="N16">
        <v>2</v>
      </c>
      <c r="O16" t="s">
        <v>26</v>
      </c>
      <c r="P16" t="s">
        <v>27</v>
      </c>
      <c r="Q16" t="s">
        <v>19</v>
      </c>
      <c r="T16" t="s">
        <v>35</v>
      </c>
    </row>
    <row r="17" spans="1:22" x14ac:dyDescent="0.25">
      <c r="A17">
        <v>722480792</v>
      </c>
      <c r="B17" s="1">
        <v>46124.123543657406</v>
      </c>
      <c r="C17" s="1">
        <v>46124.12669809028</v>
      </c>
      <c r="D17" s="2">
        <v>46124</v>
      </c>
      <c r="E17">
        <v>564</v>
      </c>
      <c r="F17">
        <v>47</v>
      </c>
      <c r="G17" t="s">
        <v>22</v>
      </c>
      <c r="H17" t="s">
        <v>65</v>
      </c>
      <c r="I17" s="2">
        <v>42535</v>
      </c>
      <c r="J17">
        <v>6</v>
      </c>
      <c r="K17" t="s">
        <v>32</v>
      </c>
      <c r="L17" t="s">
        <v>66</v>
      </c>
      <c r="M17" t="s">
        <v>25</v>
      </c>
      <c r="N17">
        <v>5</v>
      </c>
      <c r="O17" t="s">
        <v>26</v>
      </c>
      <c r="P17" t="s">
        <v>27</v>
      </c>
      <c r="Q17" t="s">
        <v>19</v>
      </c>
      <c r="T17" t="s">
        <v>35</v>
      </c>
    </row>
    <row r="18" spans="1:22" x14ac:dyDescent="0.25">
      <c r="A18">
        <v>722482063</v>
      </c>
      <c r="B18" s="1">
        <v>46124.126699201392</v>
      </c>
      <c r="C18" s="1">
        <v>46124.133647268522</v>
      </c>
      <c r="D18" s="2">
        <v>46124</v>
      </c>
      <c r="E18">
        <v>288</v>
      </c>
      <c r="F18">
        <v>24</v>
      </c>
      <c r="G18" t="s">
        <v>22</v>
      </c>
      <c r="H18" t="s">
        <v>67</v>
      </c>
      <c r="I18" s="2">
        <v>42527</v>
      </c>
      <c r="J18">
        <v>4</v>
      </c>
      <c r="K18" t="s">
        <v>32</v>
      </c>
      <c r="L18" t="s">
        <v>68</v>
      </c>
      <c r="M18" t="s">
        <v>25</v>
      </c>
      <c r="N18">
        <v>9</v>
      </c>
      <c r="O18" t="s">
        <v>69</v>
      </c>
      <c r="Q18" t="s">
        <v>19</v>
      </c>
      <c r="T18" t="s">
        <v>70</v>
      </c>
    </row>
    <row r="19" spans="1:22" x14ac:dyDescent="0.25">
      <c r="A19">
        <v>722619425</v>
      </c>
      <c r="B19" s="1">
        <v>46124.13364832176</v>
      </c>
      <c r="C19" s="1">
        <v>46124.456708136575</v>
      </c>
      <c r="D19" s="2">
        <v>46124</v>
      </c>
      <c r="E19">
        <v>252</v>
      </c>
      <c r="F19">
        <v>21</v>
      </c>
      <c r="G19" t="s">
        <v>30</v>
      </c>
      <c r="H19" t="s">
        <v>71</v>
      </c>
      <c r="I19" s="2">
        <v>42717</v>
      </c>
      <c r="J19">
        <v>14</v>
      </c>
      <c r="K19" t="s">
        <v>32</v>
      </c>
      <c r="L19" t="s">
        <v>72</v>
      </c>
      <c r="M19" t="s">
        <v>25</v>
      </c>
      <c r="N19">
        <v>33</v>
      </c>
      <c r="O19" t="s">
        <v>73</v>
      </c>
      <c r="Q19" t="s">
        <v>19</v>
      </c>
      <c r="T19" t="s">
        <v>74</v>
      </c>
    </row>
    <row r="20" spans="1:22" x14ac:dyDescent="0.25">
      <c r="A20">
        <v>722622203</v>
      </c>
      <c r="B20" s="1">
        <v>46124.456709641207</v>
      </c>
      <c r="C20" s="1">
        <v>46124.461587997685</v>
      </c>
      <c r="D20" s="2">
        <v>46124</v>
      </c>
      <c r="E20">
        <v>336</v>
      </c>
      <c r="F20">
        <v>28</v>
      </c>
      <c r="G20" t="s">
        <v>22</v>
      </c>
      <c r="H20" t="s">
        <v>75</v>
      </c>
      <c r="I20" s="2">
        <v>42621</v>
      </c>
      <c r="J20">
        <v>385</v>
      </c>
      <c r="K20" t="s">
        <v>32</v>
      </c>
      <c r="L20" t="s">
        <v>76</v>
      </c>
      <c r="M20" t="s">
        <v>38</v>
      </c>
      <c r="N20">
        <v>9</v>
      </c>
      <c r="O20" t="s">
        <v>26</v>
      </c>
      <c r="P20" t="s">
        <v>27</v>
      </c>
      <c r="Q20" t="s">
        <v>28</v>
      </c>
      <c r="S20" t="s">
        <v>47</v>
      </c>
      <c r="V20" t="s">
        <v>55</v>
      </c>
    </row>
    <row r="21" spans="1:22" x14ac:dyDescent="0.25">
      <c r="A21">
        <v>722625180</v>
      </c>
      <c r="B21" s="1">
        <v>46124.461589212966</v>
      </c>
      <c r="C21" s="1">
        <v>46124.465220648148</v>
      </c>
      <c r="D21" s="2">
        <v>46124</v>
      </c>
      <c r="E21">
        <v>720</v>
      </c>
      <c r="F21">
        <v>60</v>
      </c>
      <c r="G21" t="s">
        <v>30</v>
      </c>
      <c r="H21" t="s">
        <v>77</v>
      </c>
      <c r="I21" s="2">
        <v>42485</v>
      </c>
      <c r="J21">
        <v>3080</v>
      </c>
      <c r="K21" t="s">
        <v>32</v>
      </c>
      <c r="L21" t="s">
        <v>78</v>
      </c>
      <c r="M21" t="s">
        <v>25</v>
      </c>
      <c r="N21">
        <v>12</v>
      </c>
      <c r="O21" t="s">
        <v>26</v>
      </c>
      <c r="P21" t="s">
        <v>27</v>
      </c>
      <c r="Q21" t="s">
        <v>19</v>
      </c>
      <c r="T21" t="s">
        <v>35</v>
      </c>
    </row>
    <row r="22" spans="1:22" x14ac:dyDescent="0.25">
      <c r="A22">
        <v>722627814</v>
      </c>
      <c r="B22" s="1">
        <v>46124.465221863429</v>
      </c>
      <c r="C22" s="1">
        <v>46124.468770833337</v>
      </c>
      <c r="D22" s="2">
        <v>46124</v>
      </c>
      <c r="E22">
        <v>72</v>
      </c>
      <c r="F22">
        <v>6</v>
      </c>
      <c r="G22" t="s">
        <v>30</v>
      </c>
      <c r="H22" t="s">
        <v>79</v>
      </c>
      <c r="I22" s="2">
        <v>42465</v>
      </c>
      <c r="J22">
        <v>7</v>
      </c>
      <c r="K22" t="s">
        <v>32</v>
      </c>
      <c r="L22" t="s">
        <v>80</v>
      </c>
      <c r="M22" t="s">
        <v>38</v>
      </c>
      <c r="N22">
        <v>80</v>
      </c>
      <c r="O22" t="s">
        <v>26</v>
      </c>
      <c r="P22" t="s">
        <v>27</v>
      </c>
      <c r="Q22" t="s">
        <v>19</v>
      </c>
      <c r="T22" t="s">
        <v>74</v>
      </c>
    </row>
    <row r="23" spans="1:22" x14ac:dyDescent="0.25">
      <c r="A23">
        <v>722803352</v>
      </c>
      <c r="B23" s="1">
        <v>46116.637225057872</v>
      </c>
      <c r="C23" s="1">
        <v>46124.736817812503</v>
      </c>
      <c r="D23" s="2">
        <v>46116</v>
      </c>
      <c r="E23">
        <v>216</v>
      </c>
      <c r="F23">
        <v>18</v>
      </c>
      <c r="G23" t="s">
        <v>22</v>
      </c>
      <c r="H23" t="s">
        <v>81</v>
      </c>
      <c r="I23" s="2">
        <v>42830</v>
      </c>
      <c r="J23">
        <v>20</v>
      </c>
      <c r="K23" t="s">
        <v>32</v>
      </c>
      <c r="L23" t="s">
        <v>82</v>
      </c>
      <c r="M23" t="s">
        <v>25</v>
      </c>
      <c r="N23">
        <v>20</v>
      </c>
      <c r="O23" t="s">
        <v>34</v>
      </c>
      <c r="Q23" t="s">
        <v>19</v>
      </c>
      <c r="T23" t="s">
        <v>47</v>
      </c>
      <c r="V23" t="s">
        <v>83</v>
      </c>
    </row>
    <row r="24" spans="1:22" x14ac:dyDescent="0.25">
      <c r="A24">
        <v>722805963</v>
      </c>
      <c r="B24" s="1">
        <v>46124.736818287034</v>
      </c>
      <c r="C24" s="1">
        <v>46124.739989340276</v>
      </c>
      <c r="D24" s="2">
        <v>46124</v>
      </c>
      <c r="E24">
        <v>288</v>
      </c>
      <c r="F24">
        <v>24</v>
      </c>
      <c r="G24" t="s">
        <v>22</v>
      </c>
      <c r="H24" t="s">
        <v>84</v>
      </c>
      <c r="I24" s="2">
        <v>43229</v>
      </c>
      <c r="J24">
        <v>730</v>
      </c>
      <c r="K24" t="s">
        <v>24</v>
      </c>
      <c r="M24" t="s">
        <v>25</v>
      </c>
      <c r="N24">
        <v>40</v>
      </c>
      <c r="O24" t="s">
        <v>26</v>
      </c>
      <c r="P24" t="s">
        <v>27</v>
      </c>
      <c r="Q24" t="s">
        <v>40</v>
      </c>
      <c r="R24" t="s">
        <v>85</v>
      </c>
    </row>
    <row r="25" spans="1:22" x14ac:dyDescent="0.25">
      <c r="A25">
        <v>722807402</v>
      </c>
      <c r="B25" s="1">
        <v>46124.739989641203</v>
      </c>
      <c r="C25" s="1">
        <v>46124.742359247684</v>
      </c>
      <c r="D25" s="2">
        <v>46124</v>
      </c>
      <c r="E25">
        <v>144</v>
      </c>
      <c r="F25">
        <v>12</v>
      </c>
      <c r="G25" t="s">
        <v>22</v>
      </c>
      <c r="H25" t="s">
        <v>86</v>
      </c>
      <c r="I25" s="2">
        <v>43108</v>
      </c>
      <c r="J25">
        <v>6</v>
      </c>
      <c r="K25" t="s">
        <v>32</v>
      </c>
      <c r="L25" t="s">
        <v>87</v>
      </c>
      <c r="M25" t="s">
        <v>38</v>
      </c>
      <c r="N25">
        <v>35</v>
      </c>
      <c r="O25" t="s">
        <v>88</v>
      </c>
      <c r="Q25" t="s">
        <v>19</v>
      </c>
      <c r="T25" t="s">
        <v>70</v>
      </c>
    </row>
    <row r="26" spans="1:22" x14ac:dyDescent="0.25">
      <c r="A26">
        <v>722809657</v>
      </c>
      <c r="B26" s="1">
        <v>46124.742359675925</v>
      </c>
      <c r="C26" s="1">
        <v>46124.746279664352</v>
      </c>
      <c r="D26" s="2">
        <v>46124</v>
      </c>
      <c r="E26">
        <v>120</v>
      </c>
      <c r="F26">
        <v>10</v>
      </c>
      <c r="G26" t="s">
        <v>22</v>
      </c>
      <c r="H26" t="s">
        <v>86</v>
      </c>
      <c r="I26" s="2">
        <v>43214</v>
      </c>
      <c r="J26">
        <v>8</v>
      </c>
      <c r="K26" t="s">
        <v>24</v>
      </c>
      <c r="M26" t="s">
        <v>38</v>
      </c>
      <c r="N26">
        <v>25</v>
      </c>
      <c r="O26" t="s">
        <v>26</v>
      </c>
      <c r="P26" t="s">
        <v>89</v>
      </c>
      <c r="Q26" t="s">
        <v>19</v>
      </c>
      <c r="T26" t="s">
        <v>70</v>
      </c>
    </row>
    <row r="27" spans="1:22" x14ac:dyDescent="0.25">
      <c r="A27">
        <v>722811313</v>
      </c>
      <c r="B27" s="1">
        <v>46124.746279942126</v>
      </c>
      <c r="C27" s="1">
        <v>46124.748818969907</v>
      </c>
      <c r="D27" s="2">
        <v>46124</v>
      </c>
      <c r="E27">
        <v>636</v>
      </c>
      <c r="F27">
        <v>53</v>
      </c>
      <c r="G27" t="s">
        <v>30</v>
      </c>
      <c r="H27" t="s">
        <v>90</v>
      </c>
      <c r="I27" s="2">
        <v>43060</v>
      </c>
      <c r="J27">
        <v>330</v>
      </c>
      <c r="K27" t="s">
        <v>24</v>
      </c>
      <c r="M27" t="s">
        <v>25</v>
      </c>
      <c r="N27">
        <v>27</v>
      </c>
      <c r="O27" t="s">
        <v>34</v>
      </c>
      <c r="Q27" t="s">
        <v>40</v>
      </c>
      <c r="R27" t="s">
        <v>91</v>
      </c>
    </row>
    <row r="28" spans="1:22" x14ac:dyDescent="0.25">
      <c r="A28">
        <v>722813656</v>
      </c>
      <c r="B28" s="1">
        <v>46124.748819236112</v>
      </c>
      <c r="C28" s="1">
        <v>46124.753319513889</v>
      </c>
      <c r="D28" s="2">
        <v>46124</v>
      </c>
      <c r="E28">
        <v>276</v>
      </c>
      <c r="F28">
        <v>23</v>
      </c>
      <c r="G28" t="s">
        <v>22</v>
      </c>
      <c r="H28" t="s">
        <v>84</v>
      </c>
      <c r="I28" s="2">
        <v>43074</v>
      </c>
      <c r="J28">
        <v>3</v>
      </c>
      <c r="K28" t="s">
        <v>32</v>
      </c>
      <c r="L28" t="s">
        <v>92</v>
      </c>
      <c r="M28" t="s">
        <v>38</v>
      </c>
      <c r="N28">
        <v>5</v>
      </c>
      <c r="O28" t="s">
        <v>93</v>
      </c>
      <c r="P28" t="s">
        <v>94</v>
      </c>
      <c r="Q28" t="s">
        <v>19</v>
      </c>
      <c r="T28" t="s">
        <v>74</v>
      </c>
    </row>
    <row r="29" spans="1:22" x14ac:dyDescent="0.25">
      <c r="A29">
        <v>722815699</v>
      </c>
      <c r="B29" s="1">
        <v>46124.753319814816</v>
      </c>
      <c r="C29" s="1">
        <v>46124.756562893519</v>
      </c>
      <c r="D29" s="2">
        <v>46124</v>
      </c>
      <c r="E29">
        <v>84</v>
      </c>
      <c r="F29">
        <v>7</v>
      </c>
      <c r="G29" t="s">
        <v>30</v>
      </c>
      <c r="H29" t="s">
        <v>79</v>
      </c>
      <c r="I29" s="2">
        <v>42934</v>
      </c>
      <c r="J29">
        <v>15</v>
      </c>
      <c r="K29" t="s">
        <v>32</v>
      </c>
      <c r="L29" t="s">
        <v>95</v>
      </c>
      <c r="M29" t="s">
        <v>38</v>
      </c>
      <c r="N29">
        <v>10</v>
      </c>
      <c r="O29" t="s">
        <v>51</v>
      </c>
      <c r="Q29" t="s">
        <v>19</v>
      </c>
      <c r="T29" t="s">
        <v>74</v>
      </c>
    </row>
    <row r="30" spans="1:22" x14ac:dyDescent="0.25">
      <c r="A30">
        <v>722818850</v>
      </c>
      <c r="B30" s="1">
        <v>46124.756563229166</v>
      </c>
      <c r="C30" s="1">
        <v>46124.762475150463</v>
      </c>
      <c r="D30" s="2">
        <v>46124</v>
      </c>
      <c r="E30">
        <v>36</v>
      </c>
      <c r="F30">
        <v>3</v>
      </c>
      <c r="G30" t="s">
        <v>22</v>
      </c>
      <c r="H30" t="s">
        <v>27</v>
      </c>
      <c r="I30" s="2">
        <v>42901</v>
      </c>
      <c r="J30">
        <v>90</v>
      </c>
      <c r="K30" t="s">
        <v>24</v>
      </c>
      <c r="M30" t="s">
        <v>25</v>
      </c>
      <c r="N30">
        <v>10</v>
      </c>
      <c r="O30" t="s">
        <v>34</v>
      </c>
      <c r="Q30" t="s">
        <v>28</v>
      </c>
      <c r="S30" t="s">
        <v>29</v>
      </c>
    </row>
    <row r="31" spans="1:22" x14ac:dyDescent="0.25">
      <c r="A31">
        <v>722820234</v>
      </c>
      <c r="B31" s="1">
        <v>46124.762475428244</v>
      </c>
      <c r="C31" s="1">
        <v>46124.765065416665</v>
      </c>
      <c r="D31" s="2">
        <v>46124</v>
      </c>
      <c r="E31">
        <v>36</v>
      </c>
      <c r="F31">
        <v>3</v>
      </c>
      <c r="G31" t="s">
        <v>30</v>
      </c>
      <c r="H31" t="s">
        <v>23</v>
      </c>
      <c r="I31" s="2">
        <v>42919</v>
      </c>
      <c r="J31">
        <v>8</v>
      </c>
      <c r="K31" t="s">
        <v>32</v>
      </c>
      <c r="L31" t="s">
        <v>96</v>
      </c>
      <c r="M31" t="s">
        <v>38</v>
      </c>
      <c r="N31">
        <v>10</v>
      </c>
      <c r="O31" t="s">
        <v>88</v>
      </c>
      <c r="Q31" t="s">
        <v>19</v>
      </c>
      <c r="T31" t="s">
        <v>74</v>
      </c>
    </row>
    <row r="32" spans="1:22" x14ac:dyDescent="0.25">
      <c r="A32">
        <v>722821710</v>
      </c>
      <c r="B32" s="1">
        <v>46124.76506568287</v>
      </c>
      <c r="C32" s="1">
        <v>46124.767338101854</v>
      </c>
      <c r="D32" s="2">
        <v>46124</v>
      </c>
      <c r="E32">
        <v>228</v>
      </c>
      <c r="F32">
        <v>19</v>
      </c>
      <c r="G32" t="s">
        <v>30</v>
      </c>
      <c r="H32" t="s">
        <v>97</v>
      </c>
      <c r="I32" s="2">
        <v>42789</v>
      </c>
      <c r="J32">
        <v>21</v>
      </c>
      <c r="K32" t="s">
        <v>24</v>
      </c>
      <c r="M32" t="s">
        <v>25</v>
      </c>
      <c r="N32">
        <v>25</v>
      </c>
      <c r="O32" t="s">
        <v>69</v>
      </c>
      <c r="Q32" t="s">
        <v>40</v>
      </c>
      <c r="R32" t="s">
        <v>98</v>
      </c>
    </row>
    <row r="33" spans="1:20" x14ac:dyDescent="0.25">
      <c r="A33">
        <v>722825333</v>
      </c>
      <c r="B33" s="1">
        <v>46124.767338368052</v>
      </c>
      <c r="C33" s="1">
        <v>46124.775020879628</v>
      </c>
      <c r="D33" s="2">
        <v>46124</v>
      </c>
      <c r="E33">
        <v>660</v>
      </c>
      <c r="F33">
        <v>55</v>
      </c>
      <c r="G33" t="s">
        <v>30</v>
      </c>
      <c r="H33" t="s">
        <v>99</v>
      </c>
      <c r="I33" s="2">
        <v>42845</v>
      </c>
      <c r="J33">
        <v>5</v>
      </c>
      <c r="K33" t="s">
        <v>32</v>
      </c>
      <c r="L33" t="s">
        <v>100</v>
      </c>
      <c r="M33" t="s">
        <v>38</v>
      </c>
      <c r="N33">
        <v>27</v>
      </c>
      <c r="O33" t="s">
        <v>73</v>
      </c>
      <c r="Q33" t="s">
        <v>19</v>
      </c>
      <c r="T33" t="s">
        <v>70</v>
      </c>
    </row>
    <row r="34" spans="1:20" x14ac:dyDescent="0.25">
      <c r="A34">
        <v>722831716</v>
      </c>
      <c r="B34" s="1">
        <v>46124.775021145833</v>
      </c>
      <c r="C34" s="1">
        <v>46124.789548275461</v>
      </c>
      <c r="D34" s="2">
        <v>46124</v>
      </c>
      <c r="E34">
        <v>42</v>
      </c>
      <c r="F34">
        <v>3.5</v>
      </c>
      <c r="G34" t="s">
        <v>22</v>
      </c>
      <c r="H34" t="s">
        <v>23</v>
      </c>
      <c r="I34" s="2">
        <v>42898</v>
      </c>
      <c r="J34">
        <v>30</v>
      </c>
      <c r="K34" t="s">
        <v>24</v>
      </c>
      <c r="M34" t="s">
        <v>25</v>
      </c>
      <c r="N34">
        <v>10</v>
      </c>
      <c r="O34" t="s">
        <v>34</v>
      </c>
      <c r="Q34" t="s">
        <v>28</v>
      </c>
      <c r="S34" t="s">
        <v>101</v>
      </c>
    </row>
    <row r="35" spans="1:20" x14ac:dyDescent="0.25">
      <c r="A35">
        <v>722832781</v>
      </c>
      <c r="B35" s="1">
        <v>46124.789548738423</v>
      </c>
      <c r="C35" s="1">
        <v>46124.792520474541</v>
      </c>
      <c r="D35" s="2">
        <v>46124</v>
      </c>
      <c r="E35">
        <v>372</v>
      </c>
      <c r="F35">
        <v>31</v>
      </c>
      <c r="G35" t="s">
        <v>30</v>
      </c>
      <c r="H35" t="s">
        <v>77</v>
      </c>
      <c r="I35" s="2">
        <v>42864</v>
      </c>
      <c r="J35">
        <v>3</v>
      </c>
      <c r="K35" t="s">
        <v>32</v>
      </c>
      <c r="L35" t="s">
        <v>102</v>
      </c>
      <c r="M35" t="s">
        <v>38</v>
      </c>
      <c r="N35">
        <v>27</v>
      </c>
      <c r="O35" t="s">
        <v>73</v>
      </c>
      <c r="Q35" t="s">
        <v>19</v>
      </c>
      <c r="T35" t="s">
        <v>70</v>
      </c>
    </row>
    <row r="36" spans="1:20" x14ac:dyDescent="0.25">
      <c r="A36">
        <v>722835688</v>
      </c>
      <c r="B36" s="1">
        <v>46124.79252087963</v>
      </c>
      <c r="C36" s="1">
        <v>46124.797827395836</v>
      </c>
      <c r="D36" s="2">
        <v>46124</v>
      </c>
      <c r="E36">
        <v>708</v>
      </c>
      <c r="F36">
        <v>59</v>
      </c>
      <c r="G36" t="s">
        <v>30</v>
      </c>
      <c r="H36" t="s">
        <v>103</v>
      </c>
      <c r="I36" s="2">
        <v>42947</v>
      </c>
      <c r="J36">
        <v>2</v>
      </c>
      <c r="K36" t="s">
        <v>32</v>
      </c>
      <c r="L36" t="s">
        <v>104</v>
      </c>
      <c r="M36" t="s">
        <v>25</v>
      </c>
      <c r="N36">
        <v>2</v>
      </c>
      <c r="O36" t="s">
        <v>34</v>
      </c>
      <c r="Q36" t="s">
        <v>19</v>
      </c>
      <c r="T36" t="s">
        <v>35</v>
      </c>
    </row>
    <row r="37" spans="1:20" x14ac:dyDescent="0.25">
      <c r="A37">
        <v>722837165</v>
      </c>
      <c r="B37" s="1">
        <v>46124.797827916664</v>
      </c>
      <c r="C37" s="1">
        <v>46124.801444641205</v>
      </c>
      <c r="D37" s="2">
        <v>46124</v>
      </c>
      <c r="E37">
        <v>216</v>
      </c>
      <c r="F37">
        <v>18</v>
      </c>
      <c r="G37" t="s">
        <v>30</v>
      </c>
      <c r="H37" t="s">
        <v>81</v>
      </c>
      <c r="I37" s="2">
        <v>43034</v>
      </c>
      <c r="J37">
        <v>7</v>
      </c>
      <c r="K37" t="s">
        <v>32</v>
      </c>
      <c r="L37" t="s">
        <v>105</v>
      </c>
      <c r="M37" t="s">
        <v>38</v>
      </c>
      <c r="N37">
        <v>15</v>
      </c>
      <c r="O37" t="s">
        <v>34</v>
      </c>
      <c r="Q37" t="s">
        <v>19</v>
      </c>
      <c r="T37" t="s">
        <v>74</v>
      </c>
    </row>
    <row r="38" spans="1:20" x14ac:dyDescent="0.25">
      <c r="A38">
        <v>722839809</v>
      </c>
      <c r="B38" s="1">
        <v>46124.801445173609</v>
      </c>
      <c r="C38" s="1">
        <v>46124.807729444445</v>
      </c>
      <c r="D38" s="2">
        <v>46124</v>
      </c>
      <c r="E38">
        <v>132</v>
      </c>
      <c r="F38">
        <v>11</v>
      </c>
      <c r="G38" t="s">
        <v>22</v>
      </c>
      <c r="H38" t="s">
        <v>81</v>
      </c>
      <c r="I38" s="2">
        <v>42905</v>
      </c>
      <c r="J38">
        <v>4</v>
      </c>
      <c r="K38" t="s">
        <v>32</v>
      </c>
      <c r="L38" t="s">
        <v>106</v>
      </c>
      <c r="M38" t="s">
        <v>58</v>
      </c>
      <c r="N38">
        <v>3</v>
      </c>
      <c r="O38" t="s">
        <v>88</v>
      </c>
      <c r="Q38" t="s">
        <v>19</v>
      </c>
      <c r="T38" t="s">
        <v>74</v>
      </c>
    </row>
    <row r="39" spans="1:20" x14ac:dyDescent="0.25">
      <c r="A39">
        <v>722904560</v>
      </c>
      <c r="B39" s="1">
        <v>46124.468771898151</v>
      </c>
      <c r="C39" s="1">
        <v>46124.971727337965</v>
      </c>
      <c r="D39" s="2">
        <v>46124</v>
      </c>
      <c r="E39">
        <v>636</v>
      </c>
      <c r="F39">
        <v>53</v>
      </c>
      <c r="G39" t="s">
        <v>22</v>
      </c>
      <c r="H39" t="s">
        <v>107</v>
      </c>
      <c r="I39" s="2">
        <v>42410</v>
      </c>
      <c r="J39">
        <v>62</v>
      </c>
      <c r="K39" t="s">
        <v>32</v>
      </c>
      <c r="L39" t="s">
        <v>108</v>
      </c>
      <c r="M39" t="s">
        <v>38</v>
      </c>
      <c r="N39">
        <v>95</v>
      </c>
      <c r="O39" t="s">
        <v>26</v>
      </c>
      <c r="P39" t="s">
        <v>27</v>
      </c>
      <c r="Q39" t="s">
        <v>19</v>
      </c>
      <c r="T39" t="s">
        <v>64</v>
      </c>
    </row>
    <row r="40" spans="1:20" x14ac:dyDescent="0.25">
      <c r="A40">
        <v>722905279</v>
      </c>
      <c r="B40" s="1">
        <v>46124.971728842589</v>
      </c>
      <c r="C40" s="1">
        <v>46124.974393796299</v>
      </c>
      <c r="D40" s="2">
        <v>46124</v>
      </c>
      <c r="E40">
        <v>60</v>
      </c>
      <c r="F40">
        <v>5</v>
      </c>
      <c r="G40" t="s">
        <v>22</v>
      </c>
      <c r="H40" t="s">
        <v>86</v>
      </c>
      <c r="I40" s="2">
        <v>43465</v>
      </c>
      <c r="J40">
        <v>3</v>
      </c>
      <c r="K40" t="s">
        <v>32</v>
      </c>
      <c r="L40" t="s">
        <v>109</v>
      </c>
      <c r="M40" t="s">
        <v>38</v>
      </c>
      <c r="N40">
        <v>95</v>
      </c>
      <c r="O40" t="s">
        <v>110</v>
      </c>
      <c r="Q40" t="s">
        <v>19</v>
      </c>
      <c r="T40" t="s">
        <v>64</v>
      </c>
    </row>
    <row r="41" spans="1:20" x14ac:dyDescent="0.25">
      <c r="A41">
        <v>722906161</v>
      </c>
      <c r="B41" s="1">
        <v>46124.97439520833</v>
      </c>
      <c r="C41" s="1">
        <v>46124.978186701388</v>
      </c>
      <c r="D41" s="2">
        <v>46124</v>
      </c>
      <c r="E41">
        <v>816</v>
      </c>
      <c r="F41">
        <v>68</v>
      </c>
      <c r="G41" t="s">
        <v>22</v>
      </c>
      <c r="H41" t="s">
        <v>111</v>
      </c>
      <c r="I41" s="2">
        <v>43417</v>
      </c>
      <c r="J41">
        <v>14</v>
      </c>
      <c r="K41" t="s">
        <v>32</v>
      </c>
      <c r="L41" t="s">
        <v>112</v>
      </c>
      <c r="M41" t="s">
        <v>25</v>
      </c>
      <c r="N41">
        <v>15</v>
      </c>
      <c r="O41" t="s">
        <v>34</v>
      </c>
      <c r="Q41" t="s">
        <v>19</v>
      </c>
      <c r="T41" t="s">
        <v>35</v>
      </c>
    </row>
    <row r="42" spans="1:20" x14ac:dyDescent="0.25">
      <c r="A42">
        <v>722907257</v>
      </c>
      <c r="B42" s="1">
        <v>46124.978188078705</v>
      </c>
      <c r="C42" s="1">
        <v>46124.983062222222</v>
      </c>
      <c r="D42" s="2">
        <v>46124</v>
      </c>
      <c r="E42">
        <v>60</v>
      </c>
      <c r="F42">
        <v>5</v>
      </c>
      <c r="G42" t="s">
        <v>30</v>
      </c>
      <c r="H42" t="s">
        <v>79</v>
      </c>
      <c r="I42" s="2">
        <v>43388</v>
      </c>
      <c r="J42">
        <v>1</v>
      </c>
      <c r="K42" t="s">
        <v>32</v>
      </c>
      <c r="L42" t="s">
        <v>113</v>
      </c>
      <c r="M42" t="s">
        <v>25</v>
      </c>
      <c r="N42">
        <v>45</v>
      </c>
      <c r="O42" t="s">
        <v>73</v>
      </c>
      <c r="Q42" t="s">
        <v>19</v>
      </c>
      <c r="T42" t="s">
        <v>74</v>
      </c>
    </row>
    <row r="43" spans="1:20" x14ac:dyDescent="0.25">
      <c r="A43">
        <v>722908296</v>
      </c>
      <c r="B43" s="1">
        <v>46124.98306377315</v>
      </c>
      <c r="C43" s="1">
        <v>46124.986659675924</v>
      </c>
      <c r="D43" s="2">
        <v>46124</v>
      </c>
      <c r="E43">
        <v>828</v>
      </c>
      <c r="F43">
        <v>69</v>
      </c>
      <c r="G43" t="s">
        <v>22</v>
      </c>
      <c r="H43" t="s">
        <v>114</v>
      </c>
      <c r="I43" s="2">
        <v>43353</v>
      </c>
      <c r="J43">
        <v>31</v>
      </c>
      <c r="K43" t="s">
        <v>32</v>
      </c>
      <c r="L43" t="s">
        <v>115</v>
      </c>
      <c r="M43" t="s">
        <v>38</v>
      </c>
      <c r="N43">
        <v>20</v>
      </c>
      <c r="O43" t="s">
        <v>34</v>
      </c>
      <c r="Q43" t="s">
        <v>19</v>
      </c>
      <c r="T43" t="s">
        <v>35</v>
      </c>
    </row>
    <row r="44" spans="1:20" x14ac:dyDescent="0.25">
      <c r="A44">
        <v>722909162</v>
      </c>
      <c r="B44" s="1">
        <v>46124.986660856484</v>
      </c>
      <c r="C44" s="1">
        <v>46124.990848576388</v>
      </c>
      <c r="D44" s="2">
        <v>46124</v>
      </c>
      <c r="E44">
        <v>216</v>
      </c>
      <c r="F44">
        <v>18</v>
      </c>
      <c r="G44" t="s">
        <v>30</v>
      </c>
      <c r="H44" t="s">
        <v>116</v>
      </c>
      <c r="I44" s="2">
        <v>43396</v>
      </c>
      <c r="J44">
        <v>1</v>
      </c>
      <c r="K44" t="s">
        <v>32</v>
      </c>
      <c r="L44" t="s">
        <v>117</v>
      </c>
      <c r="M44" t="s">
        <v>38</v>
      </c>
      <c r="N44">
        <v>50</v>
      </c>
      <c r="O44" t="s">
        <v>26</v>
      </c>
      <c r="P44" t="s">
        <v>27</v>
      </c>
      <c r="Q44" t="s">
        <v>19</v>
      </c>
      <c r="T44" t="s">
        <v>64</v>
      </c>
    </row>
    <row r="45" spans="1:20" x14ac:dyDescent="0.25">
      <c r="A45">
        <v>722910446</v>
      </c>
      <c r="B45" s="1">
        <v>46124.990849699076</v>
      </c>
      <c r="C45" s="1">
        <v>46124.995360706016</v>
      </c>
      <c r="D45" s="2">
        <v>46124</v>
      </c>
      <c r="E45">
        <v>612</v>
      </c>
      <c r="F45">
        <v>51</v>
      </c>
      <c r="G45" t="s">
        <v>30</v>
      </c>
      <c r="H45" t="s">
        <v>118</v>
      </c>
      <c r="I45" s="2">
        <v>43384</v>
      </c>
      <c r="J45">
        <v>4</v>
      </c>
      <c r="K45" t="s">
        <v>32</v>
      </c>
      <c r="L45" t="s">
        <v>119</v>
      </c>
      <c r="M45" t="s">
        <v>25</v>
      </c>
      <c r="N45">
        <v>10</v>
      </c>
      <c r="O45" t="s">
        <v>120</v>
      </c>
      <c r="P45" t="s">
        <v>121</v>
      </c>
      <c r="Q45" t="s">
        <v>19</v>
      </c>
      <c r="T45" t="s">
        <v>35</v>
      </c>
    </row>
    <row r="46" spans="1:20" x14ac:dyDescent="0.25">
      <c r="A46">
        <v>722913007</v>
      </c>
      <c r="B46" s="1">
        <v>46124.995361944442</v>
      </c>
      <c r="C46" s="1">
        <v>46125.002760393516</v>
      </c>
      <c r="D46" s="2">
        <v>46124</v>
      </c>
      <c r="E46">
        <v>396</v>
      </c>
      <c r="F46">
        <v>33</v>
      </c>
      <c r="G46" t="s">
        <v>30</v>
      </c>
      <c r="H46" t="s">
        <v>77</v>
      </c>
      <c r="I46" s="2">
        <v>43384</v>
      </c>
      <c r="J46">
        <v>1925</v>
      </c>
      <c r="K46" t="s">
        <v>32</v>
      </c>
      <c r="L46" t="s">
        <v>122</v>
      </c>
      <c r="M46" t="s">
        <v>25</v>
      </c>
      <c r="N46">
        <v>20</v>
      </c>
      <c r="O46" t="s">
        <v>60</v>
      </c>
      <c r="P46" t="s">
        <v>123</v>
      </c>
      <c r="Q46" t="s">
        <v>19</v>
      </c>
      <c r="T46" t="s">
        <v>35</v>
      </c>
    </row>
    <row r="47" spans="1:20" x14ac:dyDescent="0.25">
      <c r="A47">
        <v>723500929</v>
      </c>
      <c r="B47" s="1">
        <v>46125.002761875003</v>
      </c>
      <c r="C47" s="1">
        <v>46125.559270370373</v>
      </c>
      <c r="D47" s="2">
        <v>46125</v>
      </c>
      <c r="E47">
        <v>264</v>
      </c>
      <c r="F47">
        <v>22</v>
      </c>
      <c r="G47" t="s">
        <v>30</v>
      </c>
      <c r="H47" t="s">
        <v>97</v>
      </c>
      <c r="I47" s="2">
        <v>43319</v>
      </c>
      <c r="J47">
        <v>1</v>
      </c>
      <c r="K47" t="s">
        <v>24</v>
      </c>
      <c r="M47" t="s">
        <v>25</v>
      </c>
      <c r="N47">
        <v>20</v>
      </c>
      <c r="O47" t="s">
        <v>73</v>
      </c>
      <c r="Q47" t="s">
        <v>19</v>
      </c>
      <c r="T47" t="s">
        <v>74</v>
      </c>
    </row>
    <row r="48" spans="1:20" x14ac:dyDescent="0.25">
      <c r="A48">
        <v>723506643</v>
      </c>
      <c r="B48" s="1">
        <v>46125.559271782404</v>
      </c>
      <c r="C48" s="1">
        <v>46125.563204560189</v>
      </c>
      <c r="D48" s="2">
        <v>46125</v>
      </c>
      <c r="E48">
        <v>480</v>
      </c>
      <c r="F48">
        <v>40</v>
      </c>
      <c r="G48" t="s">
        <v>30</v>
      </c>
      <c r="H48" t="s">
        <v>77</v>
      </c>
      <c r="I48" s="2">
        <v>43433</v>
      </c>
      <c r="J48">
        <v>385</v>
      </c>
      <c r="K48" t="s">
        <v>32</v>
      </c>
      <c r="L48" t="s">
        <v>124</v>
      </c>
      <c r="M48" t="s">
        <v>25</v>
      </c>
      <c r="N48">
        <v>6</v>
      </c>
      <c r="O48" t="s">
        <v>26</v>
      </c>
      <c r="P48" t="s">
        <v>27</v>
      </c>
      <c r="Q48" t="s">
        <v>19</v>
      </c>
      <c r="T48" t="s">
        <v>70</v>
      </c>
    </row>
    <row r="49" spans="1:22" x14ac:dyDescent="0.25">
      <c r="A49">
        <v>723519297</v>
      </c>
      <c r="B49" s="1">
        <v>46125.563205879633</v>
      </c>
      <c r="C49" s="1">
        <v>46125.572342187501</v>
      </c>
      <c r="D49" s="2">
        <v>46125</v>
      </c>
      <c r="E49">
        <v>444</v>
      </c>
      <c r="F49">
        <v>37</v>
      </c>
      <c r="G49" t="s">
        <v>22</v>
      </c>
      <c r="H49" t="s">
        <v>125</v>
      </c>
      <c r="I49" s="2">
        <v>43291</v>
      </c>
      <c r="J49">
        <v>4</v>
      </c>
      <c r="K49" t="s">
        <v>32</v>
      </c>
      <c r="L49" t="s">
        <v>126</v>
      </c>
      <c r="M49" t="s">
        <v>25</v>
      </c>
      <c r="N49">
        <v>30</v>
      </c>
      <c r="O49" t="s">
        <v>51</v>
      </c>
      <c r="Q49" t="s">
        <v>19</v>
      </c>
      <c r="T49" t="s">
        <v>35</v>
      </c>
    </row>
    <row r="50" spans="1:22" x14ac:dyDescent="0.25">
      <c r="A50">
        <v>723528166</v>
      </c>
      <c r="B50" s="1">
        <v>46125.572343148146</v>
      </c>
      <c r="C50" s="1">
        <v>46125.579447384262</v>
      </c>
      <c r="D50" s="2">
        <v>46125</v>
      </c>
      <c r="E50">
        <v>816</v>
      </c>
      <c r="F50">
        <v>68</v>
      </c>
      <c r="G50" t="s">
        <v>22</v>
      </c>
      <c r="H50" t="s">
        <v>103</v>
      </c>
      <c r="I50" s="2">
        <v>43286</v>
      </c>
      <c r="J50">
        <v>385</v>
      </c>
      <c r="K50" t="s">
        <v>24</v>
      </c>
      <c r="M50" t="s">
        <v>25</v>
      </c>
      <c r="N50">
        <v>2</v>
      </c>
      <c r="O50" t="s">
        <v>26</v>
      </c>
      <c r="P50" t="s">
        <v>27</v>
      </c>
      <c r="Q50" t="s">
        <v>19</v>
      </c>
      <c r="T50" t="s">
        <v>35</v>
      </c>
    </row>
    <row r="51" spans="1:22" x14ac:dyDescent="0.25">
      <c r="A51">
        <v>726303830</v>
      </c>
      <c r="B51" s="1">
        <v>46124.807729907407</v>
      </c>
      <c r="C51" s="1">
        <v>46128.412530555557</v>
      </c>
      <c r="D51" s="2">
        <v>46124</v>
      </c>
      <c r="E51">
        <v>180</v>
      </c>
      <c r="F51">
        <v>15</v>
      </c>
      <c r="G51" t="s">
        <v>22</v>
      </c>
      <c r="H51" t="s">
        <v>81</v>
      </c>
      <c r="I51" s="2">
        <v>45747</v>
      </c>
      <c r="J51">
        <v>21</v>
      </c>
      <c r="K51" t="s">
        <v>24</v>
      </c>
      <c r="M51" t="s">
        <v>38</v>
      </c>
      <c r="N51">
        <v>17</v>
      </c>
      <c r="O51" t="s">
        <v>110</v>
      </c>
      <c r="Q51" t="s">
        <v>28</v>
      </c>
      <c r="S51" t="s">
        <v>47</v>
      </c>
      <c r="V51" t="s">
        <v>127</v>
      </c>
    </row>
    <row r="52" spans="1:22" x14ac:dyDescent="0.25">
      <c r="A52">
        <v>726306825</v>
      </c>
      <c r="B52" s="1">
        <v>46128.412531099537</v>
      </c>
      <c r="C52" s="1">
        <v>46128.414594351852</v>
      </c>
      <c r="D52" s="2">
        <v>46128</v>
      </c>
      <c r="E52">
        <v>192</v>
      </c>
      <c r="F52">
        <v>16</v>
      </c>
      <c r="G52" t="s">
        <v>30</v>
      </c>
      <c r="H52" t="s">
        <v>81</v>
      </c>
      <c r="I52" s="2">
        <v>45929</v>
      </c>
      <c r="J52">
        <v>3</v>
      </c>
      <c r="K52" t="s">
        <v>32</v>
      </c>
      <c r="L52" t="s">
        <v>128</v>
      </c>
      <c r="M52" t="s">
        <v>38</v>
      </c>
      <c r="N52">
        <v>20</v>
      </c>
      <c r="O52" t="s">
        <v>69</v>
      </c>
      <c r="Q52" t="s">
        <v>19</v>
      </c>
      <c r="T52" t="s">
        <v>47</v>
      </c>
      <c r="V52" t="s">
        <v>127</v>
      </c>
    </row>
    <row r="53" spans="1:22" x14ac:dyDescent="0.25">
      <c r="A53">
        <v>726343086</v>
      </c>
      <c r="B53" s="1">
        <v>46128.414594641203</v>
      </c>
      <c r="C53" s="1">
        <v>46128.441035613425</v>
      </c>
      <c r="D53" s="2">
        <v>46128</v>
      </c>
      <c r="E53">
        <v>132</v>
      </c>
      <c r="F53">
        <v>11</v>
      </c>
      <c r="G53" t="s">
        <v>22</v>
      </c>
      <c r="H53" t="s">
        <v>81</v>
      </c>
      <c r="I53" s="2">
        <v>45887</v>
      </c>
      <c r="J53">
        <v>7</v>
      </c>
      <c r="K53" t="s">
        <v>32</v>
      </c>
      <c r="L53" t="s">
        <v>129</v>
      </c>
      <c r="M53" t="s">
        <v>38</v>
      </c>
      <c r="N53">
        <v>12</v>
      </c>
      <c r="O53" t="s">
        <v>34</v>
      </c>
      <c r="Q53" t="s">
        <v>19</v>
      </c>
      <c r="T53" t="s">
        <v>74</v>
      </c>
    </row>
    <row r="54" spans="1:22" x14ac:dyDescent="0.25">
      <c r="A54">
        <v>726483329</v>
      </c>
      <c r="B54" s="1">
        <v>46128.441036145836</v>
      </c>
      <c r="C54" s="1">
        <v>46128.541520937499</v>
      </c>
      <c r="D54" s="2">
        <v>46128</v>
      </c>
      <c r="E54">
        <v>900</v>
      </c>
      <c r="F54">
        <v>75</v>
      </c>
      <c r="G54" t="s">
        <v>22</v>
      </c>
      <c r="H54" t="s">
        <v>130</v>
      </c>
      <c r="I54" s="2">
        <v>45524</v>
      </c>
      <c r="J54">
        <v>21</v>
      </c>
      <c r="K54" t="s">
        <v>24</v>
      </c>
      <c r="M54" t="s">
        <v>25</v>
      </c>
      <c r="N54">
        <v>3</v>
      </c>
      <c r="O54" t="s">
        <v>69</v>
      </c>
      <c r="Q54" t="s">
        <v>28</v>
      </c>
      <c r="S54" t="s">
        <v>47</v>
      </c>
      <c r="V54" t="s">
        <v>131</v>
      </c>
    </row>
    <row r="55" spans="1:22" x14ac:dyDescent="0.25">
      <c r="A55">
        <v>726486061</v>
      </c>
      <c r="B55" s="1">
        <v>46128.541521284722</v>
      </c>
      <c r="C55" s="1">
        <v>46128.543839618054</v>
      </c>
      <c r="D55" s="2">
        <v>46128</v>
      </c>
      <c r="E55">
        <v>720</v>
      </c>
      <c r="F55">
        <v>60</v>
      </c>
      <c r="G55" t="s">
        <v>30</v>
      </c>
      <c r="H55" t="s">
        <v>77</v>
      </c>
      <c r="I55" s="2">
        <v>45428</v>
      </c>
      <c r="J55">
        <v>60</v>
      </c>
      <c r="K55" t="s">
        <v>24</v>
      </c>
      <c r="M55" t="s">
        <v>25</v>
      </c>
      <c r="N55">
        <v>6</v>
      </c>
      <c r="O55" t="s">
        <v>34</v>
      </c>
      <c r="Q55" t="s">
        <v>40</v>
      </c>
      <c r="R55" t="s">
        <v>47</v>
      </c>
      <c r="V55" t="s">
        <v>132</v>
      </c>
    </row>
    <row r="56" spans="1:22" x14ac:dyDescent="0.25">
      <c r="A56">
        <v>726493855</v>
      </c>
      <c r="B56" s="1">
        <v>46128.543839872684</v>
      </c>
      <c r="C56" s="1">
        <v>46128.549896168981</v>
      </c>
      <c r="D56" s="2">
        <v>46128</v>
      </c>
      <c r="E56">
        <v>396</v>
      </c>
      <c r="F56">
        <v>33</v>
      </c>
      <c r="G56" t="s">
        <v>30</v>
      </c>
      <c r="H56" t="s">
        <v>133</v>
      </c>
      <c r="I56" s="2">
        <v>46042</v>
      </c>
      <c r="J56">
        <v>6</v>
      </c>
      <c r="K56" t="s">
        <v>32</v>
      </c>
      <c r="L56" t="s">
        <v>134</v>
      </c>
      <c r="M56" t="s">
        <v>25</v>
      </c>
      <c r="N56">
        <v>5</v>
      </c>
      <c r="O56" t="s">
        <v>34</v>
      </c>
      <c r="Q56" t="s">
        <v>19</v>
      </c>
      <c r="T56" t="s">
        <v>35</v>
      </c>
    </row>
    <row r="57" spans="1:22" x14ac:dyDescent="0.25">
      <c r="A57">
        <v>726495267</v>
      </c>
      <c r="B57" s="1">
        <v>46128.549896504628</v>
      </c>
      <c r="C57" s="1">
        <v>46128.551095115741</v>
      </c>
      <c r="D57" s="2">
        <v>46128</v>
      </c>
      <c r="E57">
        <v>156</v>
      </c>
      <c r="F57">
        <v>13</v>
      </c>
      <c r="G57" t="s">
        <v>30</v>
      </c>
      <c r="H57" t="s">
        <v>81</v>
      </c>
      <c r="I57" s="2">
        <v>46100</v>
      </c>
      <c r="J57">
        <v>4</v>
      </c>
      <c r="K57" t="s">
        <v>24</v>
      </c>
      <c r="M57" t="s">
        <v>25</v>
      </c>
      <c r="N57">
        <v>2</v>
      </c>
      <c r="O57" t="s">
        <v>88</v>
      </c>
      <c r="Q57" t="s">
        <v>28</v>
      </c>
      <c r="S57" t="s">
        <v>101</v>
      </c>
    </row>
    <row r="58" spans="1:22" x14ac:dyDescent="0.25">
      <c r="A58">
        <v>726513108</v>
      </c>
      <c r="B58" s="1">
        <v>46128.551095532406</v>
      </c>
      <c r="C58" s="1">
        <v>46128.564362696758</v>
      </c>
      <c r="D58" s="2">
        <v>46128</v>
      </c>
      <c r="E58">
        <v>36</v>
      </c>
      <c r="F58">
        <v>3</v>
      </c>
      <c r="G58" t="s">
        <v>30</v>
      </c>
      <c r="H58" t="s">
        <v>27</v>
      </c>
      <c r="I58" s="2">
        <v>45859</v>
      </c>
      <c r="J58">
        <v>14</v>
      </c>
      <c r="K58" t="s">
        <v>32</v>
      </c>
      <c r="L58" t="s">
        <v>95</v>
      </c>
      <c r="M58" t="s">
        <v>38</v>
      </c>
      <c r="N58">
        <v>90</v>
      </c>
      <c r="O58" t="s">
        <v>88</v>
      </c>
      <c r="Q58" t="s">
        <v>19</v>
      </c>
      <c r="T58" t="s">
        <v>64</v>
      </c>
    </row>
    <row r="59" spans="1:22" x14ac:dyDescent="0.25">
      <c r="A59">
        <v>726515934</v>
      </c>
      <c r="B59" s="1">
        <v>46128.564363263889</v>
      </c>
      <c r="C59" s="1">
        <v>46128.565966562499</v>
      </c>
      <c r="D59" s="2">
        <v>46128</v>
      </c>
      <c r="E59">
        <v>144</v>
      </c>
      <c r="F59">
        <v>12</v>
      </c>
      <c r="G59" t="s">
        <v>22</v>
      </c>
      <c r="H59" t="s">
        <v>81</v>
      </c>
      <c r="I59" s="2">
        <v>45876</v>
      </c>
      <c r="J59">
        <v>7</v>
      </c>
      <c r="K59" t="s">
        <v>32</v>
      </c>
      <c r="L59" t="s">
        <v>105</v>
      </c>
      <c r="M59" t="s">
        <v>38</v>
      </c>
      <c r="N59">
        <v>31</v>
      </c>
      <c r="O59" t="s">
        <v>69</v>
      </c>
      <c r="Q59" t="s">
        <v>19</v>
      </c>
      <c r="T59" t="s">
        <v>64</v>
      </c>
    </row>
    <row r="60" spans="1:22" x14ac:dyDescent="0.25">
      <c r="A60">
        <v>726521403</v>
      </c>
      <c r="B60" s="1">
        <v>46128.56596699074</v>
      </c>
      <c r="C60" s="1">
        <v>46128.568923425926</v>
      </c>
      <c r="D60" s="2">
        <v>46128</v>
      </c>
      <c r="E60">
        <v>108</v>
      </c>
      <c r="F60">
        <v>9</v>
      </c>
      <c r="G60" t="s">
        <v>22</v>
      </c>
      <c r="H60" t="s">
        <v>86</v>
      </c>
      <c r="I60" s="2">
        <v>45820</v>
      </c>
      <c r="J60">
        <v>3</v>
      </c>
      <c r="K60" t="s">
        <v>32</v>
      </c>
      <c r="L60" t="s">
        <v>135</v>
      </c>
      <c r="M60" t="s">
        <v>38</v>
      </c>
      <c r="N60">
        <v>35</v>
      </c>
      <c r="O60" t="s">
        <v>88</v>
      </c>
      <c r="Q60" t="s">
        <v>19</v>
      </c>
      <c r="T60" t="s">
        <v>64</v>
      </c>
    </row>
    <row r="61" spans="1:22" x14ac:dyDescent="0.25">
      <c r="A61">
        <v>726526577</v>
      </c>
      <c r="B61" s="1">
        <v>46128.568923773149</v>
      </c>
      <c r="C61" s="1">
        <v>46128.571173171295</v>
      </c>
      <c r="D61" s="2">
        <v>46128</v>
      </c>
      <c r="E61">
        <v>60</v>
      </c>
      <c r="F61">
        <v>5</v>
      </c>
      <c r="G61" t="s">
        <v>22</v>
      </c>
      <c r="H61" t="s">
        <v>86</v>
      </c>
      <c r="I61" s="2">
        <v>45798</v>
      </c>
      <c r="J61">
        <v>3</v>
      </c>
      <c r="K61" t="s">
        <v>24</v>
      </c>
      <c r="M61" t="s">
        <v>25</v>
      </c>
      <c r="N61">
        <v>8</v>
      </c>
      <c r="O61" t="s">
        <v>34</v>
      </c>
      <c r="Q61" t="s">
        <v>28</v>
      </c>
      <c r="S61" t="s">
        <v>101</v>
      </c>
    </row>
    <row r="62" spans="1:22" x14ac:dyDescent="0.25">
      <c r="A62">
        <v>726532569</v>
      </c>
      <c r="B62" s="1">
        <v>46128.571173449076</v>
      </c>
      <c r="C62" s="1">
        <v>46128.574363043983</v>
      </c>
      <c r="D62" s="2">
        <v>46128</v>
      </c>
      <c r="E62">
        <v>648</v>
      </c>
      <c r="F62">
        <v>54</v>
      </c>
      <c r="G62" t="s">
        <v>30</v>
      </c>
      <c r="H62" t="s">
        <v>31</v>
      </c>
      <c r="I62" s="2">
        <v>43999</v>
      </c>
      <c r="J62">
        <v>30</v>
      </c>
      <c r="K62" t="s">
        <v>24</v>
      </c>
      <c r="M62" t="s">
        <v>38</v>
      </c>
      <c r="N62">
        <v>45</v>
      </c>
      <c r="O62" t="s">
        <v>69</v>
      </c>
      <c r="Q62" t="s">
        <v>40</v>
      </c>
      <c r="R62" t="s">
        <v>136</v>
      </c>
    </row>
    <row r="63" spans="1:22" x14ac:dyDescent="0.25">
      <c r="A63">
        <v>726537104</v>
      </c>
      <c r="B63" s="1">
        <v>46128.574363356478</v>
      </c>
      <c r="C63" s="1">
        <v>46128.576718912038</v>
      </c>
      <c r="D63" s="2">
        <v>46128</v>
      </c>
      <c r="E63">
        <v>132</v>
      </c>
      <c r="F63">
        <v>11</v>
      </c>
      <c r="G63" t="s">
        <v>22</v>
      </c>
      <c r="H63" t="s">
        <v>86</v>
      </c>
      <c r="I63" s="2">
        <v>44173</v>
      </c>
      <c r="J63">
        <v>7</v>
      </c>
      <c r="K63" t="s">
        <v>24</v>
      </c>
      <c r="M63" t="s">
        <v>38</v>
      </c>
      <c r="N63">
        <v>8</v>
      </c>
      <c r="O63" t="s">
        <v>34</v>
      </c>
      <c r="Q63" t="s">
        <v>19</v>
      </c>
      <c r="T63" t="s">
        <v>74</v>
      </c>
    </row>
    <row r="64" spans="1:22" x14ac:dyDescent="0.25">
      <c r="A64">
        <v>726539838</v>
      </c>
      <c r="B64" s="1">
        <v>46128.576719212964</v>
      </c>
      <c r="C64" s="1">
        <v>46128.578267083336</v>
      </c>
      <c r="D64" s="2">
        <v>46128</v>
      </c>
      <c r="E64">
        <v>60</v>
      </c>
      <c r="F64">
        <v>5</v>
      </c>
      <c r="G64" t="s">
        <v>30</v>
      </c>
      <c r="H64" t="s">
        <v>79</v>
      </c>
      <c r="I64" s="2">
        <v>43915</v>
      </c>
      <c r="J64">
        <v>7</v>
      </c>
      <c r="K64" t="s">
        <v>24</v>
      </c>
      <c r="M64" t="s">
        <v>25</v>
      </c>
      <c r="N64">
        <v>1</v>
      </c>
      <c r="O64" t="s">
        <v>26</v>
      </c>
      <c r="P64" t="s">
        <v>27</v>
      </c>
      <c r="Q64" t="s">
        <v>28</v>
      </c>
      <c r="S64" t="s">
        <v>101</v>
      </c>
    </row>
    <row r="65" spans="1:20" x14ac:dyDescent="0.25">
      <c r="A65">
        <v>726543699</v>
      </c>
      <c r="B65" s="1">
        <v>46128.578267407407</v>
      </c>
      <c r="C65" s="1">
        <v>46128.580463101855</v>
      </c>
      <c r="D65" s="2">
        <v>46128</v>
      </c>
      <c r="E65">
        <v>900</v>
      </c>
      <c r="F65">
        <v>75</v>
      </c>
      <c r="G65" t="s">
        <v>22</v>
      </c>
      <c r="H65" t="s">
        <v>137</v>
      </c>
      <c r="I65" s="2">
        <v>44127</v>
      </c>
      <c r="J65">
        <v>14</v>
      </c>
      <c r="K65" t="s">
        <v>32</v>
      </c>
      <c r="L65" t="s">
        <v>92</v>
      </c>
      <c r="M65" t="s">
        <v>38</v>
      </c>
      <c r="N65">
        <v>50</v>
      </c>
      <c r="O65" t="s">
        <v>59</v>
      </c>
      <c r="Q65" t="s">
        <v>19</v>
      </c>
      <c r="T65" t="s">
        <v>64</v>
      </c>
    </row>
    <row r="66" spans="1:20" x14ac:dyDescent="0.25">
      <c r="A66">
        <v>726548975</v>
      </c>
      <c r="B66" s="1">
        <v>46128.580463460647</v>
      </c>
      <c r="C66" s="1">
        <v>46128.583261145832</v>
      </c>
      <c r="D66" s="2">
        <v>46128</v>
      </c>
      <c r="E66">
        <v>60</v>
      </c>
      <c r="F66">
        <v>5</v>
      </c>
      <c r="G66" t="s">
        <v>30</v>
      </c>
      <c r="H66" t="s">
        <v>79</v>
      </c>
      <c r="I66" s="2">
        <v>44167</v>
      </c>
      <c r="J66">
        <v>4</v>
      </c>
      <c r="K66" t="s">
        <v>32</v>
      </c>
      <c r="L66" t="s">
        <v>92</v>
      </c>
      <c r="M66" t="s">
        <v>25</v>
      </c>
      <c r="N66">
        <v>15</v>
      </c>
      <c r="O66" t="s">
        <v>69</v>
      </c>
      <c r="Q66" t="s">
        <v>19</v>
      </c>
      <c r="T66" t="s">
        <v>35</v>
      </c>
    </row>
    <row r="67" spans="1:20" x14ac:dyDescent="0.25">
      <c r="A67">
        <v>726554261</v>
      </c>
      <c r="B67" s="1">
        <v>46128.583261504631</v>
      </c>
      <c r="C67" s="1">
        <v>46128.585583981483</v>
      </c>
      <c r="D67" s="2">
        <v>46128</v>
      </c>
      <c r="E67">
        <v>24</v>
      </c>
      <c r="F67">
        <v>2</v>
      </c>
      <c r="G67" t="s">
        <v>22</v>
      </c>
      <c r="H67" t="s">
        <v>27</v>
      </c>
      <c r="I67" s="2">
        <v>44154</v>
      </c>
      <c r="J67">
        <v>5</v>
      </c>
      <c r="K67" t="s">
        <v>32</v>
      </c>
      <c r="L67" t="s">
        <v>138</v>
      </c>
      <c r="M67" t="s">
        <v>38</v>
      </c>
      <c r="N67">
        <v>31</v>
      </c>
      <c r="O67" t="s">
        <v>88</v>
      </c>
      <c r="Q67" t="s">
        <v>19</v>
      </c>
      <c r="T67" t="s">
        <v>64</v>
      </c>
    </row>
    <row r="68" spans="1:20" x14ac:dyDescent="0.25">
      <c r="A68">
        <v>726595677</v>
      </c>
      <c r="B68" s="1">
        <v>46128.585584282409</v>
      </c>
      <c r="C68" s="1">
        <v>46128.605656157408</v>
      </c>
      <c r="D68" s="2">
        <v>46128</v>
      </c>
      <c r="E68">
        <v>840</v>
      </c>
      <c r="F68">
        <v>70</v>
      </c>
      <c r="G68" t="s">
        <v>30</v>
      </c>
      <c r="H68" t="s">
        <v>23</v>
      </c>
      <c r="I68" s="2">
        <v>45923</v>
      </c>
      <c r="J68">
        <v>6</v>
      </c>
      <c r="K68" t="s">
        <v>32</v>
      </c>
      <c r="L68" t="s">
        <v>139</v>
      </c>
      <c r="M68" t="s">
        <v>25</v>
      </c>
      <c r="N68">
        <v>39</v>
      </c>
      <c r="O68" t="s">
        <v>88</v>
      </c>
      <c r="Q68" t="s">
        <v>19</v>
      </c>
      <c r="T68" t="s">
        <v>64</v>
      </c>
    </row>
    <row r="69" spans="1:20" x14ac:dyDescent="0.25">
      <c r="A69">
        <v>726600709</v>
      </c>
      <c r="B69" s="1">
        <v>46128.605656608794</v>
      </c>
      <c r="C69" s="1">
        <v>46128.608212465275</v>
      </c>
      <c r="D69" s="2">
        <v>46128</v>
      </c>
      <c r="E69">
        <v>876</v>
      </c>
      <c r="F69">
        <v>73</v>
      </c>
      <c r="G69" t="s">
        <v>22</v>
      </c>
      <c r="H69" t="s">
        <v>23</v>
      </c>
      <c r="I69" s="2">
        <v>46058</v>
      </c>
      <c r="J69">
        <v>7</v>
      </c>
      <c r="K69" t="s">
        <v>24</v>
      </c>
      <c r="M69" t="s">
        <v>25</v>
      </c>
      <c r="N69">
        <v>5</v>
      </c>
      <c r="O69" t="s">
        <v>69</v>
      </c>
      <c r="Q69" t="s">
        <v>40</v>
      </c>
      <c r="R69" t="s">
        <v>136</v>
      </c>
    </row>
    <row r="70" spans="1:20" x14ac:dyDescent="0.25">
      <c r="A70">
        <v>726604770</v>
      </c>
      <c r="B70" s="1">
        <v>46128.608212800929</v>
      </c>
      <c r="C70" s="1">
        <v>46128.610248888886</v>
      </c>
      <c r="D70" s="2">
        <v>46128</v>
      </c>
      <c r="E70">
        <v>900</v>
      </c>
      <c r="F70">
        <v>75</v>
      </c>
      <c r="G70" t="s">
        <v>30</v>
      </c>
      <c r="H70" t="s">
        <v>23</v>
      </c>
      <c r="I70" s="2">
        <v>45468</v>
      </c>
      <c r="J70">
        <v>30</v>
      </c>
      <c r="K70" t="s">
        <v>24</v>
      </c>
      <c r="M70" t="s">
        <v>25</v>
      </c>
      <c r="N70">
        <v>1</v>
      </c>
      <c r="O70" t="s">
        <v>34</v>
      </c>
      <c r="Q70" t="s">
        <v>40</v>
      </c>
      <c r="R70" t="s">
        <v>44</v>
      </c>
    </row>
    <row r="71" spans="1:20" x14ac:dyDescent="0.25">
      <c r="A71">
        <v>726607612</v>
      </c>
      <c r="B71" s="1">
        <v>46128.610249212965</v>
      </c>
      <c r="C71" s="1">
        <v>46128.611850185189</v>
      </c>
      <c r="D71" s="2">
        <v>46128</v>
      </c>
      <c r="E71">
        <v>1164</v>
      </c>
      <c r="F71">
        <v>97</v>
      </c>
      <c r="G71" t="s">
        <v>30</v>
      </c>
      <c r="H71" t="s">
        <v>23</v>
      </c>
      <c r="I71" s="2">
        <v>45356</v>
      </c>
      <c r="J71">
        <v>42</v>
      </c>
      <c r="K71" t="s">
        <v>24</v>
      </c>
      <c r="M71" t="s">
        <v>25</v>
      </c>
      <c r="N71">
        <v>10</v>
      </c>
      <c r="O71" t="s">
        <v>34</v>
      </c>
      <c r="Q71" t="s">
        <v>40</v>
      </c>
      <c r="R71" t="s">
        <v>44</v>
      </c>
    </row>
    <row r="72" spans="1:20" x14ac:dyDescent="0.25">
      <c r="A72">
        <v>726613688</v>
      </c>
      <c r="B72" s="1">
        <v>46128.611850474539</v>
      </c>
      <c r="C72" s="1">
        <v>46128.614850381942</v>
      </c>
      <c r="D72" s="2">
        <v>46128</v>
      </c>
      <c r="E72">
        <v>91</v>
      </c>
      <c r="F72">
        <v>7.6</v>
      </c>
      <c r="G72" t="s">
        <v>30</v>
      </c>
      <c r="H72" t="s">
        <v>79</v>
      </c>
      <c r="I72" s="2">
        <v>45639</v>
      </c>
      <c r="J72">
        <v>15</v>
      </c>
      <c r="K72" t="s">
        <v>24</v>
      </c>
      <c r="M72" t="s">
        <v>38</v>
      </c>
      <c r="N72">
        <v>18</v>
      </c>
      <c r="O72" t="s">
        <v>69</v>
      </c>
      <c r="Q72" t="s">
        <v>19</v>
      </c>
      <c r="T72" t="s">
        <v>70</v>
      </c>
    </row>
    <row r="73" spans="1:20" x14ac:dyDescent="0.25">
      <c r="A73">
        <v>726618268</v>
      </c>
      <c r="B73" s="1">
        <v>46128.614850706021</v>
      </c>
      <c r="C73" s="1">
        <v>46128.617198576387</v>
      </c>
      <c r="D73" s="2">
        <v>46128</v>
      </c>
      <c r="E73">
        <v>732</v>
      </c>
      <c r="F73">
        <v>61</v>
      </c>
      <c r="G73" t="s">
        <v>30</v>
      </c>
      <c r="H73" t="s">
        <v>27</v>
      </c>
      <c r="I73" s="2">
        <v>45364</v>
      </c>
      <c r="J73">
        <v>10</v>
      </c>
      <c r="K73" t="s">
        <v>24</v>
      </c>
      <c r="M73" t="s">
        <v>25</v>
      </c>
      <c r="N73">
        <v>17</v>
      </c>
      <c r="O73" t="s">
        <v>34</v>
      </c>
      <c r="Q73" t="s">
        <v>40</v>
      </c>
      <c r="R73" t="s">
        <v>44</v>
      </c>
    </row>
    <row r="74" spans="1:20" x14ac:dyDescent="0.25">
      <c r="A74">
        <v>727067760</v>
      </c>
      <c r="B74" s="1">
        <v>46128.617198946762</v>
      </c>
      <c r="C74" s="1">
        <v>46128.916751840276</v>
      </c>
      <c r="D74" s="2">
        <v>46128</v>
      </c>
      <c r="E74">
        <v>20</v>
      </c>
      <c r="F74">
        <v>1.7</v>
      </c>
      <c r="G74" t="s">
        <v>22</v>
      </c>
      <c r="H74" t="s">
        <v>23</v>
      </c>
      <c r="I74" s="2">
        <v>44194</v>
      </c>
      <c r="J74">
        <v>5</v>
      </c>
      <c r="K74" t="s">
        <v>32</v>
      </c>
      <c r="L74" t="s">
        <v>140</v>
      </c>
      <c r="M74" t="s">
        <v>38</v>
      </c>
      <c r="N74">
        <v>90</v>
      </c>
      <c r="O74" t="s">
        <v>73</v>
      </c>
      <c r="Q74" t="s">
        <v>19</v>
      </c>
      <c r="T74" t="s">
        <v>64</v>
      </c>
    </row>
    <row r="75" spans="1:20" x14ac:dyDescent="0.25">
      <c r="A75">
        <v>727075917</v>
      </c>
      <c r="B75" s="1">
        <v>46128.916752314813</v>
      </c>
      <c r="C75" s="1">
        <v>46128.922604444444</v>
      </c>
      <c r="D75" s="2">
        <v>46128</v>
      </c>
      <c r="E75">
        <v>564</v>
      </c>
      <c r="F75">
        <v>47</v>
      </c>
      <c r="G75" t="s">
        <v>30</v>
      </c>
      <c r="H75" t="s">
        <v>23</v>
      </c>
      <c r="I75" s="2">
        <v>44040</v>
      </c>
      <c r="J75">
        <v>912</v>
      </c>
      <c r="K75" t="s">
        <v>24</v>
      </c>
      <c r="M75" t="s">
        <v>38</v>
      </c>
      <c r="N75">
        <v>20</v>
      </c>
      <c r="O75" t="s">
        <v>34</v>
      </c>
      <c r="Q75" t="s">
        <v>40</v>
      </c>
      <c r="R75" t="s">
        <v>136</v>
      </c>
    </row>
    <row r="76" spans="1:20" x14ac:dyDescent="0.25">
      <c r="A76">
        <v>727075927</v>
      </c>
      <c r="B76" s="1">
        <v>46128.922605046297</v>
      </c>
      <c r="C76" s="1">
        <v>46128.926178831018</v>
      </c>
      <c r="D76" s="2">
        <v>46128</v>
      </c>
      <c r="E76">
        <v>60</v>
      </c>
      <c r="F76">
        <v>5</v>
      </c>
      <c r="G76" t="s">
        <v>30</v>
      </c>
      <c r="H76" t="s">
        <v>79</v>
      </c>
      <c r="I76" s="2">
        <v>43748</v>
      </c>
      <c r="J76">
        <v>730</v>
      </c>
      <c r="K76" t="s">
        <v>24</v>
      </c>
      <c r="M76" t="s">
        <v>38</v>
      </c>
      <c r="N76">
        <v>6</v>
      </c>
      <c r="O76" t="s">
        <v>34</v>
      </c>
      <c r="Q76" t="s">
        <v>19</v>
      </c>
      <c r="T76" t="s">
        <v>35</v>
      </c>
    </row>
    <row r="77" spans="1:20" x14ac:dyDescent="0.25">
      <c r="A77">
        <v>727075931</v>
      </c>
      <c r="B77" s="1">
        <v>46128.926179189817</v>
      </c>
      <c r="C77" s="1">
        <v>46128.928734050925</v>
      </c>
      <c r="D77" s="2">
        <v>46128</v>
      </c>
      <c r="E77">
        <v>672</v>
      </c>
      <c r="F77">
        <v>56</v>
      </c>
      <c r="G77" t="s">
        <v>30</v>
      </c>
      <c r="H77" t="s">
        <v>77</v>
      </c>
      <c r="I77" s="2">
        <v>43871</v>
      </c>
      <c r="J77">
        <v>21</v>
      </c>
      <c r="K77" t="s">
        <v>24</v>
      </c>
      <c r="M77" t="s">
        <v>38</v>
      </c>
      <c r="N77">
        <v>40</v>
      </c>
      <c r="O77" t="s">
        <v>69</v>
      </c>
      <c r="Q77" t="s">
        <v>40</v>
      </c>
      <c r="R77" t="s">
        <v>91</v>
      </c>
    </row>
    <row r="78" spans="1:20" x14ac:dyDescent="0.25">
      <c r="A78">
        <v>727075934</v>
      </c>
      <c r="B78" s="1">
        <v>46128.928734398149</v>
      </c>
      <c r="C78" s="1">
        <v>46128.930693807873</v>
      </c>
      <c r="D78" s="2">
        <v>46128</v>
      </c>
      <c r="E78">
        <v>624</v>
      </c>
      <c r="F78">
        <v>52</v>
      </c>
      <c r="G78" t="s">
        <v>22</v>
      </c>
      <c r="H78" t="s">
        <v>133</v>
      </c>
      <c r="I78" s="2">
        <v>45265</v>
      </c>
      <c r="J78">
        <v>7</v>
      </c>
      <c r="K78" t="s">
        <v>24</v>
      </c>
      <c r="M78" t="s">
        <v>38</v>
      </c>
      <c r="N78">
        <v>30</v>
      </c>
      <c r="O78" t="s">
        <v>34</v>
      </c>
      <c r="Q78" t="s">
        <v>40</v>
      </c>
      <c r="R78" t="s">
        <v>44</v>
      </c>
    </row>
    <row r="79" spans="1:20" x14ac:dyDescent="0.25">
      <c r="A79">
        <v>727075938</v>
      </c>
      <c r="B79" s="1">
        <v>46128.930694189818</v>
      </c>
      <c r="C79" s="1">
        <v>46128.933192060184</v>
      </c>
      <c r="D79" s="2">
        <v>46128</v>
      </c>
      <c r="E79">
        <v>852</v>
      </c>
      <c r="F79">
        <v>71</v>
      </c>
      <c r="G79" t="s">
        <v>30</v>
      </c>
      <c r="H79" t="s">
        <v>141</v>
      </c>
      <c r="I79" s="2">
        <v>43745</v>
      </c>
      <c r="J79">
        <v>7</v>
      </c>
      <c r="K79" t="s">
        <v>24</v>
      </c>
      <c r="M79" t="s">
        <v>38</v>
      </c>
      <c r="N79">
        <v>7</v>
      </c>
      <c r="O79" t="s">
        <v>69</v>
      </c>
      <c r="Q79" t="s">
        <v>40</v>
      </c>
      <c r="R79" t="s">
        <v>44</v>
      </c>
    </row>
    <row r="80" spans="1:20" x14ac:dyDescent="0.25">
      <c r="A80">
        <v>727169159</v>
      </c>
      <c r="B80" s="1">
        <v>46128.933192500001</v>
      </c>
      <c r="C80" s="1">
        <v>46129.159121018522</v>
      </c>
      <c r="D80" s="2">
        <v>46128</v>
      </c>
      <c r="E80">
        <v>552</v>
      </c>
      <c r="F80">
        <v>46</v>
      </c>
      <c r="G80" t="s">
        <v>30</v>
      </c>
      <c r="H80" t="s">
        <v>134</v>
      </c>
      <c r="I80" s="2">
        <v>45233</v>
      </c>
      <c r="J80">
        <v>5</v>
      </c>
      <c r="K80" t="s">
        <v>24</v>
      </c>
      <c r="M80" t="s">
        <v>25</v>
      </c>
      <c r="N80">
        <v>14</v>
      </c>
      <c r="O80" t="s">
        <v>88</v>
      </c>
      <c r="Q80" t="s">
        <v>28</v>
      </c>
      <c r="S80" t="s">
        <v>101</v>
      </c>
    </row>
    <row r="81" spans="1:22" x14ac:dyDescent="0.25">
      <c r="A81">
        <v>727169164</v>
      </c>
      <c r="B81" s="1">
        <v>46129.159121446763</v>
      </c>
      <c r="C81" s="1">
        <v>46129.162394571758</v>
      </c>
      <c r="D81" s="2">
        <v>46129</v>
      </c>
      <c r="E81">
        <v>48</v>
      </c>
      <c r="F81">
        <v>4</v>
      </c>
      <c r="G81" t="s">
        <v>22</v>
      </c>
      <c r="H81" t="s">
        <v>86</v>
      </c>
      <c r="I81" s="2">
        <v>45237</v>
      </c>
      <c r="J81">
        <v>1458</v>
      </c>
      <c r="K81" t="s">
        <v>24</v>
      </c>
      <c r="M81" t="s">
        <v>38</v>
      </c>
      <c r="N81">
        <v>15</v>
      </c>
      <c r="O81" t="s">
        <v>34</v>
      </c>
      <c r="Q81" t="s">
        <v>40</v>
      </c>
      <c r="R81" t="s">
        <v>47</v>
      </c>
      <c r="V81" t="s">
        <v>142</v>
      </c>
    </row>
    <row r="82" spans="1:22" x14ac:dyDescent="0.25">
      <c r="A82">
        <v>727169171</v>
      </c>
      <c r="B82" s="1">
        <v>46129.162394884261</v>
      </c>
      <c r="C82" s="1">
        <v>46129.166005509258</v>
      </c>
      <c r="D82" s="2">
        <v>46129</v>
      </c>
      <c r="E82">
        <v>552</v>
      </c>
      <c r="F82">
        <v>46</v>
      </c>
      <c r="G82" t="s">
        <v>30</v>
      </c>
      <c r="H82" t="s">
        <v>143</v>
      </c>
      <c r="I82" s="2">
        <v>45412</v>
      </c>
      <c r="J82">
        <v>657</v>
      </c>
      <c r="K82" t="s">
        <v>24</v>
      </c>
      <c r="M82" t="s">
        <v>25</v>
      </c>
      <c r="N82">
        <v>4</v>
      </c>
      <c r="O82" t="s">
        <v>34</v>
      </c>
      <c r="Q82" t="s">
        <v>144</v>
      </c>
      <c r="U82" t="s">
        <v>47</v>
      </c>
      <c r="V82" t="s">
        <v>145</v>
      </c>
    </row>
    <row r="83" spans="1:22" x14ac:dyDescent="0.25">
      <c r="A83">
        <v>727169173</v>
      </c>
      <c r="B83" s="1">
        <v>46129.166005833336</v>
      </c>
      <c r="C83" s="1">
        <v>46129.167279340276</v>
      </c>
      <c r="D83" s="2">
        <v>46129</v>
      </c>
      <c r="E83">
        <v>11</v>
      </c>
      <c r="F83">
        <v>0.9</v>
      </c>
      <c r="G83" t="s">
        <v>30</v>
      </c>
      <c r="H83" t="s">
        <v>23</v>
      </c>
      <c r="I83" s="2">
        <v>45469</v>
      </c>
      <c r="J83">
        <v>4</v>
      </c>
      <c r="K83" t="s">
        <v>24</v>
      </c>
      <c r="M83" t="s">
        <v>25</v>
      </c>
      <c r="N83">
        <v>10</v>
      </c>
      <c r="O83" t="s">
        <v>34</v>
      </c>
      <c r="Q83" t="s">
        <v>28</v>
      </c>
      <c r="S83" t="s">
        <v>101</v>
      </c>
    </row>
    <row r="84" spans="1:22" x14ac:dyDescent="0.25">
      <c r="A84">
        <v>727169177</v>
      </c>
      <c r="B84" s="1">
        <v>46129.167279618057</v>
      </c>
      <c r="C84" s="1">
        <v>46129.169292766201</v>
      </c>
      <c r="D84" s="2">
        <v>46129</v>
      </c>
      <c r="E84">
        <v>552</v>
      </c>
      <c r="F84">
        <v>46</v>
      </c>
      <c r="G84" t="s">
        <v>22</v>
      </c>
      <c r="H84" t="s">
        <v>146</v>
      </c>
      <c r="I84" s="2">
        <v>45435</v>
      </c>
      <c r="J84">
        <v>30</v>
      </c>
      <c r="K84" t="s">
        <v>24</v>
      </c>
      <c r="M84" t="s">
        <v>25</v>
      </c>
      <c r="N84">
        <v>10</v>
      </c>
      <c r="O84" t="s">
        <v>88</v>
      </c>
      <c r="Q84" t="s">
        <v>28</v>
      </c>
      <c r="S84" t="s">
        <v>147</v>
      </c>
    </row>
    <row r="85" spans="1:22" x14ac:dyDescent="0.25">
      <c r="A85">
        <v>727254557</v>
      </c>
      <c r="B85" s="1">
        <v>46129.169293136576</v>
      </c>
      <c r="C85" s="1">
        <v>46129.280062048609</v>
      </c>
      <c r="D85" s="2">
        <v>46129</v>
      </c>
      <c r="E85">
        <v>564</v>
      </c>
      <c r="F85">
        <v>47</v>
      </c>
      <c r="G85" t="s">
        <v>22</v>
      </c>
      <c r="H85" t="s">
        <v>39</v>
      </c>
      <c r="I85" s="2">
        <v>45546</v>
      </c>
      <c r="J85">
        <v>7</v>
      </c>
      <c r="K85" t="s">
        <v>32</v>
      </c>
      <c r="L85" t="s">
        <v>148</v>
      </c>
      <c r="M85" t="s">
        <v>38</v>
      </c>
      <c r="N85">
        <v>22</v>
      </c>
      <c r="O85" t="s">
        <v>69</v>
      </c>
      <c r="Q85" t="s">
        <v>19</v>
      </c>
      <c r="T85" t="s">
        <v>35</v>
      </c>
    </row>
    <row r="86" spans="1:22" x14ac:dyDescent="0.25">
      <c r="A86">
        <v>727363670</v>
      </c>
      <c r="B86" s="1">
        <v>46129.280062442129</v>
      </c>
      <c r="C86" s="1">
        <v>46129.368551273146</v>
      </c>
      <c r="D86" s="2">
        <v>46129</v>
      </c>
      <c r="E86">
        <v>624</v>
      </c>
      <c r="F86">
        <v>52</v>
      </c>
      <c r="G86" t="s">
        <v>30</v>
      </c>
      <c r="H86" t="s">
        <v>77</v>
      </c>
      <c r="I86" s="2">
        <v>45489</v>
      </c>
      <c r="J86">
        <v>730</v>
      </c>
      <c r="K86" t="s">
        <v>24</v>
      </c>
      <c r="M86" t="s">
        <v>25</v>
      </c>
      <c r="N86">
        <v>15</v>
      </c>
      <c r="O86" t="s">
        <v>88</v>
      </c>
      <c r="Q86" t="s">
        <v>144</v>
      </c>
      <c r="U86" t="s">
        <v>47</v>
      </c>
      <c r="V86" t="s">
        <v>145</v>
      </c>
    </row>
    <row r="87" spans="1:22" x14ac:dyDescent="0.25">
      <c r="A87">
        <v>727368762</v>
      </c>
      <c r="B87" s="1">
        <v>46129.368551782405</v>
      </c>
      <c r="C87" s="1">
        <v>46129.372988148149</v>
      </c>
      <c r="D87" s="2">
        <v>46129</v>
      </c>
      <c r="E87">
        <v>972</v>
      </c>
      <c r="F87">
        <v>81</v>
      </c>
      <c r="G87" t="s">
        <v>22</v>
      </c>
      <c r="H87" t="s">
        <v>149</v>
      </c>
      <c r="I87" s="2">
        <v>45523</v>
      </c>
      <c r="J87">
        <v>14</v>
      </c>
      <c r="K87" t="s">
        <v>32</v>
      </c>
      <c r="L87" t="s">
        <v>134</v>
      </c>
      <c r="M87" t="s">
        <v>58</v>
      </c>
      <c r="N87">
        <v>3</v>
      </c>
      <c r="O87" t="s">
        <v>34</v>
      </c>
      <c r="Q87" t="s">
        <v>19</v>
      </c>
      <c r="T87" t="s">
        <v>35</v>
      </c>
    </row>
    <row r="88" spans="1:22" x14ac:dyDescent="0.25">
      <c r="A88">
        <v>727375146</v>
      </c>
      <c r="B88" s="1">
        <v>46129.372988506948</v>
      </c>
      <c r="C88" s="1">
        <v>46129.377149386572</v>
      </c>
      <c r="D88" s="2">
        <v>46129</v>
      </c>
      <c r="E88">
        <v>792</v>
      </c>
      <c r="F88">
        <v>66</v>
      </c>
      <c r="G88" t="s">
        <v>30</v>
      </c>
      <c r="H88" t="s">
        <v>77</v>
      </c>
      <c r="I88" s="2">
        <v>45534</v>
      </c>
      <c r="J88">
        <v>365</v>
      </c>
      <c r="K88" t="s">
        <v>24</v>
      </c>
      <c r="M88" t="s">
        <v>25</v>
      </c>
      <c r="N88">
        <v>15</v>
      </c>
      <c r="O88" t="s">
        <v>34</v>
      </c>
      <c r="Q88" t="s">
        <v>40</v>
      </c>
      <c r="R88" t="s">
        <v>91</v>
      </c>
    </row>
    <row r="89" spans="1:22" x14ac:dyDescent="0.25">
      <c r="A89">
        <v>727381382</v>
      </c>
      <c r="B89" s="1">
        <v>46129.37714971065</v>
      </c>
      <c r="C89" s="1">
        <v>46129.381235833331</v>
      </c>
      <c r="D89" s="2">
        <v>46129</v>
      </c>
      <c r="E89">
        <v>840</v>
      </c>
      <c r="F89">
        <v>70</v>
      </c>
      <c r="G89" t="s">
        <v>30</v>
      </c>
      <c r="H89" t="s">
        <v>77</v>
      </c>
      <c r="I89" s="2">
        <v>46038</v>
      </c>
      <c r="J89">
        <v>6</v>
      </c>
      <c r="K89" t="s">
        <v>32</v>
      </c>
      <c r="L89" t="s">
        <v>92</v>
      </c>
      <c r="M89" t="s">
        <v>25</v>
      </c>
      <c r="N89">
        <v>47</v>
      </c>
      <c r="O89" t="s">
        <v>88</v>
      </c>
      <c r="Q89" t="s">
        <v>19</v>
      </c>
      <c r="T89" t="s">
        <v>64</v>
      </c>
    </row>
    <row r="90" spans="1:22" x14ac:dyDescent="0.25">
      <c r="A90">
        <v>727387342</v>
      </c>
      <c r="B90" s="1">
        <v>46129.381236180554</v>
      </c>
      <c r="C90" s="1">
        <v>46129.385445312502</v>
      </c>
      <c r="D90" s="2">
        <v>46129</v>
      </c>
      <c r="E90">
        <v>18</v>
      </c>
      <c r="F90">
        <v>1.5</v>
      </c>
      <c r="G90" t="s">
        <v>22</v>
      </c>
      <c r="H90" t="s">
        <v>27</v>
      </c>
      <c r="I90" s="2">
        <v>45406</v>
      </c>
      <c r="J90">
        <v>2</v>
      </c>
      <c r="K90" t="s">
        <v>24</v>
      </c>
      <c r="M90" t="s">
        <v>25</v>
      </c>
      <c r="N90">
        <v>1</v>
      </c>
      <c r="O90" t="s">
        <v>34</v>
      </c>
      <c r="Q90" t="s">
        <v>28</v>
      </c>
      <c r="S90" t="s">
        <v>101</v>
      </c>
    </row>
    <row r="91" spans="1:22" x14ac:dyDescent="0.25">
      <c r="A91">
        <v>727394807</v>
      </c>
      <c r="B91" s="1">
        <v>46129.385445671294</v>
      </c>
      <c r="C91" s="1">
        <v>46129.390417002316</v>
      </c>
      <c r="D91" s="2">
        <v>46129</v>
      </c>
      <c r="E91">
        <v>552</v>
      </c>
      <c r="F91">
        <v>46</v>
      </c>
      <c r="G91" t="s">
        <v>22</v>
      </c>
      <c r="H91" t="s">
        <v>150</v>
      </c>
      <c r="I91" s="2">
        <v>46043</v>
      </c>
      <c r="J91">
        <v>4</v>
      </c>
      <c r="K91" t="s">
        <v>32</v>
      </c>
      <c r="L91" t="s">
        <v>151</v>
      </c>
      <c r="M91" t="s">
        <v>38</v>
      </c>
      <c r="N91">
        <v>5</v>
      </c>
      <c r="O91" t="s">
        <v>88</v>
      </c>
      <c r="Q91" t="s">
        <v>19</v>
      </c>
      <c r="T91" t="s">
        <v>74</v>
      </c>
    </row>
    <row r="92" spans="1:22" x14ac:dyDescent="0.25">
      <c r="A92">
        <v>727401585</v>
      </c>
      <c r="B92" s="1">
        <v>46129.390417361108</v>
      </c>
      <c r="C92" s="1">
        <v>46129.395338159724</v>
      </c>
      <c r="D92" s="2">
        <v>46129</v>
      </c>
      <c r="E92">
        <v>1164</v>
      </c>
      <c r="F92">
        <v>97</v>
      </c>
      <c r="G92" t="s">
        <v>30</v>
      </c>
      <c r="H92" t="s">
        <v>23</v>
      </c>
      <c r="I92" s="2">
        <v>46106</v>
      </c>
      <c r="J92">
        <v>60</v>
      </c>
      <c r="K92" t="s">
        <v>24</v>
      </c>
      <c r="M92" t="s">
        <v>25</v>
      </c>
      <c r="N92">
        <v>15</v>
      </c>
      <c r="O92" t="s">
        <v>88</v>
      </c>
      <c r="Q92" t="s">
        <v>40</v>
      </c>
      <c r="R92" t="s">
        <v>44</v>
      </c>
    </row>
    <row r="93" spans="1:22" x14ac:dyDescent="0.25">
      <c r="A93">
        <v>727409977</v>
      </c>
      <c r="B93" s="1">
        <v>46129.395338530092</v>
      </c>
      <c r="C93" s="1">
        <v>46129.401674930552</v>
      </c>
      <c r="D93" s="2">
        <v>46129</v>
      </c>
      <c r="E93">
        <v>912</v>
      </c>
      <c r="F93">
        <v>76</v>
      </c>
      <c r="G93" t="s">
        <v>30</v>
      </c>
      <c r="H93" t="s">
        <v>77</v>
      </c>
      <c r="I93" s="2">
        <v>46111</v>
      </c>
      <c r="J93">
        <v>60</v>
      </c>
      <c r="K93" t="s">
        <v>24</v>
      </c>
      <c r="M93" t="s">
        <v>25</v>
      </c>
      <c r="N93">
        <v>14</v>
      </c>
      <c r="O93" t="s">
        <v>88</v>
      </c>
      <c r="Q93" t="s">
        <v>40</v>
      </c>
      <c r="R93" t="s">
        <v>47</v>
      </c>
      <c r="V93" t="s">
        <v>132</v>
      </c>
    </row>
    <row r="94" spans="1:22" x14ac:dyDescent="0.25">
      <c r="A94">
        <v>727417895</v>
      </c>
      <c r="B94" s="1">
        <v>46129.401675312503</v>
      </c>
      <c r="C94" s="1">
        <v>46129.407057835648</v>
      </c>
      <c r="D94" s="2">
        <v>46129</v>
      </c>
      <c r="E94">
        <v>792</v>
      </c>
      <c r="F94">
        <v>66</v>
      </c>
      <c r="G94" t="s">
        <v>30</v>
      </c>
      <c r="H94" t="s">
        <v>23</v>
      </c>
      <c r="I94" s="2">
        <v>45362</v>
      </c>
      <c r="J94">
        <v>210</v>
      </c>
      <c r="K94" t="s">
        <v>24</v>
      </c>
      <c r="M94" t="s">
        <v>25</v>
      </c>
      <c r="N94">
        <v>6</v>
      </c>
      <c r="O94" t="s">
        <v>34</v>
      </c>
      <c r="Q94" t="s">
        <v>40</v>
      </c>
      <c r="R94" t="s">
        <v>44</v>
      </c>
    </row>
    <row r="95" spans="1:22" x14ac:dyDescent="0.25">
      <c r="A95">
        <v>727422558</v>
      </c>
      <c r="B95" s="1">
        <v>46129.407058229168</v>
      </c>
      <c r="C95" s="1">
        <v>46129.410446481481</v>
      </c>
      <c r="D95" s="2">
        <v>46129</v>
      </c>
      <c r="E95">
        <v>948</v>
      </c>
      <c r="F95">
        <v>79</v>
      </c>
      <c r="G95" t="s">
        <v>22</v>
      </c>
      <c r="H95" t="s">
        <v>152</v>
      </c>
      <c r="I95" s="2">
        <v>46049</v>
      </c>
      <c r="J95">
        <v>35</v>
      </c>
      <c r="K95" t="s">
        <v>24</v>
      </c>
      <c r="M95" t="s">
        <v>25</v>
      </c>
      <c r="N95">
        <v>10</v>
      </c>
      <c r="O95" t="s">
        <v>34</v>
      </c>
      <c r="Q95" t="s">
        <v>40</v>
      </c>
      <c r="R95" t="s">
        <v>136</v>
      </c>
    </row>
    <row r="96" spans="1:22" x14ac:dyDescent="0.25">
      <c r="A96">
        <v>727427192</v>
      </c>
      <c r="B96" s="1">
        <v>46129.410446793983</v>
      </c>
      <c r="C96" s="1">
        <v>46129.414217708334</v>
      </c>
      <c r="D96" s="2">
        <v>46129</v>
      </c>
      <c r="E96">
        <v>648</v>
      </c>
      <c r="F96">
        <v>54</v>
      </c>
      <c r="G96" t="s">
        <v>30</v>
      </c>
      <c r="H96" t="s">
        <v>77</v>
      </c>
      <c r="I96" s="2">
        <v>45406</v>
      </c>
      <c r="J96">
        <v>90</v>
      </c>
      <c r="K96" t="s">
        <v>24</v>
      </c>
      <c r="M96" t="s">
        <v>25</v>
      </c>
      <c r="N96">
        <v>12</v>
      </c>
      <c r="O96" t="s">
        <v>34</v>
      </c>
      <c r="Q96" t="s">
        <v>144</v>
      </c>
      <c r="U96" t="s">
        <v>47</v>
      </c>
      <c r="V96" t="s">
        <v>145</v>
      </c>
    </row>
    <row r="97" spans="1:22" x14ac:dyDescent="0.25">
      <c r="A97">
        <v>727560327</v>
      </c>
      <c r="B97" s="1">
        <v>46129.41421800926</v>
      </c>
      <c r="C97" s="1">
        <v>46129.523002986112</v>
      </c>
      <c r="D97" s="2">
        <v>46129</v>
      </c>
      <c r="E97">
        <v>528</v>
      </c>
      <c r="F97">
        <v>44</v>
      </c>
      <c r="G97" t="s">
        <v>22</v>
      </c>
      <c r="H97" t="s">
        <v>153</v>
      </c>
      <c r="I97" s="2">
        <v>44179</v>
      </c>
      <c r="J97">
        <v>14</v>
      </c>
      <c r="K97" t="s">
        <v>32</v>
      </c>
      <c r="L97" t="s">
        <v>128</v>
      </c>
      <c r="M97" t="s">
        <v>38</v>
      </c>
      <c r="N97">
        <v>26</v>
      </c>
      <c r="O97" t="s">
        <v>69</v>
      </c>
      <c r="Q97" t="s">
        <v>19</v>
      </c>
      <c r="T97" t="s">
        <v>74</v>
      </c>
    </row>
    <row r="98" spans="1:22" x14ac:dyDescent="0.25">
      <c r="A98">
        <v>727564575</v>
      </c>
      <c r="B98" s="1">
        <v>46129.523003506947</v>
      </c>
      <c r="C98" s="1">
        <v>46129.52622684028</v>
      </c>
      <c r="D98" s="2">
        <v>46129</v>
      </c>
      <c r="E98">
        <v>72</v>
      </c>
      <c r="F98">
        <v>6</v>
      </c>
      <c r="G98" t="s">
        <v>22</v>
      </c>
      <c r="H98" t="s">
        <v>86</v>
      </c>
      <c r="I98" s="2">
        <v>43955</v>
      </c>
      <c r="J98">
        <v>3</v>
      </c>
      <c r="K98" t="s">
        <v>32</v>
      </c>
      <c r="L98" t="s">
        <v>105</v>
      </c>
      <c r="M98" t="s">
        <v>38</v>
      </c>
      <c r="N98">
        <v>9</v>
      </c>
      <c r="O98" t="s">
        <v>88</v>
      </c>
      <c r="Q98" t="s">
        <v>19</v>
      </c>
      <c r="T98" t="s">
        <v>74</v>
      </c>
    </row>
    <row r="99" spans="1:22" x14ac:dyDescent="0.25">
      <c r="A99">
        <v>727575819</v>
      </c>
      <c r="B99" s="1">
        <v>46129.526227326387</v>
      </c>
      <c r="C99" s="1">
        <v>46129.534637604163</v>
      </c>
      <c r="D99" s="2">
        <v>46129</v>
      </c>
      <c r="E99">
        <v>72</v>
      </c>
      <c r="F99">
        <v>6</v>
      </c>
      <c r="G99" t="s">
        <v>30</v>
      </c>
      <c r="H99" t="s">
        <v>79</v>
      </c>
      <c r="I99" s="2">
        <v>43676</v>
      </c>
      <c r="J99">
        <v>12</v>
      </c>
      <c r="K99" t="s">
        <v>24</v>
      </c>
      <c r="M99" t="s">
        <v>25</v>
      </c>
      <c r="N99">
        <v>7</v>
      </c>
      <c r="O99" t="s">
        <v>34</v>
      </c>
      <c r="Q99" t="s">
        <v>28</v>
      </c>
      <c r="S99" t="s">
        <v>29</v>
      </c>
    </row>
    <row r="100" spans="1:22" x14ac:dyDescent="0.25">
      <c r="A100">
        <v>727580014</v>
      </c>
      <c r="B100" s="1">
        <v>46129.534638252313</v>
      </c>
      <c r="C100" s="1">
        <v>46129.537729340278</v>
      </c>
      <c r="D100" s="2">
        <v>46129</v>
      </c>
      <c r="E100">
        <v>36</v>
      </c>
      <c r="F100">
        <v>3</v>
      </c>
      <c r="G100" t="s">
        <v>22</v>
      </c>
      <c r="H100" t="s">
        <v>23</v>
      </c>
      <c r="I100" s="2">
        <v>43544</v>
      </c>
      <c r="J100">
        <v>180</v>
      </c>
      <c r="K100" t="s">
        <v>24</v>
      </c>
      <c r="M100" t="s">
        <v>25</v>
      </c>
      <c r="N100">
        <v>6</v>
      </c>
      <c r="O100" t="s">
        <v>34</v>
      </c>
      <c r="Q100" t="s">
        <v>28</v>
      </c>
      <c r="S100" t="s">
        <v>101</v>
      </c>
    </row>
    <row r="101" spans="1:22" x14ac:dyDescent="0.25">
      <c r="A101">
        <v>727583780</v>
      </c>
      <c r="B101" s="1">
        <v>46129.537729768519</v>
      </c>
      <c r="C101" s="1">
        <v>46129.540583657406</v>
      </c>
      <c r="D101" s="2">
        <v>46129</v>
      </c>
      <c r="E101">
        <v>36</v>
      </c>
      <c r="F101">
        <v>3</v>
      </c>
      <c r="G101" t="s">
        <v>30</v>
      </c>
      <c r="H101" t="s">
        <v>79</v>
      </c>
      <c r="I101" s="2">
        <v>43598</v>
      </c>
      <c r="J101">
        <v>5</v>
      </c>
      <c r="K101" t="s">
        <v>24</v>
      </c>
      <c r="M101" t="s">
        <v>25</v>
      </c>
      <c r="N101">
        <v>1</v>
      </c>
      <c r="O101" t="s">
        <v>88</v>
      </c>
      <c r="Q101" t="s">
        <v>28</v>
      </c>
      <c r="S101" t="s">
        <v>101</v>
      </c>
    </row>
    <row r="102" spans="1:22" x14ac:dyDescent="0.25">
      <c r="A102">
        <v>727587593</v>
      </c>
      <c r="B102" s="1">
        <v>46129.526660381947</v>
      </c>
      <c r="C102" s="1">
        <v>46129.543653171299</v>
      </c>
      <c r="D102" s="2">
        <v>46129</v>
      </c>
      <c r="E102">
        <v>312</v>
      </c>
      <c r="F102">
        <v>26</v>
      </c>
      <c r="G102" t="s">
        <v>22</v>
      </c>
      <c r="H102" t="s">
        <v>39</v>
      </c>
      <c r="I102" s="2">
        <v>43971</v>
      </c>
      <c r="J102">
        <v>10</v>
      </c>
      <c r="K102" t="s">
        <v>32</v>
      </c>
      <c r="L102" t="s">
        <v>154</v>
      </c>
      <c r="M102" t="s">
        <v>38</v>
      </c>
      <c r="N102">
        <v>1</v>
      </c>
      <c r="O102" t="s">
        <v>51</v>
      </c>
      <c r="Q102" t="s">
        <v>19</v>
      </c>
      <c r="T102" t="s">
        <v>35</v>
      </c>
    </row>
    <row r="103" spans="1:22" x14ac:dyDescent="0.25">
      <c r="A103">
        <v>727587971</v>
      </c>
      <c r="B103" s="1">
        <v>46129.540583969909</v>
      </c>
      <c r="C103" s="1">
        <v>46129.544028680553</v>
      </c>
      <c r="D103" s="2">
        <v>46129</v>
      </c>
      <c r="E103">
        <v>948</v>
      </c>
      <c r="F103">
        <v>79</v>
      </c>
      <c r="G103" t="s">
        <v>30</v>
      </c>
      <c r="H103" t="s">
        <v>23</v>
      </c>
      <c r="I103" s="2">
        <v>44104</v>
      </c>
      <c r="J103">
        <v>28</v>
      </c>
      <c r="K103" t="s">
        <v>24</v>
      </c>
      <c r="M103" t="s">
        <v>25</v>
      </c>
      <c r="N103">
        <v>2</v>
      </c>
      <c r="O103" t="s">
        <v>88</v>
      </c>
      <c r="Q103" t="s">
        <v>40</v>
      </c>
      <c r="R103" t="s">
        <v>136</v>
      </c>
    </row>
    <row r="104" spans="1:22" x14ac:dyDescent="0.25">
      <c r="A104">
        <v>727591779</v>
      </c>
      <c r="B104" s="1">
        <v>46129.544029062497</v>
      </c>
      <c r="C104" s="1">
        <v>46129.547018831021</v>
      </c>
      <c r="D104" s="2">
        <v>46129</v>
      </c>
      <c r="E104">
        <v>396</v>
      </c>
      <c r="F104">
        <v>33</v>
      </c>
      <c r="G104" t="s">
        <v>22</v>
      </c>
      <c r="H104" t="s">
        <v>155</v>
      </c>
      <c r="I104" s="2">
        <v>43587</v>
      </c>
      <c r="J104">
        <v>14</v>
      </c>
      <c r="K104" t="s">
        <v>32</v>
      </c>
      <c r="L104" t="s">
        <v>134</v>
      </c>
      <c r="M104" t="s">
        <v>38</v>
      </c>
      <c r="N104">
        <v>10</v>
      </c>
      <c r="O104" t="s">
        <v>69</v>
      </c>
      <c r="Q104" t="s">
        <v>19</v>
      </c>
      <c r="T104" t="s">
        <v>74</v>
      </c>
    </row>
    <row r="105" spans="1:22" x14ac:dyDescent="0.25">
      <c r="A105">
        <v>727647105</v>
      </c>
      <c r="B105" s="1">
        <v>46129.547019282407</v>
      </c>
      <c r="C105" s="1">
        <v>46129.583760046298</v>
      </c>
      <c r="D105" s="2">
        <v>46129</v>
      </c>
      <c r="E105">
        <v>720</v>
      </c>
      <c r="F105">
        <v>60</v>
      </c>
      <c r="G105" t="s">
        <v>22</v>
      </c>
      <c r="H105" t="s">
        <v>153</v>
      </c>
      <c r="I105" s="2">
        <v>46027</v>
      </c>
      <c r="J105">
        <v>6</v>
      </c>
      <c r="K105" t="s">
        <v>24</v>
      </c>
      <c r="M105" t="s">
        <v>25</v>
      </c>
      <c r="N105">
        <v>2</v>
      </c>
      <c r="O105" t="s">
        <v>88</v>
      </c>
      <c r="Q105" t="s">
        <v>28</v>
      </c>
      <c r="S105" t="s">
        <v>147</v>
      </c>
    </row>
    <row r="106" spans="1:22" x14ac:dyDescent="0.25">
      <c r="A106">
        <v>727652676</v>
      </c>
      <c r="B106" s="1">
        <v>46129.58376050926</v>
      </c>
      <c r="C106" s="1">
        <v>46129.586736817131</v>
      </c>
      <c r="D106" s="2">
        <v>46129</v>
      </c>
      <c r="E106">
        <v>324</v>
      </c>
      <c r="F106">
        <v>27</v>
      </c>
      <c r="G106" t="s">
        <v>30</v>
      </c>
      <c r="H106" t="s">
        <v>23</v>
      </c>
      <c r="I106" s="2">
        <v>46017</v>
      </c>
      <c r="J106">
        <v>6</v>
      </c>
      <c r="K106" t="s">
        <v>24</v>
      </c>
      <c r="M106" t="s">
        <v>38</v>
      </c>
      <c r="N106">
        <v>16</v>
      </c>
      <c r="O106" t="s">
        <v>88</v>
      </c>
      <c r="Q106" t="s">
        <v>19</v>
      </c>
      <c r="T106" t="s">
        <v>47</v>
      </c>
      <c r="V106" t="s">
        <v>127</v>
      </c>
    </row>
    <row r="107" spans="1:22" x14ac:dyDescent="0.25">
      <c r="A107">
        <v>727653455</v>
      </c>
      <c r="B107" s="1">
        <v>46125.57944927083</v>
      </c>
      <c r="C107" s="1">
        <v>46129.58718278935</v>
      </c>
      <c r="D107" s="2">
        <v>46125</v>
      </c>
      <c r="E107">
        <v>492</v>
      </c>
      <c r="F107">
        <v>41</v>
      </c>
      <c r="G107" t="s">
        <v>30</v>
      </c>
      <c r="H107" t="s">
        <v>156</v>
      </c>
      <c r="I107" s="2">
        <v>45468</v>
      </c>
      <c r="J107">
        <v>385</v>
      </c>
      <c r="K107" t="s">
        <v>32</v>
      </c>
      <c r="L107" t="s">
        <v>157</v>
      </c>
      <c r="M107" t="s">
        <v>25</v>
      </c>
      <c r="N107">
        <v>60</v>
      </c>
      <c r="O107" t="s">
        <v>69</v>
      </c>
      <c r="Q107" t="s">
        <v>19</v>
      </c>
      <c r="T107" t="s">
        <v>35</v>
      </c>
    </row>
    <row r="108" spans="1:22" x14ac:dyDescent="0.25">
      <c r="A108">
        <v>727658203</v>
      </c>
      <c r="B108" s="1">
        <v>46129.587184328702</v>
      </c>
      <c r="C108" s="1">
        <v>46129.589605775465</v>
      </c>
      <c r="D108" s="2">
        <v>46129</v>
      </c>
      <c r="E108">
        <v>396</v>
      </c>
      <c r="F108">
        <v>33</v>
      </c>
      <c r="G108" t="s">
        <v>30</v>
      </c>
      <c r="H108" t="s">
        <v>42</v>
      </c>
      <c r="I108" s="2">
        <v>45166</v>
      </c>
      <c r="J108">
        <v>577</v>
      </c>
      <c r="K108" t="s">
        <v>24</v>
      </c>
      <c r="M108" t="s">
        <v>38</v>
      </c>
      <c r="N108">
        <v>48</v>
      </c>
      <c r="O108" t="s">
        <v>88</v>
      </c>
      <c r="Q108" t="s">
        <v>40</v>
      </c>
      <c r="R108" t="s">
        <v>136</v>
      </c>
    </row>
    <row r="109" spans="1:22" x14ac:dyDescent="0.25">
      <c r="A109">
        <v>727661443</v>
      </c>
      <c r="B109" s="1">
        <v>46129.589607094909</v>
      </c>
      <c r="C109" s="1">
        <v>46129.591293530095</v>
      </c>
      <c r="D109" s="2">
        <v>46129</v>
      </c>
      <c r="E109">
        <v>840</v>
      </c>
      <c r="F109">
        <v>70</v>
      </c>
      <c r="G109" t="s">
        <v>30</v>
      </c>
      <c r="H109" t="s">
        <v>90</v>
      </c>
      <c r="I109" s="2">
        <v>45289</v>
      </c>
      <c r="J109">
        <v>62</v>
      </c>
      <c r="K109" t="s">
        <v>24</v>
      </c>
      <c r="M109" t="s">
        <v>25</v>
      </c>
      <c r="N109">
        <v>95</v>
      </c>
      <c r="O109" t="s">
        <v>69</v>
      </c>
      <c r="Q109" t="s">
        <v>40</v>
      </c>
      <c r="R109" t="s">
        <v>44</v>
      </c>
    </row>
    <row r="110" spans="1:22" x14ac:dyDescent="0.25">
      <c r="A110">
        <v>727664616</v>
      </c>
      <c r="B110" s="1">
        <v>46129.591294965277</v>
      </c>
      <c r="C110" s="1">
        <v>46129.592773657409</v>
      </c>
      <c r="D110" s="2">
        <v>46129</v>
      </c>
      <c r="E110">
        <v>324</v>
      </c>
      <c r="F110">
        <v>27</v>
      </c>
      <c r="G110" t="s">
        <v>30</v>
      </c>
      <c r="H110" t="s">
        <v>158</v>
      </c>
      <c r="I110" s="2">
        <v>44376</v>
      </c>
      <c r="J110">
        <v>10</v>
      </c>
      <c r="K110" t="s">
        <v>32</v>
      </c>
      <c r="L110" t="s">
        <v>159</v>
      </c>
      <c r="M110" t="s">
        <v>25</v>
      </c>
      <c r="N110">
        <v>90</v>
      </c>
      <c r="O110" t="s">
        <v>69</v>
      </c>
      <c r="Q110" t="s">
        <v>19</v>
      </c>
      <c r="T110" t="s">
        <v>74</v>
      </c>
    </row>
    <row r="111" spans="1:22" x14ac:dyDescent="0.25">
      <c r="A111">
        <v>727667835</v>
      </c>
      <c r="B111" s="1">
        <v>46129.592774872683</v>
      </c>
      <c r="C111" s="1">
        <v>46129.594375983797</v>
      </c>
      <c r="D111" s="2">
        <v>46129</v>
      </c>
      <c r="E111">
        <v>564</v>
      </c>
      <c r="F111">
        <v>47</v>
      </c>
      <c r="G111" t="s">
        <v>30</v>
      </c>
      <c r="H111" t="s">
        <v>141</v>
      </c>
      <c r="I111" s="2">
        <v>44516</v>
      </c>
      <c r="J111">
        <v>4</v>
      </c>
      <c r="K111" t="s">
        <v>32</v>
      </c>
      <c r="L111" t="s">
        <v>160</v>
      </c>
      <c r="M111" t="s">
        <v>25</v>
      </c>
      <c r="N111">
        <v>5</v>
      </c>
      <c r="O111" t="s">
        <v>26</v>
      </c>
      <c r="P111" t="s">
        <v>27</v>
      </c>
      <c r="Q111" t="s">
        <v>19</v>
      </c>
      <c r="T111" t="s">
        <v>35</v>
      </c>
    </row>
    <row r="112" spans="1:22" x14ac:dyDescent="0.25">
      <c r="A112">
        <v>727670481</v>
      </c>
      <c r="B112" s="1">
        <v>46129.586737129626</v>
      </c>
      <c r="C112" s="1">
        <v>46129.596082094904</v>
      </c>
      <c r="D112" s="2">
        <v>46129</v>
      </c>
      <c r="E112">
        <v>1080</v>
      </c>
      <c r="F112">
        <v>90</v>
      </c>
      <c r="G112" t="s">
        <v>30</v>
      </c>
      <c r="H112" t="s">
        <v>23</v>
      </c>
      <c r="I112" s="2">
        <v>46122</v>
      </c>
      <c r="J112">
        <v>270</v>
      </c>
      <c r="K112" t="s">
        <v>24</v>
      </c>
      <c r="M112" t="s">
        <v>25</v>
      </c>
      <c r="N112">
        <v>3</v>
      </c>
      <c r="O112" t="s">
        <v>34</v>
      </c>
      <c r="Q112" t="s">
        <v>40</v>
      </c>
      <c r="R112" t="s">
        <v>44</v>
      </c>
    </row>
    <row r="113" spans="1:22" x14ac:dyDescent="0.25">
      <c r="A113">
        <v>727740627</v>
      </c>
      <c r="B113" s="1">
        <v>46129.5960825</v>
      </c>
      <c r="C113" s="1">
        <v>46129.634948333332</v>
      </c>
      <c r="D113" s="2">
        <v>46129</v>
      </c>
      <c r="E113">
        <v>120</v>
      </c>
      <c r="F113">
        <v>10</v>
      </c>
      <c r="G113" t="s">
        <v>22</v>
      </c>
      <c r="H113" t="s">
        <v>86</v>
      </c>
      <c r="I113" s="2">
        <v>43607</v>
      </c>
      <c r="J113">
        <v>14</v>
      </c>
      <c r="K113" t="s">
        <v>24</v>
      </c>
      <c r="M113" t="s">
        <v>25</v>
      </c>
      <c r="N113">
        <v>3</v>
      </c>
      <c r="O113" t="s">
        <v>34</v>
      </c>
      <c r="Q113" t="s">
        <v>28</v>
      </c>
      <c r="S113" t="s">
        <v>101</v>
      </c>
    </row>
    <row r="114" spans="1:22" x14ac:dyDescent="0.25">
      <c r="A114">
        <v>727744299</v>
      </c>
      <c r="B114" s="1">
        <v>46129.634948761573</v>
      </c>
      <c r="C114" s="1">
        <v>46129.637086539355</v>
      </c>
      <c r="D114" s="2">
        <v>46129</v>
      </c>
      <c r="E114">
        <v>336</v>
      </c>
      <c r="F114">
        <v>28</v>
      </c>
      <c r="G114" t="s">
        <v>30</v>
      </c>
      <c r="H114" t="s">
        <v>97</v>
      </c>
      <c r="I114" s="2">
        <v>43591</v>
      </c>
      <c r="J114">
        <v>5</v>
      </c>
      <c r="K114" t="s">
        <v>32</v>
      </c>
      <c r="L114" t="s">
        <v>161</v>
      </c>
      <c r="M114" t="s">
        <v>25</v>
      </c>
      <c r="N114">
        <v>6</v>
      </c>
      <c r="O114" t="s">
        <v>34</v>
      </c>
      <c r="Q114" t="s">
        <v>19</v>
      </c>
      <c r="T114" t="s">
        <v>47</v>
      </c>
      <c r="V114" t="s">
        <v>162</v>
      </c>
    </row>
    <row r="115" spans="1:22" x14ac:dyDescent="0.25">
      <c r="A115">
        <v>727747282</v>
      </c>
      <c r="B115" s="1">
        <v>46129.637086898147</v>
      </c>
      <c r="C115" s="1">
        <v>46129.638775636573</v>
      </c>
      <c r="D115" s="2">
        <v>46129</v>
      </c>
      <c r="E115">
        <v>77</v>
      </c>
      <c r="F115">
        <v>6.4</v>
      </c>
      <c r="G115" t="s">
        <v>22</v>
      </c>
      <c r="H115" t="s">
        <v>86</v>
      </c>
      <c r="I115" s="2">
        <v>43536</v>
      </c>
      <c r="J115">
        <v>14</v>
      </c>
      <c r="K115" t="s">
        <v>32</v>
      </c>
      <c r="L115" t="s">
        <v>105</v>
      </c>
      <c r="M115" t="s">
        <v>38</v>
      </c>
      <c r="N115">
        <v>9</v>
      </c>
      <c r="O115" t="s">
        <v>110</v>
      </c>
      <c r="Q115" t="s">
        <v>19</v>
      </c>
      <c r="T115" t="s">
        <v>74</v>
      </c>
    </row>
    <row r="116" spans="1:22" x14ac:dyDescent="0.25">
      <c r="A116">
        <v>727750230</v>
      </c>
      <c r="B116" s="1">
        <v>46129.594377372683</v>
      </c>
      <c r="C116" s="1">
        <v>46129.640256168983</v>
      </c>
      <c r="D116" s="2">
        <v>46129</v>
      </c>
      <c r="E116">
        <v>192</v>
      </c>
      <c r="F116">
        <v>16</v>
      </c>
      <c r="G116" t="s">
        <v>30</v>
      </c>
      <c r="H116" t="s">
        <v>81</v>
      </c>
      <c r="I116" s="2">
        <v>44382</v>
      </c>
      <c r="J116">
        <v>10</v>
      </c>
      <c r="K116" t="s">
        <v>32</v>
      </c>
      <c r="L116" t="s">
        <v>163</v>
      </c>
      <c r="M116" t="s">
        <v>38</v>
      </c>
      <c r="N116">
        <v>10</v>
      </c>
      <c r="O116" t="s">
        <v>26</v>
      </c>
      <c r="P116" t="s">
        <v>27</v>
      </c>
      <c r="Q116" t="s">
        <v>19</v>
      </c>
      <c r="T116" t="s">
        <v>35</v>
      </c>
    </row>
    <row r="117" spans="1:22" x14ac:dyDescent="0.25">
      <c r="A117">
        <v>727755155</v>
      </c>
      <c r="B117" s="1">
        <v>46129.640258530089</v>
      </c>
      <c r="C117" s="1">
        <v>46129.64301673611</v>
      </c>
      <c r="D117" s="2">
        <v>46129</v>
      </c>
      <c r="E117">
        <v>576</v>
      </c>
      <c r="F117">
        <v>48</v>
      </c>
      <c r="G117" t="s">
        <v>30</v>
      </c>
      <c r="H117" t="s">
        <v>77</v>
      </c>
      <c r="I117" s="2">
        <v>44046</v>
      </c>
      <c r="J117">
        <v>124</v>
      </c>
      <c r="K117" t="s">
        <v>32</v>
      </c>
      <c r="L117" t="s">
        <v>164</v>
      </c>
      <c r="M117" t="s">
        <v>38</v>
      </c>
      <c r="N117">
        <v>45</v>
      </c>
      <c r="O117" t="s">
        <v>69</v>
      </c>
      <c r="Q117" t="s">
        <v>40</v>
      </c>
      <c r="R117" t="s">
        <v>136</v>
      </c>
    </row>
    <row r="118" spans="1:22" x14ac:dyDescent="0.25">
      <c r="A118">
        <v>727755338</v>
      </c>
      <c r="B118" s="1">
        <v>46129.638776099535</v>
      </c>
      <c r="C118" s="1">
        <v>46129.643186053239</v>
      </c>
      <c r="D118" s="2">
        <v>46129</v>
      </c>
      <c r="E118">
        <v>312</v>
      </c>
      <c r="F118">
        <v>26</v>
      </c>
      <c r="G118" t="s">
        <v>30</v>
      </c>
      <c r="H118" t="s">
        <v>23</v>
      </c>
      <c r="I118" s="2">
        <v>43479</v>
      </c>
      <c r="J118">
        <v>8</v>
      </c>
      <c r="K118" t="s">
        <v>32</v>
      </c>
      <c r="L118" t="s">
        <v>105</v>
      </c>
      <c r="M118" t="s">
        <v>38</v>
      </c>
      <c r="N118">
        <v>25</v>
      </c>
      <c r="O118" t="s">
        <v>88</v>
      </c>
      <c r="Q118" t="s">
        <v>19</v>
      </c>
      <c r="T118" t="s">
        <v>70</v>
      </c>
    </row>
    <row r="119" spans="1:22" x14ac:dyDescent="0.25">
      <c r="A119">
        <v>727758680</v>
      </c>
      <c r="B119" s="1">
        <v>46129.643186365742</v>
      </c>
      <c r="C119" s="1">
        <v>46129.644855659724</v>
      </c>
      <c r="D119" s="2">
        <v>46129</v>
      </c>
      <c r="E119">
        <v>360</v>
      </c>
      <c r="F119">
        <v>30</v>
      </c>
      <c r="G119" t="s">
        <v>22</v>
      </c>
      <c r="H119" t="s">
        <v>130</v>
      </c>
      <c r="I119" s="2">
        <v>44614</v>
      </c>
      <c r="J119">
        <v>3</v>
      </c>
      <c r="K119" t="s">
        <v>32</v>
      </c>
      <c r="L119" t="s">
        <v>165</v>
      </c>
      <c r="M119" t="s">
        <v>38</v>
      </c>
      <c r="N119">
        <v>35</v>
      </c>
      <c r="O119" t="s">
        <v>88</v>
      </c>
      <c r="Q119" t="s">
        <v>19</v>
      </c>
      <c r="T119" t="s">
        <v>64</v>
      </c>
    </row>
    <row r="120" spans="1:22" x14ac:dyDescent="0.25">
      <c r="A120">
        <v>727759452</v>
      </c>
      <c r="B120" s="1">
        <v>46129.643017881943</v>
      </c>
      <c r="C120" s="1">
        <v>46129.645325138888</v>
      </c>
      <c r="D120" s="2">
        <v>46129</v>
      </c>
      <c r="E120">
        <v>456</v>
      </c>
      <c r="F120">
        <v>38</v>
      </c>
      <c r="G120" t="s">
        <v>30</v>
      </c>
      <c r="H120" t="s">
        <v>166</v>
      </c>
      <c r="I120" s="2">
        <v>43944</v>
      </c>
      <c r="J120">
        <v>21</v>
      </c>
      <c r="K120" t="s">
        <v>32</v>
      </c>
      <c r="L120" t="s">
        <v>167</v>
      </c>
      <c r="M120" t="s">
        <v>25</v>
      </c>
      <c r="N120">
        <v>10</v>
      </c>
      <c r="O120" t="s">
        <v>34</v>
      </c>
      <c r="Q120" t="s">
        <v>19</v>
      </c>
      <c r="T120" t="s">
        <v>35</v>
      </c>
    </row>
    <row r="121" spans="1:22" x14ac:dyDescent="0.25">
      <c r="A121">
        <v>727761736</v>
      </c>
      <c r="B121" s="1">
        <v>46129.644856053237</v>
      </c>
      <c r="C121" s="1">
        <v>46129.646421215279</v>
      </c>
      <c r="D121" s="2">
        <v>46129</v>
      </c>
      <c r="E121">
        <v>84</v>
      </c>
      <c r="F121">
        <v>7</v>
      </c>
      <c r="G121" t="s">
        <v>22</v>
      </c>
      <c r="H121" t="s">
        <v>86</v>
      </c>
      <c r="I121" s="2">
        <v>44574</v>
      </c>
      <c r="J121">
        <v>21</v>
      </c>
      <c r="K121" t="s">
        <v>24</v>
      </c>
      <c r="M121" t="s">
        <v>25</v>
      </c>
      <c r="N121">
        <v>90</v>
      </c>
      <c r="O121" t="s">
        <v>34</v>
      </c>
      <c r="Q121" t="s">
        <v>144</v>
      </c>
      <c r="U121" t="s">
        <v>47</v>
      </c>
      <c r="V121" t="s">
        <v>145</v>
      </c>
    </row>
    <row r="122" spans="1:22" x14ac:dyDescent="0.25">
      <c r="A122">
        <v>727766085</v>
      </c>
      <c r="B122" s="1">
        <v>46129.645326041667</v>
      </c>
      <c r="C122" s="1">
        <v>46129.648612106481</v>
      </c>
      <c r="D122" s="2">
        <v>46129</v>
      </c>
      <c r="E122">
        <v>300</v>
      </c>
      <c r="F122">
        <v>25</v>
      </c>
      <c r="G122" t="s">
        <v>30</v>
      </c>
      <c r="H122" t="s">
        <v>141</v>
      </c>
      <c r="I122" s="2">
        <v>44035</v>
      </c>
      <c r="J122">
        <v>31</v>
      </c>
      <c r="K122" t="s">
        <v>32</v>
      </c>
      <c r="L122" t="s">
        <v>168</v>
      </c>
      <c r="M122" t="s">
        <v>38</v>
      </c>
      <c r="N122">
        <v>45</v>
      </c>
      <c r="O122" t="s">
        <v>88</v>
      </c>
      <c r="Q122" t="s">
        <v>19</v>
      </c>
      <c r="T122" t="s">
        <v>74</v>
      </c>
    </row>
    <row r="123" spans="1:22" x14ac:dyDescent="0.25">
      <c r="A123">
        <v>727766353</v>
      </c>
      <c r="B123" s="1">
        <v>46129.646421527781</v>
      </c>
      <c r="C123" s="1">
        <v>46129.648813078704</v>
      </c>
      <c r="D123" s="2">
        <v>46129</v>
      </c>
      <c r="E123">
        <v>780</v>
      </c>
      <c r="F123">
        <v>65</v>
      </c>
      <c r="G123" t="s">
        <v>30</v>
      </c>
      <c r="H123" t="s">
        <v>77</v>
      </c>
      <c r="I123" s="2">
        <v>44258</v>
      </c>
      <c r="J123">
        <v>14</v>
      </c>
      <c r="K123" t="s">
        <v>32</v>
      </c>
      <c r="L123" t="s">
        <v>169</v>
      </c>
      <c r="M123" t="s">
        <v>38</v>
      </c>
      <c r="N123">
        <v>70</v>
      </c>
      <c r="O123" t="s">
        <v>69</v>
      </c>
      <c r="Q123" t="s">
        <v>19</v>
      </c>
      <c r="T123" t="s">
        <v>35</v>
      </c>
    </row>
    <row r="124" spans="1:22" x14ac:dyDescent="0.25">
      <c r="A124">
        <v>727769696</v>
      </c>
      <c r="B124" s="1">
        <v>46129.648813472224</v>
      </c>
      <c r="C124" s="1">
        <v>46129.650339479165</v>
      </c>
      <c r="D124" s="2">
        <v>46129</v>
      </c>
      <c r="E124">
        <v>1020</v>
      </c>
      <c r="F124">
        <v>85</v>
      </c>
      <c r="G124" t="s">
        <v>30</v>
      </c>
      <c r="H124" t="s">
        <v>42</v>
      </c>
      <c r="I124" s="2">
        <v>44355</v>
      </c>
      <c r="J124">
        <v>90</v>
      </c>
      <c r="K124" t="s">
        <v>24</v>
      </c>
      <c r="M124" t="s">
        <v>38</v>
      </c>
      <c r="N124">
        <v>40</v>
      </c>
      <c r="O124" t="s">
        <v>34</v>
      </c>
      <c r="Q124" t="s">
        <v>40</v>
      </c>
      <c r="R124" t="s">
        <v>44</v>
      </c>
    </row>
    <row r="125" spans="1:22" x14ac:dyDescent="0.25">
      <c r="A125">
        <v>727771481</v>
      </c>
      <c r="B125" s="1">
        <v>46129.648613113422</v>
      </c>
      <c r="C125" s="1">
        <v>46129.651108738428</v>
      </c>
      <c r="D125" s="2">
        <v>46129</v>
      </c>
      <c r="E125">
        <v>36</v>
      </c>
      <c r="F125">
        <v>3</v>
      </c>
      <c r="G125" t="s">
        <v>30</v>
      </c>
      <c r="H125" t="s">
        <v>27</v>
      </c>
      <c r="I125" s="2">
        <v>46112</v>
      </c>
      <c r="J125">
        <v>7</v>
      </c>
      <c r="K125" t="s">
        <v>32</v>
      </c>
      <c r="L125" t="s">
        <v>170</v>
      </c>
      <c r="M125" t="s">
        <v>38</v>
      </c>
      <c r="N125">
        <v>20</v>
      </c>
      <c r="O125" t="s">
        <v>88</v>
      </c>
      <c r="Q125" t="s">
        <v>19</v>
      </c>
      <c r="T125" t="s">
        <v>74</v>
      </c>
    </row>
    <row r="126" spans="1:22" x14ac:dyDescent="0.25">
      <c r="A126">
        <v>727774023</v>
      </c>
      <c r="B126" s="1">
        <v>46129.651110312501</v>
      </c>
      <c r="C126" s="1">
        <v>46129.652482280093</v>
      </c>
      <c r="D126" s="2">
        <v>46129</v>
      </c>
      <c r="E126">
        <v>144</v>
      </c>
      <c r="F126">
        <v>12</v>
      </c>
      <c r="G126" t="s">
        <v>22</v>
      </c>
      <c r="H126" t="s">
        <v>81</v>
      </c>
      <c r="I126" s="2">
        <v>45442</v>
      </c>
      <c r="J126">
        <v>7</v>
      </c>
      <c r="K126" t="s">
        <v>24</v>
      </c>
      <c r="M126" t="s">
        <v>38</v>
      </c>
      <c r="N126">
        <v>25</v>
      </c>
      <c r="O126" t="s">
        <v>26</v>
      </c>
      <c r="P126" t="s">
        <v>27</v>
      </c>
      <c r="Q126" t="s">
        <v>19</v>
      </c>
      <c r="T126" t="s">
        <v>64</v>
      </c>
    </row>
    <row r="127" spans="1:22" x14ac:dyDescent="0.25">
      <c r="A127">
        <v>727778799</v>
      </c>
      <c r="B127" s="1">
        <v>46129.652483472222</v>
      </c>
      <c r="C127" s="1">
        <v>46129.654765185187</v>
      </c>
      <c r="D127" s="2">
        <v>46129</v>
      </c>
      <c r="E127">
        <v>960</v>
      </c>
      <c r="F127">
        <v>80</v>
      </c>
      <c r="G127" t="s">
        <v>22</v>
      </c>
      <c r="H127" t="s">
        <v>171</v>
      </c>
      <c r="I127" s="2">
        <v>45520</v>
      </c>
      <c r="J127">
        <v>6</v>
      </c>
      <c r="K127" t="s">
        <v>24</v>
      </c>
      <c r="M127" t="s">
        <v>25</v>
      </c>
      <c r="N127">
        <v>60</v>
      </c>
      <c r="O127" t="s">
        <v>59</v>
      </c>
      <c r="Q127" t="s">
        <v>40</v>
      </c>
      <c r="R127" t="s">
        <v>44</v>
      </c>
    </row>
    <row r="128" spans="1:22" x14ac:dyDescent="0.25">
      <c r="A128">
        <v>727782862</v>
      </c>
      <c r="B128" s="1">
        <v>46129.654766956017</v>
      </c>
      <c r="C128" s="1">
        <v>46129.656774409719</v>
      </c>
      <c r="D128" s="2">
        <v>46129</v>
      </c>
      <c r="E128">
        <v>612</v>
      </c>
      <c r="F128">
        <v>51</v>
      </c>
      <c r="G128" t="s">
        <v>22</v>
      </c>
      <c r="H128" t="s">
        <v>172</v>
      </c>
      <c r="I128" s="2">
        <v>44732</v>
      </c>
      <c r="J128">
        <v>21</v>
      </c>
      <c r="K128" t="s">
        <v>24</v>
      </c>
      <c r="M128" t="s">
        <v>38</v>
      </c>
      <c r="N128">
        <v>70</v>
      </c>
      <c r="O128" t="s">
        <v>69</v>
      </c>
      <c r="Q128" t="s">
        <v>40</v>
      </c>
      <c r="R128" t="s">
        <v>44</v>
      </c>
    </row>
    <row r="129" spans="1:21" x14ac:dyDescent="0.25">
      <c r="A129">
        <v>727785231</v>
      </c>
      <c r="B129" s="1">
        <v>46129.656776053242</v>
      </c>
      <c r="C129" s="1">
        <v>46129.657919050929</v>
      </c>
      <c r="D129" s="2">
        <v>46129</v>
      </c>
      <c r="E129">
        <v>300</v>
      </c>
      <c r="F129">
        <v>25</v>
      </c>
      <c r="G129" t="s">
        <v>30</v>
      </c>
      <c r="H129" t="s">
        <v>141</v>
      </c>
      <c r="I129" s="2">
        <v>46063</v>
      </c>
      <c r="J129">
        <v>21</v>
      </c>
      <c r="K129" t="s">
        <v>32</v>
      </c>
      <c r="L129" t="s">
        <v>173</v>
      </c>
      <c r="M129" t="s">
        <v>38</v>
      </c>
      <c r="N129">
        <v>54</v>
      </c>
      <c r="O129" t="s">
        <v>69</v>
      </c>
      <c r="Q129" t="s">
        <v>19</v>
      </c>
      <c r="T129" t="s">
        <v>64</v>
      </c>
    </row>
    <row r="130" spans="1:21" x14ac:dyDescent="0.25">
      <c r="A130">
        <v>727792180</v>
      </c>
      <c r="B130" s="1">
        <v>46129.657919930556</v>
      </c>
      <c r="C130" s="1">
        <v>46129.661857800929</v>
      </c>
      <c r="D130" s="2">
        <v>46129</v>
      </c>
      <c r="E130">
        <v>420</v>
      </c>
      <c r="F130">
        <v>35</v>
      </c>
      <c r="G130" t="s">
        <v>30</v>
      </c>
      <c r="H130" t="s">
        <v>31</v>
      </c>
      <c r="I130" s="2">
        <v>46030</v>
      </c>
      <c r="J130">
        <v>31</v>
      </c>
      <c r="K130" t="s">
        <v>32</v>
      </c>
      <c r="L130" t="s">
        <v>174</v>
      </c>
      <c r="M130" t="s">
        <v>38</v>
      </c>
      <c r="N130">
        <v>85</v>
      </c>
      <c r="O130" t="s">
        <v>69</v>
      </c>
      <c r="Q130" t="s">
        <v>19</v>
      </c>
      <c r="T130" t="s">
        <v>74</v>
      </c>
    </row>
    <row r="131" spans="1:21" x14ac:dyDescent="0.25">
      <c r="A131">
        <v>727795764</v>
      </c>
      <c r="B131" s="1">
        <v>46129.6618590625</v>
      </c>
      <c r="C131" s="1">
        <v>46129.663759895833</v>
      </c>
      <c r="D131" s="2">
        <v>46129</v>
      </c>
      <c r="E131">
        <v>696</v>
      </c>
      <c r="F131">
        <v>58</v>
      </c>
      <c r="G131" t="s">
        <v>22</v>
      </c>
      <c r="H131" t="s">
        <v>49</v>
      </c>
      <c r="I131" s="2">
        <v>45770</v>
      </c>
      <c r="J131">
        <v>21</v>
      </c>
      <c r="K131" t="s">
        <v>24</v>
      </c>
      <c r="M131" t="s">
        <v>38</v>
      </c>
      <c r="N131">
        <v>60</v>
      </c>
      <c r="O131" t="s">
        <v>88</v>
      </c>
      <c r="Q131" t="s">
        <v>144</v>
      </c>
      <c r="U13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38C69-485B-49F3-834E-BAB4493306E4}">
  <dimension ref="A1:H256"/>
  <sheetViews>
    <sheetView topLeftCell="A38" workbookViewId="0">
      <selection activeCell="C54" sqref="C54"/>
    </sheetView>
  </sheetViews>
  <sheetFormatPr defaultRowHeight="14.25" x14ac:dyDescent="0.25"/>
  <cols>
    <col min="1" max="1" width="36.625" style="4" customWidth="1"/>
    <col min="2" max="2" width="13.375" style="4" customWidth="1"/>
    <col min="3" max="3" width="15" style="4" customWidth="1"/>
    <col min="4" max="4" width="13.375" style="4" customWidth="1"/>
    <col min="5" max="16384" width="9" style="4"/>
  </cols>
  <sheetData>
    <row r="1" spans="1:8" ht="24.75" x14ac:dyDescent="0.4">
      <c r="A1" s="3" t="s">
        <v>176</v>
      </c>
      <c r="B1" s="3"/>
      <c r="C1" s="3"/>
      <c r="D1" s="3"/>
      <c r="E1" s="3"/>
      <c r="F1" s="3"/>
      <c r="G1" s="3"/>
      <c r="H1" s="3"/>
    </row>
    <row r="2" spans="1:8" x14ac:dyDescent="0.25">
      <c r="A2" s="5"/>
      <c r="B2" s="5"/>
      <c r="C2" s="5"/>
      <c r="D2" s="5"/>
      <c r="E2" s="5"/>
      <c r="F2" s="5"/>
      <c r="G2" s="5"/>
      <c r="H2" s="5"/>
    </row>
    <row r="4" spans="1:8" ht="20.25" x14ac:dyDescent="0.35">
      <c r="A4" s="6" t="s">
        <v>177</v>
      </c>
      <c r="B4" s="6"/>
      <c r="C4" s="6"/>
      <c r="D4" s="6"/>
      <c r="E4" s="6"/>
      <c r="F4" s="6"/>
      <c r="G4" s="6"/>
      <c r="H4" s="6"/>
    </row>
    <row r="6" spans="1:8" x14ac:dyDescent="0.25">
      <c r="A6" s="7" t="s">
        <v>178</v>
      </c>
      <c r="B6" s="4">
        <f>COUNTA('Dermatoses Bulleuses CNHU HKM'!A:A)-1</f>
        <v>130</v>
      </c>
    </row>
    <row r="8" spans="1:8" x14ac:dyDescent="0.25">
      <c r="A8" s="8" t="s">
        <v>179</v>
      </c>
      <c r="B8" s="8"/>
      <c r="C8" s="8"/>
      <c r="D8" s="8"/>
    </row>
    <row r="9" spans="1:8" x14ac:dyDescent="0.25">
      <c r="A9" s="7" t="s">
        <v>180</v>
      </c>
      <c r="B9" s="7" t="s">
        <v>181</v>
      </c>
    </row>
    <row r="10" spans="1:8" x14ac:dyDescent="0.25">
      <c r="A10" s="4" t="s">
        <v>182</v>
      </c>
      <c r="B10" s="9">
        <f>AVERAGE('Dermatoses Bulleuses CNHU HKM'!F2:F131)</f>
        <v>36.086923076923071</v>
      </c>
    </row>
    <row r="11" spans="1:8" x14ac:dyDescent="0.25">
      <c r="A11" s="4" t="s">
        <v>183</v>
      </c>
      <c r="B11" s="9">
        <f>MEDIAN('Dermatoses Bulleuses CNHU HKM'!F2:F131)</f>
        <v>33</v>
      </c>
    </row>
    <row r="12" spans="1:8" x14ac:dyDescent="0.25">
      <c r="A12" s="4" t="s">
        <v>184</v>
      </c>
      <c r="B12" s="9">
        <f>_xlfn.MODE.SNGL('Dermatoses Bulleuses CNHU HKM'!F2:F131)</f>
        <v>46</v>
      </c>
    </row>
    <row r="13" spans="1:8" x14ac:dyDescent="0.25">
      <c r="A13" s="4" t="s">
        <v>185</v>
      </c>
      <c r="B13" s="9">
        <f>_xlfn.STDEV.P('Dermatoses Bulleuses CNHU HKM'!F2:F131)</f>
        <v>25.733801143666579</v>
      </c>
    </row>
    <row r="15" spans="1:8" x14ac:dyDescent="0.25">
      <c r="A15" s="8" t="s">
        <v>186</v>
      </c>
      <c r="B15" s="8"/>
      <c r="C15" s="8"/>
      <c r="D15" s="8"/>
    </row>
    <row r="16" spans="1:8" x14ac:dyDescent="0.25">
      <c r="A16" s="7" t="s">
        <v>181</v>
      </c>
      <c r="B16" s="7" t="s">
        <v>187</v>
      </c>
      <c r="C16" s="7" t="s">
        <v>188</v>
      </c>
    </row>
    <row r="17" spans="1:4" x14ac:dyDescent="0.25">
      <c r="A17" s="4" t="s">
        <v>30</v>
      </c>
      <c r="B17" s="4">
        <f>COUNTIF('Dermatoses Bulleuses CNHU HKM'!G:G,"Femme")</f>
        <v>74</v>
      </c>
      <c r="C17" s="9">
        <f>B17/$B$6*100</f>
        <v>56.92307692307692</v>
      </c>
    </row>
    <row r="18" spans="1:4" x14ac:dyDescent="0.25">
      <c r="A18" s="4" t="s">
        <v>22</v>
      </c>
      <c r="B18" s="4">
        <f>COUNTIF('Dermatoses Bulleuses CNHU HKM'!G:G,"Homme")</f>
        <v>56</v>
      </c>
      <c r="C18" s="9">
        <f>B18/$B$6*100</f>
        <v>43.07692307692308</v>
      </c>
    </row>
    <row r="20" spans="1:4" x14ac:dyDescent="0.25">
      <c r="A20" s="8" t="s">
        <v>189</v>
      </c>
      <c r="B20" s="8"/>
      <c r="C20" s="8"/>
      <c r="D20" s="8"/>
    </row>
    <row r="21" spans="1:4" x14ac:dyDescent="0.25">
      <c r="A21" s="7" t="s">
        <v>181</v>
      </c>
      <c r="B21" s="7" t="s">
        <v>187</v>
      </c>
      <c r="C21" s="7" t="s">
        <v>188</v>
      </c>
    </row>
    <row r="22" spans="1:4" x14ac:dyDescent="0.25">
      <c r="A22" s="4" t="s">
        <v>32</v>
      </c>
      <c r="B22" s="4">
        <f>COUNTIF('Dermatoses Bulleuses CNHU HKM'!K:K,"Oui")</f>
        <v>68</v>
      </c>
      <c r="C22" s="9">
        <f>B22/$B$6*100</f>
        <v>52.307692307692314</v>
      </c>
    </row>
    <row r="23" spans="1:4" x14ac:dyDescent="0.25">
      <c r="A23" s="4" t="s">
        <v>24</v>
      </c>
      <c r="B23" s="4">
        <f>COUNTIF('Dermatoses Bulleuses CNHU HKM'!K:K,"Non")</f>
        <v>62</v>
      </c>
      <c r="C23" s="9">
        <f>B23/$B$6*100</f>
        <v>47.692307692307693</v>
      </c>
    </row>
    <row r="25" spans="1:4" x14ac:dyDescent="0.25">
      <c r="A25" s="8" t="s">
        <v>190</v>
      </c>
      <c r="B25" s="8"/>
      <c r="C25" s="8"/>
      <c r="D25" s="8"/>
    </row>
    <row r="26" spans="1:4" x14ac:dyDescent="0.25">
      <c r="A26" s="7" t="s">
        <v>181</v>
      </c>
      <c r="B26" s="7" t="s">
        <v>187</v>
      </c>
      <c r="C26" s="7" t="s">
        <v>188</v>
      </c>
    </row>
    <row r="27" spans="1:4" x14ac:dyDescent="0.25">
      <c r="A27" s="4" t="s">
        <v>25</v>
      </c>
      <c r="B27" s="4">
        <f>COUNTIF('Dermatoses Bulleuses CNHU HKM'!M:M,"Cutanée seule")</f>
        <v>67</v>
      </c>
      <c r="C27" s="9">
        <f>B27/$B$6*100</f>
        <v>51.538461538461533</v>
      </c>
    </row>
    <row r="28" spans="1:4" x14ac:dyDescent="0.25">
      <c r="A28" s="4" t="s">
        <v>38</v>
      </c>
      <c r="B28" s="4">
        <f>COUNTIF('Dermatoses Bulleuses CNHU HKM'!M:M,"Cutanée et muqueuse")</f>
        <v>60</v>
      </c>
      <c r="C28" s="9">
        <f>B28/$B$6*100</f>
        <v>46.153846153846153</v>
      </c>
    </row>
    <row r="29" spans="1:4" x14ac:dyDescent="0.25">
      <c r="A29" s="4" t="s">
        <v>58</v>
      </c>
      <c r="B29" s="4">
        <f>COUNTIF('Dermatoses Bulleuses CNHU HKM'!M:M,"Muqueuse seule")</f>
        <v>3</v>
      </c>
      <c r="C29" s="9">
        <f>B29/$B$6*100</f>
        <v>2.3076923076923079</v>
      </c>
    </row>
    <row r="31" spans="1:4" x14ac:dyDescent="0.25">
      <c r="A31" s="8" t="s">
        <v>191</v>
      </c>
      <c r="B31" s="8"/>
      <c r="C31" s="8"/>
      <c r="D31" s="8"/>
    </row>
    <row r="32" spans="1:4" x14ac:dyDescent="0.25">
      <c r="A32" s="7" t="s">
        <v>180</v>
      </c>
      <c r="B32" s="7" t="s">
        <v>181</v>
      </c>
    </row>
    <row r="33" spans="1:4" x14ac:dyDescent="0.25">
      <c r="A33" s="4" t="s">
        <v>182</v>
      </c>
      <c r="B33" s="9">
        <f>AVERAGE('Dermatoses Bulleuses CNHU HKM'!N2:N131)</f>
        <v>24.853846153846153</v>
      </c>
    </row>
    <row r="34" spans="1:4" x14ac:dyDescent="0.25">
      <c r="A34" s="4" t="s">
        <v>183</v>
      </c>
      <c r="B34" s="9">
        <f>MEDIAN('Dermatoses Bulleuses CNHU HKM'!N2:N131)</f>
        <v>15</v>
      </c>
    </row>
    <row r="35" spans="1:4" x14ac:dyDescent="0.25">
      <c r="A35" s="4" t="s">
        <v>184</v>
      </c>
      <c r="B35" s="9">
        <f>_xlfn.MODE.SNGL('Dermatoses Bulleuses CNHU HKM'!N2:N131)</f>
        <v>10</v>
      </c>
    </row>
    <row r="36" spans="1:4" x14ac:dyDescent="0.25">
      <c r="A36" s="4" t="s">
        <v>185</v>
      </c>
      <c r="B36" s="9">
        <f>_xlfn.STDEV.P('Dermatoses Bulleuses CNHU HKM'!N2:N131)</f>
        <v>24.846021671475061</v>
      </c>
    </row>
    <row r="38" spans="1:4" x14ac:dyDescent="0.25">
      <c r="A38" s="8" t="s">
        <v>192</v>
      </c>
      <c r="B38" s="8"/>
      <c r="C38" s="8"/>
      <c r="D38" s="8"/>
    </row>
    <row r="39" spans="1:4" x14ac:dyDescent="0.25">
      <c r="A39" s="7" t="s">
        <v>181</v>
      </c>
      <c r="B39" s="7" t="s">
        <v>187</v>
      </c>
      <c r="C39" s="7" t="s">
        <v>188</v>
      </c>
    </row>
    <row r="40" spans="1:4" x14ac:dyDescent="0.25">
      <c r="A40" s="4" t="s">
        <v>34</v>
      </c>
      <c r="B40" s="4" cm="1">
        <f t="array" ref="B40">SUMPRODUCT(--(ISNUMBER(SEARCH("Prurit",'Dermatoses Bulleuses CNHU HKM'!O2:O131))))</f>
        <v>71</v>
      </c>
      <c r="C40" s="9">
        <f>B40/$B$6*100</f>
        <v>54.615384615384613</v>
      </c>
    </row>
    <row r="41" spans="1:4" x14ac:dyDescent="0.25">
      <c r="A41" s="4" t="s">
        <v>88</v>
      </c>
      <c r="B41" s="4" cm="1">
        <f t="array" ref="B41">SUMPRODUCT(--(ISNUMBER(SEARCH("Douleur",'Dermatoses Bulleuses CNHU HKM'!O2:O131))))</f>
        <v>55</v>
      </c>
      <c r="C41" s="9">
        <f>B41/$B$6*100</f>
        <v>42.307692307692307</v>
      </c>
    </row>
    <row r="42" spans="1:4" x14ac:dyDescent="0.25">
      <c r="A42" s="4" t="s">
        <v>73</v>
      </c>
      <c r="B42" s="4" cm="1">
        <f t="array" ref="B42">SUMPRODUCT(--(ISNUMBER(SEARCH("Fièvre",'Dermatoses Bulleuses CNHU HKM'!O2:O131))))</f>
        <v>18</v>
      </c>
      <c r="C42" s="9">
        <f>B42/$B$6*100</f>
        <v>13.846153846153847</v>
      </c>
    </row>
    <row r="43" spans="1:4" x14ac:dyDescent="0.25">
      <c r="A43" s="4" t="s">
        <v>26</v>
      </c>
      <c r="B43" s="4" cm="1">
        <f t="array" ref="B43">SUMPRODUCT(--(ISNUMBER(SEARCH("Autre",'Dermatoses Bulleuses CNHU HKM'!O2:O131))))</f>
        <v>25</v>
      </c>
      <c r="C43" s="9">
        <f>B43/$B$6*100</f>
        <v>19.230769230769234</v>
      </c>
    </row>
    <row r="45" spans="1:4" x14ac:dyDescent="0.25">
      <c r="A45" s="8" t="s">
        <v>193</v>
      </c>
      <c r="B45" s="8"/>
      <c r="C45" s="8"/>
      <c r="D45" s="8"/>
    </row>
    <row r="46" spans="1:4" x14ac:dyDescent="0.25">
      <c r="A46" s="7" t="s">
        <v>181</v>
      </c>
      <c r="B46" s="7" t="s">
        <v>187</v>
      </c>
      <c r="C46" s="7" t="s">
        <v>188</v>
      </c>
    </row>
    <row r="47" spans="1:4" x14ac:dyDescent="0.25">
      <c r="A47" s="4" t="s">
        <v>19</v>
      </c>
      <c r="B47" s="4">
        <f>COUNTIF('Dermatoses Bulleuses CNHU HKM'!Q:Q,"Toxidermie")</f>
        <v>75</v>
      </c>
      <c r="C47" s="9">
        <f>B47/$B$6*100</f>
        <v>57.692307692307686</v>
      </c>
    </row>
    <row r="48" spans="1:4" x14ac:dyDescent="0.25">
      <c r="A48" s="4" t="s">
        <v>40</v>
      </c>
      <c r="B48" s="4">
        <f>COUNTIF('Dermatoses Bulleuses CNHU HKM'!Q:Q,"Auto-immune")</f>
        <v>31</v>
      </c>
      <c r="C48" s="9">
        <f>B48/$B$6*100</f>
        <v>23.846153846153847</v>
      </c>
    </row>
    <row r="49" spans="1:4" x14ac:dyDescent="0.25">
      <c r="A49" s="4" t="s">
        <v>28</v>
      </c>
      <c r="B49" s="4">
        <f>COUNTIF('Dermatoses Bulleuses CNHU HKM'!Q:Q,"Infectieuse")</f>
        <v>19</v>
      </c>
      <c r="C49" s="9">
        <f>B49/$B$6*100</f>
        <v>14.615384615384617</v>
      </c>
    </row>
    <row r="50" spans="1:4" x14ac:dyDescent="0.25">
      <c r="A50" s="4" t="s">
        <v>144</v>
      </c>
      <c r="B50" s="4">
        <f>COUNTIF('Dermatoses Bulleuses CNHU HKM'!Q:Q,"Immunoallergique")</f>
        <v>5</v>
      </c>
      <c r="C50" s="9">
        <f>B50/$B$6*100</f>
        <v>3.8461538461538463</v>
      </c>
    </row>
    <row r="52" spans="1:4" x14ac:dyDescent="0.25">
      <c r="A52" s="8" t="s">
        <v>194</v>
      </c>
      <c r="B52" s="8"/>
      <c r="C52" s="8"/>
      <c r="D52" s="8"/>
    </row>
    <row r="53" spans="1:4" x14ac:dyDescent="0.25">
      <c r="A53" s="7" t="s">
        <v>181</v>
      </c>
      <c r="B53" s="7" t="s">
        <v>187</v>
      </c>
      <c r="C53" s="7" t="s">
        <v>188</v>
      </c>
    </row>
    <row r="54" spans="1:4" x14ac:dyDescent="0.25">
      <c r="A54" s="4" t="s">
        <v>44</v>
      </c>
      <c r="B54" s="4">
        <f>COUNTIF('Dermatoses Bulleuses CNHU HKM'!R:R,"Pemphigoïde bulleuse")</f>
        <v>15</v>
      </c>
      <c r="C54" s="9">
        <f>B54/$B$6*100</f>
        <v>11.538461538461538</v>
      </c>
    </row>
    <row r="55" spans="1:4" x14ac:dyDescent="0.25">
      <c r="A55" s="4" t="s">
        <v>136</v>
      </c>
      <c r="B55" s="4">
        <f>COUNTIF('Dermatoses Bulleuses CNHU HKM'!R:R,"Pemphigus vulgaire")</f>
        <v>7</v>
      </c>
      <c r="C55" s="9">
        <f t="shared" ref="C54:C60" si="0">B55/$B$6*100</f>
        <v>5.384615384615385</v>
      </c>
    </row>
    <row r="56" spans="1:4" x14ac:dyDescent="0.25">
      <c r="A56" s="4" t="s">
        <v>91</v>
      </c>
      <c r="B56" s="4">
        <f>COUNTIF('Dermatoses Bulleuses CNHU HKM'!R:R,"Pemphigus paranéoplasique")</f>
        <v>3</v>
      </c>
      <c r="C56" s="9">
        <f t="shared" si="0"/>
        <v>2.3076923076923079</v>
      </c>
    </row>
    <row r="57" spans="1:4" x14ac:dyDescent="0.25">
      <c r="A57" s="4" t="s">
        <v>41</v>
      </c>
      <c r="B57" s="4">
        <f>COUNTIF('Dermatoses Bulleuses CNHU HKM'!R:R,"Dermatose à IgA linéaire")</f>
        <v>1</v>
      </c>
      <c r="C57" s="9">
        <f t="shared" si="0"/>
        <v>0.76923076923076927</v>
      </c>
    </row>
    <row r="58" spans="1:4" x14ac:dyDescent="0.25">
      <c r="A58" s="4" t="s">
        <v>85</v>
      </c>
      <c r="B58" s="4">
        <f>COUNTIF('Dermatoses Bulleuses CNHU HKM'!R:R,"Épidermolyse bulleuse acquise")</f>
        <v>1</v>
      </c>
      <c r="C58" s="9">
        <f t="shared" si="0"/>
        <v>0.76923076923076927</v>
      </c>
    </row>
    <row r="59" spans="1:4" x14ac:dyDescent="0.25">
      <c r="A59" s="4" t="s">
        <v>98</v>
      </c>
      <c r="B59" s="4">
        <f>COUNTIF('Dermatoses Bulleuses CNHU HKM'!R:R,"Dermatite herpétiforme")</f>
        <v>1</v>
      </c>
      <c r="C59" s="9">
        <f t="shared" si="0"/>
        <v>0.76923076923076927</v>
      </c>
    </row>
    <row r="60" spans="1:4" x14ac:dyDescent="0.25">
      <c r="A60" s="4" t="s">
        <v>47</v>
      </c>
      <c r="B60" s="4">
        <f>COUNTIF('Dermatoses Bulleuses CNHU HKM'!R:R,"Autre à préciser...")</f>
        <v>3</v>
      </c>
      <c r="C60" s="9">
        <f t="shared" si="0"/>
        <v>2.3076923076923079</v>
      </c>
    </row>
    <row r="62" spans="1:4" x14ac:dyDescent="0.25">
      <c r="A62" s="8" t="s">
        <v>195</v>
      </c>
      <c r="B62" s="8"/>
      <c r="C62" s="8"/>
      <c r="D62" s="8"/>
    </row>
    <row r="63" spans="1:4" x14ac:dyDescent="0.25">
      <c r="A63" s="7" t="s">
        <v>181</v>
      </c>
      <c r="B63" s="7" t="s">
        <v>187</v>
      </c>
      <c r="C63" s="7" t="s">
        <v>188</v>
      </c>
    </row>
    <row r="64" spans="1:4" x14ac:dyDescent="0.25">
      <c r="A64" s="4" t="s">
        <v>101</v>
      </c>
      <c r="B64" s="4">
        <f>COUNTIF('Dermatoses Bulleuses CNHU HKM'!S:S,"Impétigo bulleux")</f>
        <v>10</v>
      </c>
      <c r="C64" s="9">
        <f>B64/$B$6*100</f>
        <v>7.6923076923076925</v>
      </c>
    </row>
    <row r="65" spans="1:4" x14ac:dyDescent="0.25">
      <c r="A65" s="4" t="s">
        <v>29</v>
      </c>
      <c r="B65" s="4">
        <f>COUNTIF('Dermatoses Bulleuses CNHU HKM'!S:S,"Épidermolyse staphylococcique")</f>
        <v>3</v>
      </c>
      <c r="C65" s="9">
        <f>B65/$B$6*100</f>
        <v>2.3076923076923079</v>
      </c>
    </row>
    <row r="66" spans="1:4" x14ac:dyDescent="0.25">
      <c r="A66" s="4" t="s">
        <v>147</v>
      </c>
      <c r="B66" s="4">
        <f>COUNTIF('Dermatoses Bulleuses CNHU HKM'!S:S,"DHBANN")</f>
        <v>2</v>
      </c>
      <c r="C66" s="9">
        <f>B66/$B$6*100</f>
        <v>1.5384615384615385</v>
      </c>
    </row>
    <row r="67" spans="1:4" x14ac:dyDescent="0.25">
      <c r="A67" s="4" t="s">
        <v>47</v>
      </c>
      <c r="B67" s="4">
        <f>COUNTIF('Dermatoses Bulleuses CNHU HKM'!S:S,"Autre à préciser...")</f>
        <v>4</v>
      </c>
      <c r="C67" s="9">
        <f>B67/$B$6*100</f>
        <v>3.0769230769230771</v>
      </c>
    </row>
    <row r="69" spans="1:4" x14ac:dyDescent="0.25">
      <c r="A69" s="8" t="s">
        <v>196</v>
      </c>
      <c r="B69" s="8"/>
      <c r="C69" s="8"/>
      <c r="D69" s="8"/>
    </row>
    <row r="70" spans="1:4" x14ac:dyDescent="0.25">
      <c r="A70" s="7" t="s">
        <v>181</v>
      </c>
      <c r="B70" s="7" t="s">
        <v>187</v>
      </c>
      <c r="C70" s="7" t="s">
        <v>188</v>
      </c>
    </row>
    <row r="71" spans="1:4" x14ac:dyDescent="0.25">
      <c r="A71" s="4" t="s">
        <v>35</v>
      </c>
      <c r="B71" s="4">
        <f>COUNTIF('Dermatoses Bulleuses CNHU HKM'!T:T,"EPF Bulleux")</f>
        <v>25</v>
      </c>
      <c r="C71" s="9">
        <f>B71/$B$6*100</f>
        <v>19.230769230769234</v>
      </c>
    </row>
    <row r="72" spans="1:4" x14ac:dyDescent="0.25">
      <c r="A72" s="4" t="s">
        <v>74</v>
      </c>
      <c r="B72" s="4">
        <f>COUNTIF('Dermatoses Bulleuses CNHU HKM'!T:T,"Syndrome de Stevens Johnson")</f>
        <v>20</v>
      </c>
      <c r="C72" s="9">
        <f>B72/$B$6*100</f>
        <v>15.384615384615385</v>
      </c>
    </row>
    <row r="73" spans="1:4" x14ac:dyDescent="0.25">
      <c r="A73" s="4" t="s">
        <v>64</v>
      </c>
      <c r="B73" s="4">
        <f>COUNTIF('Dermatoses Bulleuses CNHU HKM'!T:T,"Syndrome de Lyell")</f>
        <v>15</v>
      </c>
      <c r="C73" s="9">
        <f>B73/$B$6*100</f>
        <v>11.538461538461538</v>
      </c>
    </row>
    <row r="74" spans="1:4" x14ac:dyDescent="0.25">
      <c r="A74" s="4" t="s">
        <v>70</v>
      </c>
      <c r="B74" s="4">
        <f>COUNTIF('Dermatoses Bulleuses CNHU HKM'!T:T,"Syndrome de chevauchement")</f>
        <v>8</v>
      </c>
      <c r="C74" s="9">
        <f>B74/$B$6*100</f>
        <v>6.1538461538461542</v>
      </c>
    </row>
    <row r="75" spans="1:4" x14ac:dyDescent="0.25">
      <c r="A75" s="4" t="s">
        <v>47</v>
      </c>
      <c r="B75" s="4">
        <f>COUNTIF('Dermatoses Bulleuses CNHU HKM'!T:T,"Autre à préciser...")</f>
        <v>7</v>
      </c>
      <c r="C75" s="9">
        <f>B75/$B$6*100</f>
        <v>5.384615384615385</v>
      </c>
    </row>
    <row r="77" spans="1:4" x14ac:dyDescent="0.25">
      <c r="A77" s="8" t="s">
        <v>197</v>
      </c>
      <c r="B77" s="8"/>
      <c r="C77" s="8"/>
      <c r="D77" s="8"/>
    </row>
    <row r="78" spans="1:4" x14ac:dyDescent="0.25">
      <c r="A78" s="7" t="s">
        <v>180</v>
      </c>
      <c r="B78" s="7" t="s">
        <v>181</v>
      </c>
    </row>
    <row r="79" spans="1:4" x14ac:dyDescent="0.25">
      <c r="A79" s="4" t="s">
        <v>182</v>
      </c>
      <c r="B79" s="9">
        <f>AVERAGE('Dermatoses Bulleuses CNHU HKM'!J2:J131)</f>
        <v>141.33846153846153</v>
      </c>
    </row>
    <row r="80" spans="1:4" x14ac:dyDescent="0.25">
      <c r="A80" s="4" t="s">
        <v>183</v>
      </c>
      <c r="B80" s="9">
        <f>MEDIAN('Dermatoses Bulleuses CNHU HKM'!J2:J131)</f>
        <v>14</v>
      </c>
    </row>
    <row r="81" spans="1:8" x14ac:dyDescent="0.25">
      <c r="A81" s="4" t="s">
        <v>184</v>
      </c>
      <c r="B81" s="9">
        <f>_xlfn.MODE.SNGL('Dermatoses Bulleuses CNHU HKM'!J2:J131)</f>
        <v>7</v>
      </c>
    </row>
    <row r="82" spans="1:8" x14ac:dyDescent="0.25">
      <c r="A82" s="4" t="s">
        <v>185</v>
      </c>
      <c r="B82" s="9">
        <f>_xlfn.STDEV.P('Dermatoses Bulleuses CNHU HKM'!J2:J131)</f>
        <v>414.8162253678156</v>
      </c>
    </row>
    <row r="85" spans="1:8" ht="20.25" x14ac:dyDescent="0.35">
      <c r="A85" s="6" t="s">
        <v>198</v>
      </c>
      <c r="B85" s="6"/>
      <c r="C85" s="6"/>
      <c r="D85" s="6"/>
      <c r="E85" s="6"/>
      <c r="F85" s="6"/>
      <c r="G85" s="6"/>
      <c r="H85" s="6"/>
    </row>
    <row r="87" spans="1:8" x14ac:dyDescent="0.25">
      <c r="A87" s="8" t="s">
        <v>199</v>
      </c>
      <c r="B87" s="8"/>
      <c r="C87" s="8"/>
      <c r="D87" s="8"/>
    </row>
    <row r="88" spans="1:8" x14ac:dyDescent="0.25">
      <c r="A88" s="7" t="s">
        <v>200</v>
      </c>
      <c r="B88" s="7" t="s">
        <v>187</v>
      </c>
      <c r="C88" s="7" t="s">
        <v>188</v>
      </c>
    </row>
    <row r="89" spans="1:8" x14ac:dyDescent="0.25">
      <c r="A89" s="4" t="s">
        <v>201</v>
      </c>
      <c r="B89" s="4">
        <f>COUNTIFS('Dermatoses Bulleuses CNHU HKM'!F:F,"&gt;=0",'Dermatoses Bulleuses CNHU HKM'!F:F,"&lt;=18")</f>
        <v>43</v>
      </c>
      <c r="C89" s="9">
        <f>B89/$B$6*100</f>
        <v>33.076923076923073</v>
      </c>
    </row>
    <row r="90" spans="1:8" x14ac:dyDescent="0.25">
      <c r="A90" s="4" t="s">
        <v>202</v>
      </c>
      <c r="B90" s="4">
        <f>COUNTIFS('Dermatoses Bulleuses CNHU HKM'!F:F,"&gt;18",'Dermatoses Bulleuses CNHU HKM'!F:F,"&lt;=60")</f>
        <v>61</v>
      </c>
      <c r="C90" s="9">
        <f>B90/$B$6*100</f>
        <v>46.92307692307692</v>
      </c>
    </row>
    <row r="91" spans="1:8" x14ac:dyDescent="0.25">
      <c r="A91" s="4" t="s">
        <v>203</v>
      </c>
      <c r="B91" s="4">
        <f>COUNTIFS('Dermatoses Bulleuses CNHU HKM'!F:F,"&gt;60")</f>
        <v>26</v>
      </c>
      <c r="C91" s="9">
        <f>B91/$B$6*100</f>
        <v>20</v>
      </c>
    </row>
    <row r="92" spans="1:8" x14ac:dyDescent="0.25">
      <c r="A92" s="7" t="s">
        <v>204</v>
      </c>
      <c r="B92" s="4">
        <f>SUM(B89:B91)</f>
        <v>130</v>
      </c>
      <c r="C92" s="9">
        <f>SUM(C89:C91)</f>
        <v>100</v>
      </c>
    </row>
    <row r="95" spans="1:8" ht="17.25" x14ac:dyDescent="0.3">
      <c r="A95" s="10" t="s">
        <v>205</v>
      </c>
      <c r="B95" s="10"/>
      <c r="C95" s="10"/>
      <c r="D95" s="10"/>
      <c r="E95" s="10"/>
      <c r="F95" s="10"/>
      <c r="G95" s="10"/>
      <c r="H95" s="10"/>
    </row>
    <row r="97" spans="1:4" x14ac:dyDescent="0.25">
      <c r="A97" s="7" t="s">
        <v>206</v>
      </c>
      <c r="B97" s="4">
        <f>COUNTIFS('Dermatoses Bulleuses CNHU HKM'!F:F,"&gt;=0",'Dermatoses Bulleuses CNHU HKM'!F:F,"&lt;=18")</f>
        <v>43</v>
      </c>
    </row>
    <row r="99" spans="1:4" x14ac:dyDescent="0.25">
      <c r="A99" s="11" t="s">
        <v>207</v>
      </c>
      <c r="B99" s="11"/>
      <c r="C99" s="11"/>
      <c r="D99" s="11"/>
    </row>
    <row r="100" spans="1:4" x14ac:dyDescent="0.25">
      <c r="A100" s="7" t="s">
        <v>181</v>
      </c>
      <c r="B100" s="7" t="s">
        <v>187</v>
      </c>
      <c r="C100" s="7" t="s">
        <v>188</v>
      </c>
    </row>
    <row r="101" spans="1:4" x14ac:dyDescent="0.25">
      <c r="A101" s="4" t="s">
        <v>30</v>
      </c>
      <c r="B101" s="4">
        <f>COUNTIFS('Dermatoses Bulleuses CNHU HKM'!F:F,"&gt;=0",'Dermatoses Bulleuses CNHU HKM'!F:F,"&lt;=18",'Dermatoses Bulleuses CNHU HKM'!G:G,"Femme")</f>
        <v>19</v>
      </c>
      <c r="C101" s="9">
        <f>IF($B$97&gt;0,B101/$B$97*100,0)</f>
        <v>44.186046511627907</v>
      </c>
    </row>
    <row r="102" spans="1:4" x14ac:dyDescent="0.25">
      <c r="A102" s="4" t="s">
        <v>22</v>
      </c>
      <c r="B102" s="4">
        <f>COUNTIFS('Dermatoses Bulleuses CNHU HKM'!F:F,"&gt;=0",'Dermatoses Bulleuses CNHU HKM'!F:F,"&lt;=18",'Dermatoses Bulleuses CNHU HKM'!G:G,"Homme")</f>
        <v>24</v>
      </c>
      <c r="C102" s="9">
        <f>IF($B$97&gt;0,B102/$B$97*100,0)</f>
        <v>55.813953488372093</v>
      </c>
    </row>
    <row r="104" spans="1:4" x14ac:dyDescent="0.25">
      <c r="A104" s="11" t="s">
        <v>208</v>
      </c>
      <c r="B104" s="11"/>
      <c r="C104" s="11"/>
      <c r="D104" s="11"/>
    </row>
    <row r="105" spans="1:4" x14ac:dyDescent="0.25">
      <c r="A105" s="7" t="s">
        <v>181</v>
      </c>
      <c r="B105" s="7" t="s">
        <v>187</v>
      </c>
      <c r="C105" s="7" t="s">
        <v>188</v>
      </c>
    </row>
    <row r="106" spans="1:4" x14ac:dyDescent="0.25">
      <c r="A106" s="4" t="s">
        <v>32</v>
      </c>
      <c r="B106" s="4">
        <f>COUNTIFS('Dermatoses Bulleuses CNHU HKM'!F:F,"&gt;=0",'Dermatoses Bulleuses CNHU HKM'!F:F,"&lt;=18",'Dermatoses Bulleuses CNHU HKM'!K:K,"Oui")</f>
        <v>23</v>
      </c>
      <c r="C106" s="9">
        <f>IF($B$97&gt;0,B106/$B$97*100,0)</f>
        <v>53.488372093023251</v>
      </c>
    </row>
    <row r="107" spans="1:4" x14ac:dyDescent="0.25">
      <c r="A107" s="4" t="s">
        <v>24</v>
      </c>
      <c r="B107" s="4">
        <f>COUNTIFS('Dermatoses Bulleuses CNHU HKM'!F:F,"&gt;=0",'Dermatoses Bulleuses CNHU HKM'!F:F,"&lt;=18",'Dermatoses Bulleuses CNHU HKM'!K:K,"Non")</f>
        <v>20</v>
      </c>
      <c r="C107" s="9">
        <f>IF($B$97&gt;0,B107/$B$97*100,0)</f>
        <v>46.511627906976742</v>
      </c>
    </row>
    <row r="109" spans="1:4" x14ac:dyDescent="0.25">
      <c r="A109" s="11" t="s">
        <v>209</v>
      </c>
      <c r="B109" s="11"/>
      <c r="C109" s="11"/>
      <c r="D109" s="11"/>
    </row>
    <row r="110" spans="1:4" x14ac:dyDescent="0.25">
      <c r="A110" s="7" t="s">
        <v>181</v>
      </c>
      <c r="B110" s="7" t="s">
        <v>187</v>
      </c>
      <c r="C110" s="7" t="s">
        <v>188</v>
      </c>
    </row>
    <row r="111" spans="1:4" x14ac:dyDescent="0.25">
      <c r="A111" s="4" t="s">
        <v>25</v>
      </c>
      <c r="B111" s="4">
        <f>COUNTIFS('Dermatoses Bulleuses CNHU HKM'!F:F,"&gt;=0",'Dermatoses Bulleuses CNHU HKM'!F:F,"&lt;=18",'Dermatoses Bulleuses CNHU HKM'!M:M,"Cutanée seule")</f>
        <v>17</v>
      </c>
      <c r="C111" s="9">
        <f>IF($B$97&gt;0,B111/$B$97*100,0)</f>
        <v>39.534883720930232</v>
      </c>
    </row>
    <row r="112" spans="1:4" x14ac:dyDescent="0.25">
      <c r="A112" s="4" t="s">
        <v>38</v>
      </c>
      <c r="B112" s="4">
        <f>COUNTIFS('Dermatoses Bulleuses CNHU HKM'!F:F,"&gt;=0",'Dermatoses Bulleuses CNHU HKM'!F:F,"&lt;=18",'Dermatoses Bulleuses CNHU HKM'!M:M,"Cutanée et muqueuse")</f>
        <v>25</v>
      </c>
      <c r="C112" s="9">
        <f>IF($B$97&gt;0,B112/$B$97*100,0)</f>
        <v>58.139534883720934</v>
      </c>
    </row>
    <row r="113" spans="1:8" x14ac:dyDescent="0.25">
      <c r="A113" s="4" t="s">
        <v>58</v>
      </c>
      <c r="B113" s="4">
        <f>COUNTIFS('Dermatoses Bulleuses CNHU HKM'!F:F,"&gt;=0",'Dermatoses Bulleuses CNHU HKM'!F:F,"&lt;=18",'Dermatoses Bulleuses CNHU HKM'!M:M,"Muqueuse seule")</f>
        <v>1</v>
      </c>
      <c r="C113" s="9">
        <f>IF($B$97&gt;0,B113/$B$97*100,0)</f>
        <v>2.3255813953488373</v>
      </c>
    </row>
    <row r="115" spans="1:8" x14ac:dyDescent="0.25">
      <c r="A115" s="11" t="s">
        <v>210</v>
      </c>
      <c r="B115" s="11"/>
      <c r="C115" s="11"/>
      <c r="D115" s="11"/>
    </row>
    <row r="116" spans="1:8" x14ac:dyDescent="0.25">
      <c r="A116" s="7" t="s">
        <v>181</v>
      </c>
      <c r="B116" s="7" t="s">
        <v>187</v>
      </c>
      <c r="C116" s="7" t="s">
        <v>188</v>
      </c>
    </row>
    <row r="117" spans="1:8" x14ac:dyDescent="0.25">
      <c r="A117" s="4" t="s">
        <v>19</v>
      </c>
      <c r="B117" s="4">
        <f>COUNTIFS('Dermatoses Bulleuses CNHU HKM'!F:F,"&gt;=0",'Dermatoses Bulleuses CNHU HKM'!F:F,"&lt;=18",'Dermatoses Bulleuses CNHU HKM'!Q:Q,"Toxidermie")</f>
        <v>27</v>
      </c>
      <c r="C117" s="9">
        <f>IF($B$97&gt;0,B117/$B$97*100,0)</f>
        <v>62.790697674418603</v>
      </c>
    </row>
    <row r="118" spans="1:8" x14ac:dyDescent="0.25">
      <c r="A118" s="4" t="s">
        <v>40</v>
      </c>
      <c r="B118" s="4">
        <f>COUNTIFS('Dermatoses Bulleuses CNHU HKM'!F:F,"&gt;=0",'Dermatoses Bulleuses CNHU HKM'!F:F,"&lt;=18",'Dermatoses Bulleuses CNHU HKM'!Q:Q,"Auto-immune")</f>
        <v>2</v>
      </c>
      <c r="C118" s="9">
        <f>IF($B$97&gt;0,B118/$B$97*100,0)</f>
        <v>4.6511627906976747</v>
      </c>
    </row>
    <row r="119" spans="1:8" x14ac:dyDescent="0.25">
      <c r="A119" s="4" t="s">
        <v>28</v>
      </c>
      <c r="B119" s="4">
        <f>COUNTIFS('Dermatoses Bulleuses CNHU HKM'!F:F,"&gt;=0",'Dermatoses Bulleuses CNHU HKM'!F:F,"&lt;=18",'Dermatoses Bulleuses CNHU HKM'!Q:Q,"Infectieuse")</f>
        <v>13</v>
      </c>
      <c r="C119" s="9">
        <f>IF($B$97&gt;0,B119/$B$97*100,0)</f>
        <v>30.232558139534881</v>
      </c>
    </row>
    <row r="120" spans="1:8" x14ac:dyDescent="0.25">
      <c r="A120" s="4" t="s">
        <v>144</v>
      </c>
      <c r="B120" s="4">
        <f>COUNTIFS('Dermatoses Bulleuses CNHU HKM'!F:F,"&gt;=0",'Dermatoses Bulleuses CNHU HKM'!F:F,"&lt;=18",'Dermatoses Bulleuses CNHU HKM'!Q:Q,"Immunoallergique")</f>
        <v>1</v>
      </c>
      <c r="C120" s="9">
        <f>IF($B$97&gt;0,B120/$B$97*100,0)</f>
        <v>2.3255813953488373</v>
      </c>
    </row>
    <row r="123" spans="1:8" ht="17.25" x14ac:dyDescent="0.3">
      <c r="A123" s="12" t="s">
        <v>211</v>
      </c>
      <c r="B123" s="12"/>
      <c r="C123" s="12"/>
      <c r="D123" s="12"/>
      <c r="E123" s="12"/>
      <c r="F123" s="12"/>
      <c r="G123" s="12"/>
      <c r="H123" s="12"/>
    </row>
    <row r="125" spans="1:8" x14ac:dyDescent="0.25">
      <c r="A125" s="7" t="s">
        <v>212</v>
      </c>
      <c r="B125" s="4">
        <f>COUNTIFS('Dermatoses Bulleuses CNHU HKM'!F:F,"&gt;18",'Dermatoses Bulleuses CNHU HKM'!F:F,"&lt;=60")</f>
        <v>61</v>
      </c>
    </row>
    <row r="127" spans="1:8" x14ac:dyDescent="0.25">
      <c r="A127" s="13" t="s">
        <v>213</v>
      </c>
      <c r="B127" s="13"/>
      <c r="C127" s="13"/>
      <c r="D127" s="13"/>
    </row>
    <row r="128" spans="1:8" x14ac:dyDescent="0.25">
      <c r="A128" s="7" t="s">
        <v>181</v>
      </c>
      <c r="B128" s="7" t="s">
        <v>187</v>
      </c>
      <c r="C128" s="7" t="s">
        <v>188</v>
      </c>
    </row>
    <row r="129" spans="1:4" x14ac:dyDescent="0.25">
      <c r="A129" s="4" t="s">
        <v>30</v>
      </c>
      <c r="B129" s="4">
        <f>COUNTIFS('Dermatoses Bulleuses CNHU HKM'!F:F,"&gt;18",'Dermatoses Bulleuses CNHU HKM'!F:F,"&lt;=60",'Dermatoses Bulleuses CNHU HKM'!G:G,"Femme")</f>
        <v>40</v>
      </c>
      <c r="C129" s="9">
        <f>IF($B$125&gt;0,B129/$B$125*100,0)</f>
        <v>65.573770491803273</v>
      </c>
    </row>
    <row r="130" spans="1:4" x14ac:dyDescent="0.25">
      <c r="A130" s="4" t="s">
        <v>22</v>
      </c>
      <c r="B130" s="4">
        <f>COUNTIFS('Dermatoses Bulleuses CNHU HKM'!F:F,"&gt;18",'Dermatoses Bulleuses CNHU HKM'!F:F,"&lt;=60",'Dermatoses Bulleuses CNHU HKM'!G:G,"Homme")</f>
        <v>21</v>
      </c>
      <c r="C130" s="9">
        <f>IF($B$125&gt;0,B130/$B$125*100,0)</f>
        <v>34.42622950819672</v>
      </c>
    </row>
    <row r="132" spans="1:4" x14ac:dyDescent="0.25">
      <c r="A132" s="13" t="s">
        <v>214</v>
      </c>
      <c r="B132" s="13"/>
      <c r="C132" s="13"/>
      <c r="D132" s="13"/>
    </row>
    <row r="133" spans="1:4" x14ac:dyDescent="0.25">
      <c r="A133" s="7" t="s">
        <v>181</v>
      </c>
      <c r="B133" s="7" t="s">
        <v>187</v>
      </c>
      <c r="C133" s="7" t="s">
        <v>188</v>
      </c>
    </row>
    <row r="134" spans="1:4" x14ac:dyDescent="0.25">
      <c r="A134" s="4" t="s">
        <v>32</v>
      </c>
      <c r="B134" s="4">
        <f>COUNTIFS('Dermatoses Bulleuses CNHU HKM'!F:F,"&gt;18",'Dermatoses Bulleuses CNHU HKM'!F:F,"&lt;=60",'Dermatoses Bulleuses CNHU HKM'!K:K,"Oui")</f>
        <v>38</v>
      </c>
      <c r="C134" s="9">
        <f>IF($B$125&gt;0,B134/$B$125*100,0)</f>
        <v>62.295081967213115</v>
      </c>
    </row>
    <row r="135" spans="1:4" x14ac:dyDescent="0.25">
      <c r="A135" s="4" t="s">
        <v>24</v>
      </c>
      <c r="B135" s="4">
        <f>COUNTIFS('Dermatoses Bulleuses CNHU HKM'!F:F,"&gt;18",'Dermatoses Bulleuses CNHU HKM'!F:F,"&lt;=60",'Dermatoses Bulleuses CNHU HKM'!K:K,"Non")</f>
        <v>23</v>
      </c>
      <c r="C135" s="9">
        <f>IF($B$125&gt;0,B135/$B$125*100,0)</f>
        <v>37.704918032786885</v>
      </c>
    </row>
    <row r="137" spans="1:4" x14ac:dyDescent="0.25">
      <c r="A137" s="13" t="s">
        <v>215</v>
      </c>
      <c r="B137" s="13"/>
      <c r="C137" s="13"/>
      <c r="D137" s="13"/>
    </row>
    <row r="138" spans="1:4" x14ac:dyDescent="0.25">
      <c r="A138" s="7" t="s">
        <v>181</v>
      </c>
      <c r="B138" s="7" t="s">
        <v>187</v>
      </c>
      <c r="C138" s="7" t="s">
        <v>188</v>
      </c>
    </row>
    <row r="139" spans="1:4" x14ac:dyDescent="0.25">
      <c r="A139" s="4" t="s">
        <v>25</v>
      </c>
      <c r="B139" s="4">
        <f>COUNTIFS('Dermatoses Bulleuses CNHU HKM'!F:F,"&gt;18",'Dermatoses Bulleuses CNHU HKM'!F:F,"&lt;=60",'Dermatoses Bulleuses CNHU HKM'!M:M,"Cutanée seule")</f>
        <v>32</v>
      </c>
      <c r="C139" s="9">
        <f>IF($B$125&gt;0,B139/$B$125*100,0)</f>
        <v>52.459016393442624</v>
      </c>
    </row>
    <row r="140" spans="1:4" x14ac:dyDescent="0.25">
      <c r="A140" s="4" t="s">
        <v>38</v>
      </c>
      <c r="B140" s="4">
        <f>COUNTIFS('Dermatoses Bulleuses CNHU HKM'!F:F,"&gt;18",'Dermatoses Bulleuses CNHU HKM'!F:F,"&lt;=60",'Dermatoses Bulleuses CNHU HKM'!M:M,"Cutanée et muqueuse")</f>
        <v>29</v>
      </c>
      <c r="C140" s="9">
        <f>IF($B$125&gt;0,B140/$B$125*100,0)</f>
        <v>47.540983606557376</v>
      </c>
    </row>
    <row r="141" spans="1:4" x14ac:dyDescent="0.25">
      <c r="A141" s="4" t="s">
        <v>58</v>
      </c>
      <c r="B141" s="4">
        <f>COUNTIFS('Dermatoses Bulleuses CNHU HKM'!F:F,"&gt;18",'Dermatoses Bulleuses CNHU HKM'!F:F,"&lt;=60",'Dermatoses Bulleuses CNHU HKM'!M:M,"Muqueuse seule")</f>
        <v>0</v>
      </c>
      <c r="C141" s="9">
        <f>IF($B$125&gt;0,B141/$B$125*100,0)</f>
        <v>0</v>
      </c>
    </row>
    <row r="143" spans="1:4" x14ac:dyDescent="0.25">
      <c r="A143" s="13" t="s">
        <v>216</v>
      </c>
      <c r="B143" s="13"/>
      <c r="C143" s="13"/>
      <c r="D143" s="13"/>
    </row>
    <row r="144" spans="1:4" x14ac:dyDescent="0.25">
      <c r="A144" s="7" t="s">
        <v>181</v>
      </c>
      <c r="B144" s="7" t="s">
        <v>187</v>
      </c>
      <c r="C144" s="7" t="s">
        <v>188</v>
      </c>
    </row>
    <row r="145" spans="1:8" x14ac:dyDescent="0.25">
      <c r="A145" s="4" t="s">
        <v>19</v>
      </c>
      <c r="B145" s="4">
        <f>COUNTIFS('Dermatoses Bulleuses CNHU HKM'!F:F,"&gt;18",'Dermatoses Bulleuses CNHU HKM'!F:F,"&lt;=60",'Dermatoses Bulleuses CNHU HKM'!Q:Q,"Toxidermie")</f>
        <v>40</v>
      </c>
      <c r="C145" s="9">
        <f>IF($B$125&gt;0,B145/$B$125*100,0)</f>
        <v>65.573770491803273</v>
      </c>
    </row>
    <row r="146" spans="1:8" x14ac:dyDescent="0.25">
      <c r="A146" s="4" t="s">
        <v>40</v>
      </c>
      <c r="B146" s="4">
        <f>COUNTIFS('Dermatoses Bulleuses CNHU HKM'!F:F,"&gt;18",'Dermatoses Bulleuses CNHU HKM'!F:F,"&lt;=60",'Dermatoses Bulleuses CNHU HKM'!Q:Q,"Auto-immune")</f>
        <v>12</v>
      </c>
      <c r="C146" s="9">
        <f>IF($B$125&gt;0,B146/$B$125*100,0)</f>
        <v>19.672131147540984</v>
      </c>
    </row>
    <row r="147" spans="1:8" x14ac:dyDescent="0.25">
      <c r="A147" s="4" t="s">
        <v>28</v>
      </c>
      <c r="B147" s="4">
        <f>COUNTIFS('Dermatoses Bulleuses CNHU HKM'!F:F,"&gt;18",'Dermatoses Bulleuses CNHU HKM'!F:F,"&lt;=60",'Dermatoses Bulleuses CNHU HKM'!Q:Q,"Infectieuse")</f>
        <v>5</v>
      </c>
      <c r="C147" s="9">
        <f>IF($B$125&gt;0,B147/$B$125*100,0)</f>
        <v>8.1967213114754092</v>
      </c>
    </row>
    <row r="148" spans="1:8" x14ac:dyDescent="0.25">
      <c r="A148" s="4" t="s">
        <v>144</v>
      </c>
      <c r="B148" s="4">
        <f>COUNTIFS('Dermatoses Bulleuses CNHU HKM'!F:F,"&gt;18",'Dermatoses Bulleuses CNHU HKM'!F:F,"&lt;=60",'Dermatoses Bulleuses CNHU HKM'!Q:Q,"Immunoallergique")</f>
        <v>4</v>
      </c>
      <c r="C148" s="9">
        <f>IF($B$125&gt;0,B148/$B$125*100,0)</f>
        <v>6.557377049180328</v>
      </c>
    </row>
    <row r="151" spans="1:8" ht="17.25" x14ac:dyDescent="0.3">
      <c r="A151" s="14" t="s">
        <v>217</v>
      </c>
      <c r="B151" s="14"/>
      <c r="C151" s="14"/>
      <c r="D151" s="14"/>
      <c r="E151" s="14"/>
      <c r="F151" s="14"/>
      <c r="G151" s="14"/>
      <c r="H151" s="14"/>
    </row>
    <row r="153" spans="1:8" x14ac:dyDescent="0.25">
      <c r="A153" s="7" t="s">
        <v>218</v>
      </c>
      <c r="B153" s="4">
        <f>COUNTIFS('Dermatoses Bulleuses CNHU HKM'!F:F,"&gt;60")</f>
        <v>26</v>
      </c>
    </row>
    <row r="155" spans="1:8" x14ac:dyDescent="0.25">
      <c r="A155" s="15" t="s">
        <v>219</v>
      </c>
      <c r="B155" s="15"/>
      <c r="C155" s="15"/>
      <c r="D155" s="15"/>
    </row>
    <row r="156" spans="1:8" x14ac:dyDescent="0.25">
      <c r="A156" s="7" t="s">
        <v>181</v>
      </c>
      <c r="B156" s="7" t="s">
        <v>187</v>
      </c>
      <c r="C156" s="7" t="s">
        <v>188</v>
      </c>
    </row>
    <row r="157" spans="1:8" x14ac:dyDescent="0.25">
      <c r="A157" s="4" t="s">
        <v>30</v>
      </c>
      <c r="B157" s="4">
        <f>COUNTIFS('Dermatoses Bulleuses CNHU HKM'!F:F,"&gt;60",'Dermatoses Bulleuses CNHU HKM'!G:G,"Femme")</f>
        <v>15</v>
      </c>
      <c r="C157" s="9">
        <f>IF($B$153&gt;0,B157/$B$153*100,0)</f>
        <v>57.692307692307686</v>
      </c>
    </row>
    <row r="158" spans="1:8" x14ac:dyDescent="0.25">
      <c r="A158" s="4" t="s">
        <v>22</v>
      </c>
      <c r="B158" s="4">
        <f>COUNTIFS('Dermatoses Bulleuses CNHU HKM'!F:F,"&gt;60",'Dermatoses Bulleuses CNHU HKM'!G:G,"Homme")</f>
        <v>11</v>
      </c>
      <c r="C158" s="9">
        <f>IF($B$153&gt;0,B158/$B$153*100,0)</f>
        <v>42.307692307692307</v>
      </c>
    </row>
    <row r="160" spans="1:8" x14ac:dyDescent="0.25">
      <c r="A160" s="15" t="s">
        <v>220</v>
      </c>
      <c r="B160" s="15"/>
      <c r="C160" s="15"/>
      <c r="D160" s="15"/>
    </row>
    <row r="161" spans="1:4" x14ac:dyDescent="0.25">
      <c r="A161" s="7" t="s">
        <v>181</v>
      </c>
      <c r="B161" s="7" t="s">
        <v>187</v>
      </c>
      <c r="C161" s="7" t="s">
        <v>188</v>
      </c>
    </row>
    <row r="162" spans="1:4" x14ac:dyDescent="0.25">
      <c r="A162" s="4" t="s">
        <v>32</v>
      </c>
      <c r="B162" s="4">
        <f>COUNTIFS('Dermatoses Bulleuses CNHU HKM'!F:F,"&gt;60",'Dermatoses Bulleuses CNHU HKM'!K:K,"Oui")</f>
        <v>7</v>
      </c>
      <c r="C162" s="9">
        <f>IF($B$153&gt;0,B162/$B$153*100,0)</f>
        <v>26.923076923076923</v>
      </c>
    </row>
    <row r="163" spans="1:4" x14ac:dyDescent="0.25">
      <c r="A163" s="4" t="s">
        <v>24</v>
      </c>
      <c r="B163" s="4">
        <f>COUNTIFS('Dermatoses Bulleuses CNHU HKM'!F:F,"&gt;60",'Dermatoses Bulleuses CNHU HKM'!K:K,"Non")</f>
        <v>19</v>
      </c>
      <c r="C163" s="9">
        <f>IF($B$153&gt;0,B163/$B$153*100,0)</f>
        <v>73.076923076923066</v>
      </c>
    </row>
    <row r="165" spans="1:4" x14ac:dyDescent="0.25">
      <c r="A165" s="15" t="s">
        <v>221</v>
      </c>
      <c r="B165" s="15"/>
      <c r="C165" s="15"/>
      <c r="D165" s="15"/>
    </row>
    <row r="166" spans="1:4" x14ac:dyDescent="0.25">
      <c r="A166" s="7" t="s">
        <v>181</v>
      </c>
      <c r="B166" s="7" t="s">
        <v>187</v>
      </c>
      <c r="C166" s="7" t="s">
        <v>188</v>
      </c>
    </row>
    <row r="167" spans="1:4" x14ac:dyDescent="0.25">
      <c r="A167" s="4" t="s">
        <v>25</v>
      </c>
      <c r="B167" s="4">
        <f>COUNTIFS('Dermatoses Bulleuses CNHU HKM'!F:F,"&gt;60",'Dermatoses Bulleuses CNHU HKM'!M:M,"Cutanée seule")</f>
        <v>18</v>
      </c>
      <c r="C167" s="9">
        <f>IF($B$153&gt;0,B167/$B$153*100,0)</f>
        <v>69.230769230769226</v>
      </c>
    </row>
    <row r="168" spans="1:4" x14ac:dyDescent="0.25">
      <c r="A168" s="4" t="s">
        <v>38</v>
      </c>
      <c r="B168" s="4">
        <f>COUNTIFS('Dermatoses Bulleuses CNHU HKM'!F:F,"&gt;60",'Dermatoses Bulleuses CNHU HKM'!M:M,"Cutanée et muqueuse")</f>
        <v>6</v>
      </c>
      <c r="C168" s="9">
        <f>IF($B$153&gt;0,B168/$B$153*100,0)</f>
        <v>23.076923076923077</v>
      </c>
    </row>
    <row r="169" spans="1:4" x14ac:dyDescent="0.25">
      <c r="A169" s="4" t="s">
        <v>58</v>
      </c>
      <c r="B169" s="4">
        <f>COUNTIFS('Dermatoses Bulleuses CNHU HKM'!F:F,"&gt;60",'Dermatoses Bulleuses CNHU HKM'!M:M,"Muqueuse seule")</f>
        <v>2</v>
      </c>
      <c r="C169" s="9">
        <f>IF($B$153&gt;0,B169/$B$153*100,0)</f>
        <v>7.6923076923076925</v>
      </c>
    </row>
    <row r="171" spans="1:4" x14ac:dyDescent="0.25">
      <c r="A171" s="15" t="s">
        <v>222</v>
      </c>
      <c r="B171" s="15"/>
      <c r="C171" s="15"/>
      <c r="D171" s="15"/>
    </row>
    <row r="172" spans="1:4" x14ac:dyDescent="0.25">
      <c r="A172" s="7" t="s">
        <v>181</v>
      </c>
      <c r="B172" s="7" t="s">
        <v>187</v>
      </c>
      <c r="C172" s="7" t="s">
        <v>188</v>
      </c>
    </row>
    <row r="173" spans="1:4" x14ac:dyDescent="0.25">
      <c r="A173" s="4" t="s">
        <v>19</v>
      </c>
      <c r="B173" s="4">
        <f>COUNTIFS('Dermatoses Bulleuses CNHU HKM'!F:F,"&gt;60",'Dermatoses Bulleuses CNHU HKM'!Q:Q,"Toxidermie")</f>
        <v>8</v>
      </c>
      <c r="C173" s="9">
        <f>IF($B$153&gt;0,B173/$B$153*100,0)</f>
        <v>30.76923076923077</v>
      </c>
    </row>
    <row r="174" spans="1:4" x14ac:dyDescent="0.25">
      <c r="A174" s="4" t="s">
        <v>40</v>
      </c>
      <c r="B174" s="4">
        <f>COUNTIFS('Dermatoses Bulleuses CNHU HKM'!F:F,"&gt;60",'Dermatoses Bulleuses CNHU HKM'!Q:Q,"Auto-immune")</f>
        <v>17</v>
      </c>
      <c r="C174" s="9">
        <f>IF($B$153&gt;0,B174/$B$153*100,0)</f>
        <v>65.384615384615387</v>
      </c>
    </row>
    <row r="175" spans="1:4" x14ac:dyDescent="0.25">
      <c r="A175" s="4" t="s">
        <v>28</v>
      </c>
      <c r="B175" s="4">
        <f>COUNTIFS('Dermatoses Bulleuses CNHU HKM'!F:F,"&gt;60",'Dermatoses Bulleuses CNHU HKM'!Q:Q,"Infectieuse")</f>
        <v>1</v>
      </c>
      <c r="C175" s="9">
        <f>IF($B$153&gt;0,B175/$B$153*100,0)</f>
        <v>3.8461538461538463</v>
      </c>
    </row>
    <row r="176" spans="1:4" x14ac:dyDescent="0.25">
      <c r="A176" s="4" t="s">
        <v>144</v>
      </c>
      <c r="B176" s="4">
        <f>COUNTIFS('Dermatoses Bulleuses CNHU HKM'!F:F,"&gt;60",'Dermatoses Bulleuses CNHU HKM'!Q:Q,"Immunoallergique")</f>
        <v>0</v>
      </c>
      <c r="C176" s="9">
        <f>IF($B$153&gt;0,B176/$B$153*100,0)</f>
        <v>0</v>
      </c>
    </row>
    <row r="179" spans="1:8" ht="20.25" x14ac:dyDescent="0.35">
      <c r="A179" s="6" t="s">
        <v>223</v>
      </c>
      <c r="B179" s="6"/>
      <c r="C179" s="6"/>
      <c r="D179" s="6"/>
      <c r="E179" s="6"/>
      <c r="F179" s="6"/>
      <c r="G179" s="6"/>
      <c r="H179" s="6"/>
    </row>
    <row r="181" spans="1:8" ht="17.25" x14ac:dyDescent="0.3">
      <c r="A181" s="16" t="s">
        <v>224</v>
      </c>
      <c r="B181" s="16"/>
      <c r="C181" s="16"/>
      <c r="D181" s="16"/>
      <c r="E181" s="16"/>
      <c r="F181" s="16"/>
      <c r="G181" s="16"/>
      <c r="H181" s="16"/>
    </row>
    <row r="183" spans="1:8" x14ac:dyDescent="0.25">
      <c r="A183" s="7" t="s">
        <v>225</v>
      </c>
      <c r="B183" s="4">
        <f>COUNTIF('Dermatoses Bulleuses CNHU HKM'!G:G,"Femme")</f>
        <v>74</v>
      </c>
    </row>
    <row r="185" spans="1:8" x14ac:dyDescent="0.25">
      <c r="A185" s="17" t="s">
        <v>226</v>
      </c>
      <c r="B185" s="17"/>
      <c r="C185" s="17"/>
      <c r="D185" s="17"/>
    </row>
    <row r="186" spans="1:8" x14ac:dyDescent="0.25">
      <c r="A186" s="7" t="s">
        <v>200</v>
      </c>
      <c r="B186" s="7" t="s">
        <v>187</v>
      </c>
      <c r="C186" s="7" t="s">
        <v>188</v>
      </c>
    </row>
    <row r="187" spans="1:8" x14ac:dyDescent="0.25">
      <c r="A187" s="4" t="s">
        <v>201</v>
      </c>
      <c r="B187" s="4">
        <f>COUNTIFS('Dermatoses Bulleuses CNHU HKM'!G:G,"Femme",'Dermatoses Bulleuses CNHU HKM'!F:F,"&gt;=0",'Dermatoses Bulleuses CNHU HKM'!F:F,"&lt;=18")</f>
        <v>19</v>
      </c>
      <c r="C187" s="9">
        <f>IF($B$183&gt;0,B187/$B$183*100,0)</f>
        <v>25.675675675675674</v>
      </c>
    </row>
    <row r="188" spans="1:8" x14ac:dyDescent="0.25">
      <c r="A188" s="4" t="s">
        <v>202</v>
      </c>
      <c r="B188" s="4">
        <f>COUNTIFS('Dermatoses Bulleuses CNHU HKM'!G:G,"Femme",'Dermatoses Bulleuses CNHU HKM'!F:F,"&gt;18",'Dermatoses Bulleuses CNHU HKM'!F:F,"&lt;=60")</f>
        <v>40</v>
      </c>
      <c r="C188" s="9">
        <f>IF($B$183&gt;0,B188/$B$183*100,0)</f>
        <v>54.054054054054056</v>
      </c>
    </row>
    <row r="189" spans="1:8" x14ac:dyDescent="0.25">
      <c r="A189" s="4" t="s">
        <v>203</v>
      </c>
      <c r="B189" s="4">
        <f>COUNTIFS('Dermatoses Bulleuses CNHU HKM'!G:G,"Femme",'Dermatoses Bulleuses CNHU HKM'!F:F,"&gt;60")</f>
        <v>15</v>
      </c>
      <c r="C189" s="9">
        <f>IF($B$183&gt;0,B189/$B$183*100,0)</f>
        <v>20.27027027027027</v>
      </c>
    </row>
    <row r="191" spans="1:8" x14ac:dyDescent="0.25">
      <c r="A191" s="17" t="s">
        <v>227</v>
      </c>
      <c r="B191" s="17"/>
      <c r="C191" s="17"/>
      <c r="D191" s="17"/>
    </row>
    <row r="192" spans="1:8" x14ac:dyDescent="0.25">
      <c r="A192" s="7" t="s">
        <v>181</v>
      </c>
      <c r="B192" s="7" t="s">
        <v>187</v>
      </c>
      <c r="C192" s="7" t="s">
        <v>188</v>
      </c>
    </row>
    <row r="193" spans="1:4" x14ac:dyDescent="0.25">
      <c r="A193" s="4" t="s">
        <v>32</v>
      </c>
      <c r="B193" s="4">
        <f>COUNTIFS('Dermatoses Bulleuses CNHU HKM'!G:G,"Femme",'Dermatoses Bulleuses CNHU HKM'!K:K,"Oui")</f>
        <v>39</v>
      </c>
      <c r="C193" s="9">
        <f>IF($B$183&gt;0,B193/$B$183*100,0)</f>
        <v>52.702702702702695</v>
      </c>
    </row>
    <row r="194" spans="1:4" x14ac:dyDescent="0.25">
      <c r="A194" s="4" t="s">
        <v>24</v>
      </c>
      <c r="B194" s="4">
        <f>COUNTIFS('Dermatoses Bulleuses CNHU HKM'!G:G,"Femme",'Dermatoses Bulleuses CNHU HKM'!K:K,"Non")</f>
        <v>35</v>
      </c>
      <c r="C194" s="9">
        <f>IF($B$183&gt;0,B194/$B$183*100,0)</f>
        <v>47.297297297297298</v>
      </c>
    </row>
    <row r="196" spans="1:4" x14ac:dyDescent="0.25">
      <c r="A196" s="17" t="s">
        <v>228</v>
      </c>
      <c r="B196" s="17"/>
      <c r="C196" s="17"/>
      <c r="D196" s="17"/>
    </row>
    <row r="197" spans="1:4" x14ac:dyDescent="0.25">
      <c r="A197" s="7" t="s">
        <v>181</v>
      </c>
      <c r="B197" s="7" t="s">
        <v>187</v>
      </c>
      <c r="C197" s="7" t="s">
        <v>188</v>
      </c>
    </row>
    <row r="198" spans="1:4" x14ac:dyDescent="0.25">
      <c r="A198" s="4" t="s">
        <v>25</v>
      </c>
      <c r="B198" s="4">
        <f>COUNTIFS('Dermatoses Bulleuses CNHU HKM'!G:G,"Femme",'Dermatoses Bulleuses CNHU HKM'!M:M,"Cutanée seule")</f>
        <v>44</v>
      </c>
      <c r="C198" s="9">
        <f>IF($B$183&gt;0,B198/$B$183*100,0)</f>
        <v>59.45945945945946</v>
      </c>
    </row>
    <row r="199" spans="1:4" x14ac:dyDescent="0.25">
      <c r="A199" s="4" t="s">
        <v>38</v>
      </c>
      <c r="B199" s="4">
        <f>COUNTIFS('Dermatoses Bulleuses CNHU HKM'!G:G,"Femme",'Dermatoses Bulleuses CNHU HKM'!M:M,"Cutanée et muqueuse")</f>
        <v>30</v>
      </c>
      <c r="C199" s="9">
        <f>IF($B$183&gt;0,B199/$B$183*100,0)</f>
        <v>40.54054054054054</v>
      </c>
    </row>
    <row r="200" spans="1:4" x14ac:dyDescent="0.25">
      <c r="A200" s="4" t="s">
        <v>58</v>
      </c>
      <c r="B200" s="4">
        <f>COUNTIFS('Dermatoses Bulleuses CNHU HKM'!G:G,"Femme",'Dermatoses Bulleuses CNHU HKM'!M:M,"Muqueuse seule")</f>
        <v>0</v>
      </c>
      <c r="C200" s="9">
        <f>IF($B$183&gt;0,B200/$B$183*100,0)</f>
        <v>0</v>
      </c>
    </row>
    <row r="202" spans="1:4" x14ac:dyDescent="0.25">
      <c r="A202" s="17" t="s">
        <v>229</v>
      </c>
      <c r="B202" s="17"/>
      <c r="C202" s="17"/>
      <c r="D202" s="17"/>
    </row>
    <row r="203" spans="1:4" x14ac:dyDescent="0.25">
      <c r="A203" s="7" t="s">
        <v>181</v>
      </c>
      <c r="B203" s="7" t="s">
        <v>187</v>
      </c>
      <c r="C203" s="7" t="s">
        <v>188</v>
      </c>
    </row>
    <row r="204" spans="1:4" x14ac:dyDescent="0.25">
      <c r="A204" s="4" t="s">
        <v>19</v>
      </c>
      <c r="B204" s="4">
        <f>COUNTIFS('Dermatoses Bulleuses CNHU HKM'!G:G,"Femme",'Dermatoses Bulleuses CNHU HKM'!Q:Q,"Toxidermie")</f>
        <v>43</v>
      </c>
      <c r="C204" s="9">
        <f>IF($B$183&gt;0,B204/$B$183*100,0)</f>
        <v>58.108108108108105</v>
      </c>
    </row>
    <row r="205" spans="1:4" x14ac:dyDescent="0.25">
      <c r="A205" s="4" t="s">
        <v>40</v>
      </c>
      <c r="B205" s="4">
        <f>COUNTIFS('Dermatoses Bulleuses CNHU HKM'!G:G,"Femme",'Dermatoses Bulleuses CNHU HKM'!Q:Q,"Auto-immune")</f>
        <v>21</v>
      </c>
      <c r="C205" s="9">
        <f>IF($B$183&gt;0,B205/$B$183*100,0)</f>
        <v>28.378378378378379</v>
      </c>
    </row>
    <row r="206" spans="1:4" x14ac:dyDescent="0.25">
      <c r="A206" s="4" t="s">
        <v>28</v>
      </c>
      <c r="B206" s="4">
        <f>COUNTIFS('Dermatoses Bulleuses CNHU HKM'!G:G,"Femme",'Dermatoses Bulleuses CNHU HKM'!Q:Q,"Infectieuse")</f>
        <v>7</v>
      </c>
      <c r="C206" s="9">
        <f>IF($B$183&gt;0,B206/$B$183*100,0)</f>
        <v>9.4594594594594597</v>
      </c>
    </row>
    <row r="207" spans="1:4" x14ac:dyDescent="0.25">
      <c r="A207" s="4" t="s">
        <v>144</v>
      </c>
      <c r="B207" s="4">
        <f>COUNTIFS('Dermatoses Bulleuses CNHU HKM'!G:G,"Femme",'Dermatoses Bulleuses CNHU HKM'!Q:Q,"Immunoallergique")</f>
        <v>3</v>
      </c>
      <c r="C207" s="9">
        <f>IF($B$183&gt;0,B207/$B$183*100,0)</f>
        <v>4.0540540540540544</v>
      </c>
    </row>
    <row r="210" spans="1:8" ht="17.25" x14ac:dyDescent="0.3">
      <c r="A210" s="18" t="s">
        <v>230</v>
      </c>
      <c r="B210" s="18"/>
      <c r="C210" s="18"/>
      <c r="D210" s="18"/>
      <c r="E210" s="18"/>
      <c r="F210" s="18"/>
      <c r="G210" s="18"/>
      <c r="H210" s="18"/>
    </row>
    <row r="212" spans="1:8" x14ac:dyDescent="0.25">
      <c r="A212" s="7" t="s">
        <v>231</v>
      </c>
      <c r="B212" s="4">
        <f>COUNTIF('Dermatoses Bulleuses CNHU HKM'!G:G,"Homme")</f>
        <v>56</v>
      </c>
    </row>
    <row r="214" spans="1:8" x14ac:dyDescent="0.25">
      <c r="A214" s="19" t="s">
        <v>232</v>
      </c>
      <c r="B214" s="19"/>
      <c r="C214" s="19"/>
      <c r="D214" s="19"/>
    </row>
    <row r="215" spans="1:8" x14ac:dyDescent="0.25">
      <c r="A215" s="7" t="s">
        <v>200</v>
      </c>
      <c r="B215" s="7" t="s">
        <v>187</v>
      </c>
      <c r="C215" s="7" t="s">
        <v>188</v>
      </c>
    </row>
    <row r="216" spans="1:8" x14ac:dyDescent="0.25">
      <c r="A216" s="4" t="s">
        <v>201</v>
      </c>
      <c r="B216" s="4">
        <f>COUNTIFS('Dermatoses Bulleuses CNHU HKM'!G:G,"Homme",'Dermatoses Bulleuses CNHU HKM'!F:F,"&gt;=0",'Dermatoses Bulleuses CNHU HKM'!F:F,"&lt;=18")</f>
        <v>24</v>
      </c>
      <c r="C216" s="9">
        <f>IF($B$212&gt;0,B216/$B$212*100,0)</f>
        <v>42.857142857142854</v>
      </c>
    </row>
    <row r="217" spans="1:8" x14ac:dyDescent="0.25">
      <c r="A217" s="4" t="s">
        <v>202</v>
      </c>
      <c r="B217" s="4">
        <f>COUNTIFS('Dermatoses Bulleuses CNHU HKM'!G:G,"Homme",'Dermatoses Bulleuses CNHU HKM'!F:F,"&gt;18",'Dermatoses Bulleuses CNHU HKM'!F:F,"&lt;=60")</f>
        <v>21</v>
      </c>
      <c r="C217" s="9">
        <f>IF($B$212&gt;0,B217/$B$212*100,0)</f>
        <v>37.5</v>
      </c>
    </row>
    <row r="218" spans="1:8" x14ac:dyDescent="0.25">
      <c r="A218" s="4" t="s">
        <v>203</v>
      </c>
      <c r="B218" s="4">
        <f>COUNTIFS('Dermatoses Bulleuses CNHU HKM'!G:G,"Homme",'Dermatoses Bulleuses CNHU HKM'!F:F,"&gt;60")</f>
        <v>11</v>
      </c>
      <c r="C218" s="9">
        <f>IF($B$212&gt;0,B218/$B$212*100,0)</f>
        <v>19.642857142857142</v>
      </c>
    </row>
    <row r="220" spans="1:8" x14ac:dyDescent="0.25">
      <c r="A220" s="19" t="s">
        <v>233</v>
      </c>
      <c r="B220" s="19"/>
      <c r="C220" s="19"/>
      <c r="D220" s="19"/>
    </row>
    <row r="221" spans="1:8" x14ac:dyDescent="0.25">
      <c r="A221" s="7" t="s">
        <v>181</v>
      </c>
      <c r="B221" s="7" t="s">
        <v>187</v>
      </c>
      <c r="C221" s="7" t="s">
        <v>188</v>
      </c>
    </row>
    <row r="222" spans="1:8" x14ac:dyDescent="0.25">
      <c r="A222" s="4" t="s">
        <v>32</v>
      </c>
      <c r="B222" s="4">
        <f>COUNTIFS('Dermatoses Bulleuses CNHU HKM'!G:G,"Homme",'Dermatoses Bulleuses CNHU HKM'!K:K,"Oui")</f>
        <v>29</v>
      </c>
      <c r="C222" s="9">
        <f>IF($B$212&gt;0,B222/$B$212*100,0)</f>
        <v>51.785714285714292</v>
      </c>
    </row>
    <row r="223" spans="1:8" x14ac:dyDescent="0.25">
      <c r="A223" s="4" t="s">
        <v>24</v>
      </c>
      <c r="B223" s="4">
        <f>COUNTIFS('Dermatoses Bulleuses CNHU HKM'!G:G,"Homme",'Dermatoses Bulleuses CNHU HKM'!K:K,"Non")</f>
        <v>27</v>
      </c>
      <c r="C223" s="9">
        <f>IF($B$212&gt;0,B223/$B$212*100,0)</f>
        <v>48.214285714285715</v>
      </c>
    </row>
    <row r="225" spans="1:8" x14ac:dyDescent="0.25">
      <c r="A225" s="19" t="s">
        <v>234</v>
      </c>
      <c r="B225" s="19"/>
      <c r="C225" s="19"/>
      <c r="D225" s="19"/>
    </row>
    <row r="226" spans="1:8" x14ac:dyDescent="0.25">
      <c r="A226" s="7" t="s">
        <v>181</v>
      </c>
      <c r="B226" s="7" t="s">
        <v>187</v>
      </c>
      <c r="C226" s="7" t="s">
        <v>188</v>
      </c>
    </row>
    <row r="227" spans="1:8" x14ac:dyDescent="0.25">
      <c r="A227" s="4" t="s">
        <v>25</v>
      </c>
      <c r="B227" s="4">
        <f>COUNTIFS('Dermatoses Bulleuses CNHU HKM'!G:G,"Homme",'Dermatoses Bulleuses CNHU HKM'!M:M,"Cutanée seule")</f>
        <v>23</v>
      </c>
      <c r="C227" s="9">
        <f>IF($B$212&gt;0,B227/$B$212*100,0)</f>
        <v>41.071428571428569</v>
      </c>
    </row>
    <row r="228" spans="1:8" x14ac:dyDescent="0.25">
      <c r="A228" s="4" t="s">
        <v>38</v>
      </c>
      <c r="B228" s="4">
        <f>COUNTIFS('Dermatoses Bulleuses CNHU HKM'!G:G,"Homme",'Dermatoses Bulleuses CNHU HKM'!M:M,"Cutanée et muqueuse")</f>
        <v>30</v>
      </c>
      <c r="C228" s="9">
        <f>IF($B$212&gt;0,B228/$B$212*100,0)</f>
        <v>53.571428571428569</v>
      </c>
    </row>
    <row r="229" spans="1:8" x14ac:dyDescent="0.25">
      <c r="A229" s="4" t="s">
        <v>58</v>
      </c>
      <c r="B229" s="4">
        <f>COUNTIFS('Dermatoses Bulleuses CNHU HKM'!G:G,"Homme",'Dermatoses Bulleuses CNHU HKM'!M:M,"Muqueuse seule")</f>
        <v>3</v>
      </c>
      <c r="C229" s="9">
        <f>IF($B$212&gt;0,B229/$B$212*100,0)</f>
        <v>5.3571428571428568</v>
      </c>
    </row>
    <row r="231" spans="1:8" x14ac:dyDescent="0.25">
      <c r="A231" s="19" t="s">
        <v>235</v>
      </c>
      <c r="B231" s="19"/>
      <c r="C231" s="19"/>
      <c r="D231" s="19"/>
    </row>
    <row r="232" spans="1:8" x14ac:dyDescent="0.25">
      <c r="A232" s="7" t="s">
        <v>181</v>
      </c>
      <c r="B232" s="7" t="s">
        <v>187</v>
      </c>
      <c r="C232" s="7" t="s">
        <v>188</v>
      </c>
    </row>
    <row r="233" spans="1:8" x14ac:dyDescent="0.25">
      <c r="A233" s="4" t="s">
        <v>19</v>
      </c>
      <c r="B233" s="4">
        <f>COUNTIFS('Dermatoses Bulleuses CNHU HKM'!G:G,"Homme",'Dermatoses Bulleuses CNHU HKM'!Q:Q,"Toxidermie")</f>
        <v>32</v>
      </c>
      <c r="C233" s="9">
        <f>IF($B$212&gt;0,B233/$B$212*100,0)</f>
        <v>57.142857142857139</v>
      </c>
    </row>
    <row r="234" spans="1:8" x14ac:dyDescent="0.25">
      <c r="A234" s="4" t="s">
        <v>40</v>
      </c>
      <c r="B234" s="4">
        <f>COUNTIFS('Dermatoses Bulleuses CNHU HKM'!G:G,"Homme",'Dermatoses Bulleuses CNHU HKM'!Q:Q,"Auto-immune")</f>
        <v>10</v>
      </c>
      <c r="C234" s="9">
        <f>IF($B$212&gt;0,B234/$B$212*100,0)</f>
        <v>17.857142857142858</v>
      </c>
    </row>
    <row r="235" spans="1:8" x14ac:dyDescent="0.25">
      <c r="A235" s="4" t="s">
        <v>28</v>
      </c>
      <c r="B235" s="4">
        <f>COUNTIFS('Dermatoses Bulleuses CNHU HKM'!G:G,"Homme",'Dermatoses Bulleuses CNHU HKM'!Q:Q,"Infectieuse")</f>
        <v>12</v>
      </c>
      <c r="C235" s="9">
        <f>IF($B$212&gt;0,B235/$B$212*100,0)</f>
        <v>21.428571428571427</v>
      </c>
    </row>
    <row r="236" spans="1:8" x14ac:dyDescent="0.25">
      <c r="A236" s="4" t="s">
        <v>144</v>
      </c>
      <c r="B236" s="4">
        <f>COUNTIFS('Dermatoses Bulleuses CNHU HKM'!G:G,"Homme",'Dermatoses Bulleuses CNHU HKM'!Q:Q,"Immunoallergique")</f>
        <v>2</v>
      </c>
      <c r="C236" s="9">
        <f>IF($B$212&gt;0,B236/$B$212*100,0)</f>
        <v>3.5714285714285712</v>
      </c>
    </row>
    <row r="239" spans="1:8" ht="20.25" x14ac:dyDescent="0.35">
      <c r="A239" s="6" t="s">
        <v>236</v>
      </c>
      <c r="B239" s="6"/>
      <c r="C239" s="6"/>
      <c r="D239" s="6"/>
      <c r="E239" s="6"/>
      <c r="F239" s="6"/>
      <c r="G239" s="6"/>
      <c r="H239" s="6"/>
    </row>
    <row r="241" spans="1:8" x14ac:dyDescent="0.25">
      <c r="A241" s="20"/>
      <c r="B241" s="20" t="s">
        <v>201</v>
      </c>
      <c r="C241" s="20" t="s">
        <v>202</v>
      </c>
      <c r="D241" s="20" t="s">
        <v>203</v>
      </c>
    </row>
    <row r="242" spans="1:8" x14ac:dyDescent="0.25">
      <c r="A242" s="4" t="s">
        <v>30</v>
      </c>
      <c r="B242" s="4">
        <f>COUNTIFS('Dermatoses Bulleuses CNHU HKM'!G:G,"Femme",'Dermatoses Bulleuses CNHU HKM'!F:F,"&gt;=0",'Dermatoses Bulleuses CNHU HKM'!F:F,"&lt;=18")</f>
        <v>19</v>
      </c>
      <c r="C242" s="4">
        <f>COUNTIFS('Dermatoses Bulleuses CNHU HKM'!G:G,"Femme",'Dermatoses Bulleuses CNHU HKM'!F:F,"&gt;18",'Dermatoses Bulleuses CNHU HKM'!F:F,"&lt;=60")</f>
        <v>40</v>
      </c>
      <c r="D242" s="4">
        <f>COUNTIFS('Dermatoses Bulleuses CNHU HKM'!G:G,"Femme",'Dermatoses Bulleuses CNHU HKM'!F:F,"&gt;60")</f>
        <v>15</v>
      </c>
    </row>
    <row r="243" spans="1:8" x14ac:dyDescent="0.25">
      <c r="A243" s="4" t="s">
        <v>22</v>
      </c>
      <c r="B243" s="4">
        <f>COUNTIFS('Dermatoses Bulleuses CNHU HKM'!G:G,"Homme",'Dermatoses Bulleuses CNHU HKM'!F:F,"&gt;=0",'Dermatoses Bulleuses CNHU HKM'!F:F,"&lt;=18")</f>
        <v>24</v>
      </c>
      <c r="C243" s="4">
        <f>COUNTIFS('Dermatoses Bulleuses CNHU HKM'!G:G,"Homme",'Dermatoses Bulleuses CNHU HKM'!F:F,"&gt;18",'Dermatoses Bulleuses CNHU HKM'!F:F,"&lt;=60")</f>
        <v>21</v>
      </c>
      <c r="D243" s="4">
        <f>COUNTIFS('Dermatoses Bulleuses CNHU HKM'!G:G,"Homme",'Dermatoses Bulleuses CNHU HKM'!F:F,"&gt;60")</f>
        <v>11</v>
      </c>
    </row>
    <row r="244" spans="1:8" x14ac:dyDescent="0.25">
      <c r="A244" s="7" t="s">
        <v>237</v>
      </c>
      <c r="B244" s="4">
        <f>SUM(B242:B243)</f>
        <v>43</v>
      </c>
      <c r="C244" s="4">
        <f>SUM(C242:C243)</f>
        <v>61</v>
      </c>
      <c r="D244" s="4">
        <f>SUM(D242:D243)</f>
        <v>26</v>
      </c>
    </row>
    <row r="247" spans="1:8" x14ac:dyDescent="0.25">
      <c r="A247" s="8" t="s">
        <v>238</v>
      </c>
      <c r="B247" s="8"/>
      <c r="C247" s="8"/>
      <c r="D247" s="8"/>
      <c r="E247" s="8"/>
    </row>
    <row r="248" spans="1:8" x14ac:dyDescent="0.25">
      <c r="A248" s="7" t="s">
        <v>239</v>
      </c>
      <c r="B248" s="7" t="s">
        <v>201</v>
      </c>
      <c r="C248" s="7" t="s">
        <v>202</v>
      </c>
      <c r="D248" s="7" t="s">
        <v>203</v>
      </c>
      <c r="E248" s="7" t="s">
        <v>237</v>
      </c>
    </row>
    <row r="249" spans="1:8" x14ac:dyDescent="0.25">
      <c r="A249" s="4" t="s">
        <v>19</v>
      </c>
      <c r="B249" s="4">
        <f>COUNTIFS('Dermatoses Bulleuses CNHU HKM'!Q:Q,"Toxidermie",'Dermatoses Bulleuses CNHU HKM'!F:F,"&gt;=0",'Dermatoses Bulleuses CNHU HKM'!F:F,"&lt;=18")</f>
        <v>27</v>
      </c>
      <c r="C249" s="4">
        <f>COUNTIFS('Dermatoses Bulleuses CNHU HKM'!Q:Q,"Toxidermie",'Dermatoses Bulleuses CNHU HKM'!F:F,"&gt;18",'Dermatoses Bulleuses CNHU HKM'!F:F,"&lt;=60")</f>
        <v>40</v>
      </c>
      <c r="D249" s="4">
        <f>COUNTIFS('Dermatoses Bulleuses CNHU HKM'!Q:Q,"Toxidermie",'Dermatoses Bulleuses CNHU HKM'!F:F,"&gt;60")</f>
        <v>8</v>
      </c>
      <c r="E249" s="4">
        <f>SUM(B249:D249)</f>
        <v>75</v>
      </c>
    </row>
    <row r="250" spans="1:8" x14ac:dyDescent="0.25">
      <c r="A250" s="4" t="s">
        <v>40</v>
      </c>
      <c r="B250" s="4">
        <f>COUNTIFS('Dermatoses Bulleuses CNHU HKM'!Q:Q,"Auto-immune",'Dermatoses Bulleuses CNHU HKM'!F:F,"&gt;=0",'Dermatoses Bulleuses CNHU HKM'!F:F,"&lt;=18")</f>
        <v>2</v>
      </c>
      <c r="C250" s="4">
        <f>COUNTIFS('Dermatoses Bulleuses CNHU HKM'!Q:Q,"Auto-immune",'Dermatoses Bulleuses CNHU HKM'!F:F,"&gt;18",'Dermatoses Bulleuses CNHU HKM'!F:F,"&lt;=60")</f>
        <v>12</v>
      </c>
      <c r="D250" s="4">
        <f>COUNTIFS('Dermatoses Bulleuses CNHU HKM'!Q:Q,"Auto-immune",'Dermatoses Bulleuses CNHU HKM'!F:F,"&gt;60")</f>
        <v>17</v>
      </c>
      <c r="E250" s="4">
        <f>SUM(B250:D250)</f>
        <v>31</v>
      </c>
    </row>
    <row r="251" spans="1:8" x14ac:dyDescent="0.25">
      <c r="A251" s="4" t="s">
        <v>28</v>
      </c>
      <c r="B251" s="4">
        <f>COUNTIFS('Dermatoses Bulleuses CNHU HKM'!Q:Q,"Infectieuse",'Dermatoses Bulleuses CNHU HKM'!F:F,"&gt;=0",'Dermatoses Bulleuses CNHU HKM'!F:F,"&lt;=18")</f>
        <v>13</v>
      </c>
      <c r="C251" s="4">
        <f>COUNTIFS('Dermatoses Bulleuses CNHU HKM'!Q:Q,"Infectieuse",'Dermatoses Bulleuses CNHU HKM'!F:F,"&gt;18",'Dermatoses Bulleuses CNHU HKM'!F:F,"&lt;=60")</f>
        <v>5</v>
      </c>
      <c r="D251" s="4">
        <f>COUNTIFS('Dermatoses Bulleuses CNHU HKM'!Q:Q,"Infectieuse",'Dermatoses Bulleuses CNHU HKM'!F:F,"&gt;60")</f>
        <v>1</v>
      </c>
      <c r="E251" s="4">
        <f>SUM(B251:D251)</f>
        <v>19</v>
      </c>
    </row>
    <row r="252" spans="1:8" x14ac:dyDescent="0.25">
      <c r="A252" s="4" t="s">
        <v>144</v>
      </c>
      <c r="B252" s="4">
        <f>COUNTIFS('Dermatoses Bulleuses CNHU HKM'!Q:Q,"Immunoallergique",'Dermatoses Bulleuses CNHU HKM'!F:F,"&gt;=0",'Dermatoses Bulleuses CNHU HKM'!F:F,"&lt;=18")</f>
        <v>1</v>
      </c>
      <c r="C252" s="4">
        <f>COUNTIFS('Dermatoses Bulleuses CNHU HKM'!Q:Q,"Immunoallergique",'Dermatoses Bulleuses CNHU HKM'!F:F,"&gt;18",'Dermatoses Bulleuses CNHU HKM'!F:F,"&lt;=60")</f>
        <v>4</v>
      </c>
      <c r="D252" s="4">
        <f>COUNTIFS('Dermatoses Bulleuses CNHU HKM'!Q:Q,"Immunoallergique",'Dermatoses Bulleuses CNHU HKM'!F:F,"&gt;60")</f>
        <v>0</v>
      </c>
      <c r="E252" s="4">
        <f>SUM(B252:D252)</f>
        <v>5</v>
      </c>
    </row>
    <row r="253" spans="1:8" x14ac:dyDescent="0.25">
      <c r="A253" s="7" t="s">
        <v>237</v>
      </c>
      <c r="B253" s="4">
        <f>SUM(B249:B252)</f>
        <v>43</v>
      </c>
      <c r="C253" s="4">
        <f>SUM(C249:C252)</f>
        <v>61</v>
      </c>
      <c r="D253" s="4">
        <f>SUM(D249:D252)</f>
        <v>26</v>
      </c>
      <c r="E253" s="4">
        <f>SUM(E249:E252)</f>
        <v>130</v>
      </c>
    </row>
    <row r="256" spans="1:8" x14ac:dyDescent="0.25">
      <c r="A256" s="21"/>
      <c r="B256" s="21"/>
      <c r="C256" s="21"/>
      <c r="D256" s="21"/>
      <c r="E256" s="21"/>
      <c r="F256" s="21"/>
      <c r="G256" s="21"/>
      <c r="H256" s="21"/>
    </row>
  </sheetData>
  <mergeCells count="45">
    <mergeCell ref="A62:D62"/>
    <mergeCell ref="A1:H1"/>
    <mergeCell ref="A2:H2"/>
    <mergeCell ref="A4:H4"/>
    <mergeCell ref="A8:D8"/>
    <mergeCell ref="A15:D15"/>
    <mergeCell ref="A20:D20"/>
    <mergeCell ref="A25:D25"/>
    <mergeCell ref="A31:D31"/>
    <mergeCell ref="A38:D38"/>
    <mergeCell ref="A45:D45"/>
    <mergeCell ref="A52:D52"/>
    <mergeCell ref="A132:D132"/>
    <mergeCell ref="A69:D69"/>
    <mergeCell ref="A77:D77"/>
    <mergeCell ref="A85:H85"/>
    <mergeCell ref="A87:D87"/>
    <mergeCell ref="A95:H95"/>
    <mergeCell ref="A99:D99"/>
    <mergeCell ref="A104:D104"/>
    <mergeCell ref="A109:D109"/>
    <mergeCell ref="A115:D115"/>
    <mergeCell ref="A123:H123"/>
    <mergeCell ref="A127:D127"/>
    <mergeCell ref="A196:D196"/>
    <mergeCell ref="A137:D137"/>
    <mergeCell ref="A143:D143"/>
    <mergeCell ref="A151:H151"/>
    <mergeCell ref="A155:D155"/>
    <mergeCell ref="A160:D160"/>
    <mergeCell ref="A165:D165"/>
    <mergeCell ref="A171:D171"/>
    <mergeCell ref="A179:H179"/>
    <mergeCell ref="A181:H181"/>
    <mergeCell ref="A185:D185"/>
    <mergeCell ref="A191:D191"/>
    <mergeCell ref="A239:H239"/>
    <mergeCell ref="A247:E247"/>
    <mergeCell ref="A256:H256"/>
    <mergeCell ref="A202:D202"/>
    <mergeCell ref="A210:H210"/>
    <mergeCell ref="A214:D214"/>
    <mergeCell ref="A220:D220"/>
    <mergeCell ref="A225:D225"/>
    <mergeCell ref="A231:D231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012617-2BDE-43A3-AF59-9F780597D9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Dermatoses Bulleuses CNHU HKM</vt:lpstr>
      <vt:lpstr>Rapport_Complet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Raymond Olivier KEYA</dc:creator>
  <cp:lastModifiedBy>Raymond Olivier KEYA</cp:lastModifiedBy>
  <dcterms:created xsi:type="dcterms:W3CDTF">2026-04-17T13:16:15Z</dcterms:created>
  <dcterms:modified xsi:type="dcterms:W3CDTF">2026-04-17T17:27:12Z</dcterms:modified>
</cp:coreProperties>
</file>