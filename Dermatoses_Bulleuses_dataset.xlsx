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4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ymond.keya\source\repos\GFMP\"/>
    </mc:Choice>
  </mc:AlternateContent>
  <xr:revisionPtr revIDLastSave="0" documentId="13_ncr:1_{B3D9551F-704F-49D7-82A7-87724D9810F1}" xr6:coauthVersionLast="47" xr6:coauthVersionMax="47" xr10:uidLastSave="{00000000-0000-0000-0000-000000000000}"/>
  <bookViews>
    <workbookView xWindow="-120" yWindow="-120" windowWidth="25840" windowHeight="15533" firstSheet="1" activeTab="4" xr2:uid="{15E60B8E-A9EB-4C8E-B9A6-575A59F00C56}"/>
  </bookViews>
  <sheets>
    <sheet name="Dermatoses Bulleuses CNHU HKM" sheetId="2" r:id="rId1"/>
    <sheet name="Rapport_Complet" sheetId="3" r:id="rId2"/>
    <sheet name="Analyses_Statistiques" sheetId="5" r:id="rId3"/>
    <sheet name="Regression_Python" sheetId="7" r:id="rId4"/>
    <sheet name="Rapport_Etude" sheetId="8" r:id="rId5"/>
  </sheets>
  <definedNames>
    <definedName name="ExternalData_1" localSheetId="0" hidden="1">'Dermatoses Bulleuses CNHU HKM'!$A$1:$V$131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143" i="8" l="1"/>
  <c r="C143" i="8"/>
  <c r="D143" i="8"/>
  <c r="E143" i="8"/>
  <c r="F143" i="8"/>
  <c r="B144" i="8"/>
  <c r="C144" i="8"/>
  <c r="D144" i="8"/>
  <c r="E144" i="8"/>
  <c r="F144" i="8"/>
  <c r="B145" i="8"/>
  <c r="C145" i="8"/>
  <c r="D145" i="8"/>
  <c r="E145" i="8"/>
  <c r="F145" i="8"/>
  <c r="B101" i="8"/>
  <c r="C101" i="8"/>
  <c r="D101" i="8"/>
  <c r="E101" i="8"/>
  <c r="F101" i="8"/>
  <c r="G101" i="8"/>
  <c r="H101" i="8"/>
  <c r="I101" i="8"/>
  <c r="B100" i="8"/>
  <c r="C100" i="8"/>
  <c r="D100" i="8"/>
  <c r="E100" i="8"/>
  <c r="F100" i="8"/>
  <c r="G100" i="8"/>
  <c r="H100" i="8"/>
  <c r="I100" i="8"/>
  <c r="B99" i="8"/>
  <c r="C99" i="8"/>
  <c r="D99" i="8"/>
  <c r="E99" i="8"/>
  <c r="F99" i="8"/>
  <c r="G99" i="8"/>
  <c r="H99" i="8"/>
  <c r="I99" i="8"/>
  <c r="B98" i="8"/>
  <c r="C98" i="8"/>
  <c r="D98" i="8"/>
  <c r="E98" i="8"/>
  <c r="F98" i="8"/>
  <c r="G98" i="8"/>
  <c r="H98" i="8"/>
  <c r="I98" i="8"/>
  <c r="B97" i="8"/>
  <c r="C97" i="8"/>
  <c r="D97" i="8"/>
  <c r="E97" i="8"/>
  <c r="F97" i="8"/>
  <c r="G97" i="8"/>
  <c r="H97" i="8"/>
  <c r="I97" i="8"/>
  <c r="B96" i="8"/>
  <c r="C96" i="8"/>
  <c r="D96" i="8"/>
  <c r="E96" i="8"/>
  <c r="F96" i="8"/>
  <c r="G96" i="8"/>
  <c r="H96" i="8"/>
  <c r="I96" i="8"/>
  <c r="B89" i="8"/>
  <c r="C89" i="8"/>
  <c r="B90" i="8"/>
  <c r="C90" i="8"/>
  <c r="B73" i="8"/>
  <c r="C73" i="8"/>
  <c r="B74" i="8"/>
  <c r="C74" i="8"/>
  <c r="B75" i="8"/>
  <c r="C75" i="8"/>
  <c r="B76" i="8"/>
  <c r="C76" i="8"/>
  <c r="B77" i="8"/>
  <c r="C77" i="8"/>
  <c r="B64" i="8"/>
  <c r="C64" i="8"/>
  <c r="B65" i="8"/>
  <c r="C65" i="8"/>
  <c r="B66" i="8"/>
  <c r="C66" i="8"/>
  <c r="B67" i="8"/>
  <c r="C67" i="8"/>
  <c r="B56" i="8"/>
  <c r="C56" i="8"/>
  <c r="B57" i="8"/>
  <c r="C57" i="8"/>
  <c r="B58" i="8"/>
  <c r="C58" i="8"/>
  <c r="B49" i="8"/>
  <c r="C49" i="8"/>
  <c r="B50" i="8"/>
  <c r="C50" i="8"/>
  <c r="B40" i="8"/>
  <c r="C40" i="8"/>
  <c r="B39" i="8"/>
  <c r="C39" i="8"/>
  <c r="B38" i="8"/>
  <c r="C38" i="8"/>
  <c r="B37" i="8"/>
  <c r="C37" i="8"/>
  <c r="B36" i="8"/>
  <c r="C36" i="8"/>
  <c r="B35" i="8"/>
  <c r="B34" i="8"/>
  <c r="B33" i="8"/>
  <c r="D260" i="5"/>
  <c r="C260" i="5"/>
  <c r="D259" i="5"/>
  <c r="C259" i="5"/>
  <c r="D258" i="5"/>
  <c r="C258" i="5"/>
  <c r="D257" i="5"/>
  <c r="C257" i="5"/>
  <c r="B260" i="5"/>
  <c r="B259" i="5"/>
  <c r="B258" i="5"/>
  <c r="B257" i="5"/>
  <c r="E205" i="5"/>
  <c r="D205" i="5"/>
  <c r="C205" i="5"/>
  <c r="B205" i="5"/>
  <c r="E204" i="5"/>
  <c r="D204" i="5"/>
  <c r="C204" i="5"/>
  <c r="B204" i="5"/>
  <c r="E203" i="5"/>
  <c r="D203" i="5"/>
  <c r="C203" i="5"/>
  <c r="B203" i="5"/>
  <c r="E202" i="5"/>
  <c r="D202" i="5"/>
  <c r="C202" i="5"/>
  <c r="B202" i="5"/>
  <c r="E201" i="5"/>
  <c r="D201" i="5"/>
  <c r="C201" i="5"/>
  <c r="B201" i="5"/>
  <c r="D173" i="5"/>
  <c r="C173" i="5"/>
  <c r="B173" i="5"/>
  <c r="D172" i="5"/>
  <c r="C172" i="5"/>
  <c r="B172" i="5"/>
  <c r="D171" i="5"/>
  <c r="C171" i="5"/>
  <c r="B171" i="5"/>
  <c r="E278" i="5"/>
  <c r="C278" i="5"/>
  <c r="E277" i="5"/>
  <c r="C277" i="5"/>
  <c r="E276" i="5"/>
  <c r="C276" i="5"/>
  <c r="E275" i="5"/>
  <c r="C275" i="5"/>
  <c r="B249" i="5"/>
  <c r="B248" i="5"/>
  <c r="B247" i="5"/>
  <c r="B246" i="5"/>
  <c r="B245" i="5"/>
  <c r="F239" i="5"/>
  <c r="E239" i="5"/>
  <c r="D239" i="5"/>
  <c r="C239" i="5"/>
  <c r="B239" i="5"/>
  <c r="F238" i="5"/>
  <c r="E238" i="5"/>
  <c r="D238" i="5"/>
  <c r="C238" i="5"/>
  <c r="B238" i="5"/>
  <c r="F237" i="5"/>
  <c r="E237" i="5"/>
  <c r="D237" i="5"/>
  <c r="C237" i="5"/>
  <c r="B237" i="5"/>
  <c r="C236" i="5"/>
  <c r="B236" i="5"/>
  <c r="D225" i="5"/>
  <c r="C225" i="5"/>
  <c r="B225" i="5"/>
  <c r="D224" i="5"/>
  <c r="C224" i="5"/>
  <c r="B224" i="5"/>
  <c r="D223" i="5"/>
  <c r="C223" i="5"/>
  <c r="B223" i="5"/>
  <c r="D222" i="5"/>
  <c r="C222" i="5" a="1"/>
  <c r="C222" i="5" s="1"/>
  <c r="B222" i="5" a="1"/>
  <c r="B222" i="5" s="1"/>
  <c r="D221" i="5"/>
  <c r="C221" i="5"/>
  <c r="B221" i="5"/>
  <c r="F215" i="5"/>
  <c r="E215" i="5"/>
  <c r="D215" i="5"/>
  <c r="C215" i="5"/>
  <c r="B215" i="5"/>
  <c r="F214" i="5"/>
  <c r="E214" i="5"/>
  <c r="D214" i="5"/>
  <c r="C214" i="5"/>
  <c r="B214" i="5"/>
  <c r="F213" i="5"/>
  <c r="E213" i="5"/>
  <c r="D213" i="5"/>
  <c r="C213" i="5"/>
  <c r="B213" i="5"/>
  <c r="F212" i="5"/>
  <c r="E212" i="5"/>
  <c r="D212" i="5"/>
  <c r="C212" i="5"/>
  <c r="B212" i="5"/>
  <c r="F211" i="5"/>
  <c r="E211" i="5"/>
  <c r="D211" i="5"/>
  <c r="C211" i="5"/>
  <c r="B211" i="5"/>
  <c r="D191" i="5"/>
  <c r="C191" i="5"/>
  <c r="B191" i="5"/>
  <c r="D190" i="5"/>
  <c r="C190" i="5"/>
  <c r="B190" i="5"/>
  <c r="D189" i="5"/>
  <c r="C189" i="5"/>
  <c r="B189" i="5"/>
  <c r="D188" i="5"/>
  <c r="C188" i="5"/>
  <c r="B188" i="5"/>
  <c r="D183" i="5"/>
  <c r="C183" i="5"/>
  <c r="B183" i="5"/>
  <c r="D182" i="5"/>
  <c r="C182" i="5"/>
  <c r="B182" i="5"/>
  <c r="D181" i="5"/>
  <c r="C181" i="5"/>
  <c r="B181" i="5"/>
  <c r="D180" i="5"/>
  <c r="C180" i="5"/>
  <c r="B180" i="5"/>
  <c r="B174" i="5"/>
  <c r="B175" i="5" s="1"/>
  <c r="D170" i="5"/>
  <c r="C170" i="5"/>
  <c r="B170" i="5"/>
  <c r="B165" i="5"/>
  <c r="B164" i="5"/>
  <c r="D162" i="5"/>
  <c r="C162" i="5"/>
  <c r="B162" i="5"/>
  <c r="D161" i="5"/>
  <c r="C161" i="5"/>
  <c r="B161" i="5"/>
  <c r="D160" i="5"/>
  <c r="C160" i="5"/>
  <c r="B160" i="5"/>
  <c r="B153" i="5"/>
  <c r="C152" i="5"/>
  <c r="B152" i="5"/>
  <c r="C151" i="5"/>
  <c r="B151" i="5"/>
  <c r="C54" i="3"/>
  <c r="E253" i="3"/>
  <c r="D253" i="3"/>
  <c r="C253" i="3"/>
  <c r="B253" i="3"/>
  <c r="E252" i="3"/>
  <c r="D252" i="3"/>
  <c r="C252" i="3"/>
  <c r="B252" i="3"/>
  <c r="E251" i="3"/>
  <c r="D251" i="3"/>
  <c r="C251" i="3"/>
  <c r="B251" i="3"/>
  <c r="E250" i="3"/>
  <c r="D250" i="3"/>
  <c r="C250" i="3"/>
  <c r="B250" i="3"/>
  <c r="E249" i="3"/>
  <c r="D249" i="3"/>
  <c r="C249" i="3"/>
  <c r="B249" i="3"/>
  <c r="D244" i="3"/>
  <c r="C244" i="3"/>
  <c r="B244" i="3"/>
  <c r="D243" i="3"/>
  <c r="C243" i="3"/>
  <c r="B243" i="3"/>
  <c r="D242" i="3"/>
  <c r="C242" i="3"/>
  <c r="B242" i="3"/>
  <c r="C236" i="3"/>
  <c r="B236" i="3"/>
  <c r="C235" i="3"/>
  <c r="B235" i="3"/>
  <c r="C234" i="3"/>
  <c r="B234" i="3"/>
  <c r="C233" i="3"/>
  <c r="B233" i="3"/>
  <c r="C229" i="3"/>
  <c r="B229" i="3"/>
  <c r="C228" i="3"/>
  <c r="B228" i="3"/>
  <c r="C227" i="3"/>
  <c r="B227" i="3"/>
  <c r="C223" i="3"/>
  <c r="B223" i="3"/>
  <c r="C222" i="3"/>
  <c r="B222" i="3"/>
  <c r="C218" i="3"/>
  <c r="B218" i="3"/>
  <c r="C217" i="3"/>
  <c r="B217" i="3"/>
  <c r="C216" i="3"/>
  <c r="B216" i="3"/>
  <c r="B212" i="3"/>
  <c r="C207" i="3"/>
  <c r="B207" i="3"/>
  <c r="C206" i="3"/>
  <c r="B206" i="3"/>
  <c r="C205" i="3"/>
  <c r="B205" i="3"/>
  <c r="C204" i="3"/>
  <c r="B204" i="3"/>
  <c r="C200" i="3"/>
  <c r="B200" i="3"/>
  <c r="C199" i="3"/>
  <c r="B199" i="3"/>
  <c r="C198" i="3"/>
  <c r="B198" i="3"/>
  <c r="C194" i="3"/>
  <c r="B194" i="3"/>
  <c r="C193" i="3"/>
  <c r="B193" i="3"/>
  <c r="C189" i="3"/>
  <c r="B189" i="3"/>
  <c r="C188" i="3"/>
  <c r="B188" i="3"/>
  <c r="C187" i="3"/>
  <c r="B187" i="3"/>
  <c r="B183" i="3"/>
  <c r="C176" i="3"/>
  <c r="B176" i="3"/>
  <c r="C175" i="3"/>
  <c r="B175" i="3"/>
  <c r="C174" i="3"/>
  <c r="B174" i="3"/>
  <c r="C173" i="3"/>
  <c r="B173" i="3"/>
  <c r="C169" i="3"/>
  <c r="B169" i="3"/>
  <c r="C168" i="3"/>
  <c r="B168" i="3"/>
  <c r="C167" i="3"/>
  <c r="B167" i="3"/>
  <c r="C163" i="3"/>
  <c r="B163" i="3"/>
  <c r="C162" i="3"/>
  <c r="B162" i="3"/>
  <c r="C158" i="3"/>
  <c r="B158" i="3"/>
  <c r="C157" i="3"/>
  <c r="B157" i="3"/>
  <c r="B153" i="3"/>
  <c r="C148" i="3"/>
  <c r="B148" i="3"/>
  <c r="C147" i="3"/>
  <c r="B147" i="3"/>
  <c r="C146" i="3"/>
  <c r="B146" i="3"/>
  <c r="C145" i="3"/>
  <c r="B145" i="3"/>
  <c r="C141" i="3"/>
  <c r="B141" i="3"/>
  <c r="C140" i="3"/>
  <c r="B140" i="3"/>
  <c r="C139" i="3"/>
  <c r="B139" i="3"/>
  <c r="C135" i="3"/>
  <c r="B135" i="3"/>
  <c r="C134" i="3"/>
  <c r="B134" i="3"/>
  <c r="C130" i="3"/>
  <c r="B130" i="3"/>
  <c r="C129" i="3"/>
  <c r="B129" i="3"/>
  <c r="B125" i="3"/>
  <c r="C120" i="3"/>
  <c r="B120" i="3"/>
  <c r="C119" i="3"/>
  <c r="B119" i="3"/>
  <c r="C118" i="3"/>
  <c r="B118" i="3"/>
  <c r="C117" i="3"/>
  <c r="B117" i="3"/>
  <c r="C113" i="3"/>
  <c r="B113" i="3"/>
  <c r="C112" i="3"/>
  <c r="B112" i="3"/>
  <c r="C111" i="3"/>
  <c r="B111" i="3"/>
  <c r="C107" i="3"/>
  <c r="B107" i="3"/>
  <c r="C106" i="3"/>
  <c r="B106" i="3"/>
  <c r="C102" i="3"/>
  <c r="B102" i="3"/>
  <c r="C101" i="3"/>
  <c r="B101" i="3"/>
  <c r="B97" i="3"/>
  <c r="C92" i="3"/>
  <c r="B92" i="3"/>
  <c r="C91" i="3"/>
  <c r="B91" i="3"/>
  <c r="C90" i="3"/>
  <c r="B90" i="3"/>
  <c r="C89" i="3"/>
  <c r="B89" i="3"/>
  <c r="B82" i="3"/>
  <c r="B81" i="3"/>
  <c r="B80" i="3"/>
  <c r="B79" i="3"/>
  <c r="C75" i="3"/>
  <c r="B75" i="3"/>
  <c r="C74" i="3"/>
  <c r="B74" i="3"/>
  <c r="C73" i="3"/>
  <c r="B73" i="3"/>
  <c r="C72" i="3"/>
  <c r="B72" i="3"/>
  <c r="C71" i="3"/>
  <c r="B71" i="3"/>
  <c r="C67" i="3"/>
  <c r="B67" i="3"/>
  <c r="C66" i="3"/>
  <c r="B66" i="3"/>
  <c r="C65" i="3"/>
  <c r="B65" i="3"/>
  <c r="C64" i="3"/>
  <c r="B64" i="3"/>
  <c r="C60" i="3"/>
  <c r="B60" i="3"/>
  <c r="C59" i="3"/>
  <c r="B59" i="3"/>
  <c r="C58" i="3"/>
  <c r="B58" i="3"/>
  <c r="C57" i="3"/>
  <c r="B57" i="3"/>
  <c r="C56" i="3"/>
  <c r="B56" i="3"/>
  <c r="C55" i="3"/>
  <c r="B55" i="3"/>
  <c r="B54" i="3"/>
  <c r="C50" i="3"/>
  <c r="B50" i="3"/>
  <c r="C49" i="3"/>
  <c r="B49" i="3"/>
  <c r="C48" i="3"/>
  <c r="B48" i="3"/>
  <c r="C47" i="3"/>
  <c r="B47" i="3"/>
  <c r="C43" i="3"/>
  <c r="B43" i="3" a="1"/>
  <c r="B43" i="3" s="1"/>
  <c r="C42" i="3"/>
  <c r="B42" i="3" a="1"/>
  <c r="B42" i="3" s="1"/>
  <c r="C41" i="3"/>
  <c r="B41" i="3" a="1"/>
  <c r="B41" i="3" s="1"/>
  <c r="C40" i="3"/>
  <c r="B40" i="3" a="1"/>
  <c r="B40" i="3" s="1"/>
  <c r="B36" i="3"/>
  <c r="B35" i="3"/>
  <c r="B34" i="3"/>
  <c r="B33" i="3"/>
  <c r="C29" i="3"/>
  <c r="B29" i="3"/>
  <c r="C28" i="3"/>
  <c r="B28" i="3"/>
  <c r="C27" i="3"/>
  <c r="B27" i="3"/>
  <c r="C23" i="3"/>
  <c r="B23" i="3"/>
  <c r="C22" i="3"/>
  <c r="B22" i="3"/>
  <c r="C18" i="3"/>
  <c r="B18" i="3"/>
  <c r="C17" i="3"/>
  <c r="B17" i="3"/>
  <c r="B13" i="3"/>
  <c r="B12" i="3"/>
  <c r="B11" i="3"/>
  <c r="B10" i="3"/>
  <c r="B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4D07A3-4D3E-47A8-8D92-AD840650DB19}" keepAlive="1" name="Query - Dermatoses Bulleuses CNHU HKM" description="Connection to the 'Dermatoses Bulleuses CNHU HKM' query in the workbook." type="5" refreshedVersion="8" background="1" saveData="1">
    <dbPr connection="Provider=Microsoft.Mashup.OleDb.1;Data Source=$Workbook$;Location=&quot;Dermatoses Bulleuses CNHU HKM&quot;;Extended Properties=&quot;&quot;" command="SELECT * FROM [Dermatoses Bulleuses CNHU HKM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<sst xmlns="http://schemas.openxmlformats.org/spreadsheetml/2006/main" count="1851" uniqueCount="590">
  <si>
    <t>_id</t>
  </si>
  <si>
    <t>start</t>
  </si>
  <si>
    <t>end</t>
  </si>
  <si>
    <t>today</t>
  </si>
  <si>
    <t>Âge (en mois)</t>
  </si>
  <si>
    <t>age_years_calc</t>
  </si>
  <si>
    <t>Sexe</t>
  </si>
  <si>
    <t>Profession</t>
  </si>
  <si>
    <t>Date de consultation</t>
  </si>
  <si>
    <t>Délai de consultation (en jours)</t>
  </si>
  <si>
    <t>Notion de prise médicamenteuse</t>
  </si>
  <si>
    <t>Préciser le ou les médicament(s)</t>
  </si>
  <si>
    <t>Type d'atteinte</t>
  </si>
  <si>
    <t>Surface corporelle atteinte</t>
  </si>
  <si>
    <t>Signes associés</t>
  </si>
  <si>
    <t>Préciser l'autre signe</t>
  </si>
  <si>
    <t>Catégorie de la dermatose</t>
  </si>
  <si>
    <t>Dermatose Auto-immune</t>
  </si>
  <si>
    <t>Dermatose Infectieuse</t>
  </si>
  <si>
    <t>Toxidermie</t>
  </si>
  <si>
    <t>Dermatose Immunoallergique</t>
  </si>
  <si>
    <t>Préciser l'autre diagnostic</t>
  </si>
  <si>
    <t>Homme</t>
  </si>
  <si>
    <t>Aucune</t>
  </si>
  <si>
    <t>Non</t>
  </si>
  <si>
    <t>Cutanée seule</t>
  </si>
  <si>
    <t>Autre</t>
  </si>
  <si>
    <t>Aucun</t>
  </si>
  <si>
    <t>Infectieuse</t>
  </si>
  <si>
    <t>Épidermolyse staphylococcique</t>
  </si>
  <si>
    <t>Femme</t>
  </si>
  <si>
    <t>Ménagère</t>
  </si>
  <si>
    <t>Oui</t>
  </si>
  <si>
    <t>Amoxicilline</t>
  </si>
  <si>
    <t>Prurit</t>
  </si>
  <si>
    <t>EPF Bulleux</t>
  </si>
  <si>
    <t>Sociologue</t>
  </si>
  <si>
    <t>Doxycycline CP,, nitrofurantoin cp</t>
  </si>
  <si>
    <t>Cutanée et muqueuse</t>
  </si>
  <si>
    <t>Commerçant</t>
  </si>
  <si>
    <t>Auto-immune</t>
  </si>
  <si>
    <t>Dermatose à IgA linéaire</t>
  </si>
  <si>
    <t>Enseignante</t>
  </si>
  <si>
    <t>Aerius cp,flagyl cp,lincocyne cp</t>
  </si>
  <si>
    <t>Pemphigoïde bulleuse</t>
  </si>
  <si>
    <t>Vendeuse</t>
  </si>
  <si>
    <t>Cotrimoxazole, ibuprofene, quinine, paracetamol, metronidazole</t>
  </si>
  <si>
    <t>Autre à préciser...</t>
  </si>
  <si>
    <t>Érythème pigmenté fixe</t>
  </si>
  <si>
    <t>Cultivateur</t>
  </si>
  <si>
    <t>Griseofilvine cp, polaramine cp, cetimizine cp, deslora denk, atarax 25mg</t>
  </si>
  <si>
    <t>Prurit Fièvre</t>
  </si>
  <si>
    <t>Erytrodermie</t>
  </si>
  <si>
    <t>Coiffeuse</t>
  </si>
  <si>
    <t>Vitafer sirop, forcan 150mg, lorhist cp</t>
  </si>
  <si>
    <t>Epidermolyse bulleuse acquise</t>
  </si>
  <si>
    <t>Agent commercial</t>
  </si>
  <si>
    <t>Duccay keylaneHD</t>
  </si>
  <si>
    <t>Muqueuse seule</t>
  </si>
  <si>
    <t>Douleur Fièvre</t>
  </si>
  <si>
    <t>Fièvre Autre</t>
  </si>
  <si>
    <t>Plaies buccales</t>
  </si>
  <si>
    <t>Secrétaire</t>
  </si>
  <si>
    <t>Sérum anti tétanique, asmocet L cp</t>
  </si>
  <si>
    <t>Syndrome de Lyell</t>
  </si>
  <si>
    <t>Technicien</t>
  </si>
  <si>
    <t>Forcan 150mg</t>
  </si>
  <si>
    <t>Pneumatique</t>
  </si>
  <si>
    <t>Ceftriaxone inj, gentamicine inj, celestene, Diclofénac, Polaramine</t>
  </si>
  <si>
    <t>Douleur Prurit</t>
  </si>
  <si>
    <t>Syndrome de chevauchement</t>
  </si>
  <si>
    <t>Informaticienne</t>
  </si>
  <si>
    <t>Sédaspir cp, ibuprofen cp</t>
  </si>
  <si>
    <t>Fièvre</t>
  </si>
  <si>
    <t>Syndrome de Stevens Johnson</t>
  </si>
  <si>
    <t>Fleuriste</t>
  </si>
  <si>
    <t>Griseofulvine, cloxacilline, flagyl cp,</t>
  </si>
  <si>
    <t>Commerçante</t>
  </si>
  <si>
    <t>Cloxacilline</t>
  </si>
  <si>
    <t>Écolière</t>
  </si>
  <si>
    <t>Amoxicilline cp, quinine cp, paracéamol 500mg, bactrim cp, fluconazole suspension, doprex collyre</t>
  </si>
  <si>
    <t>Élève</t>
  </si>
  <si>
    <t>Ciprofloxacin comprimés</t>
  </si>
  <si>
    <t>Érythème polymorphe mineur</t>
  </si>
  <si>
    <t>Étudiant</t>
  </si>
  <si>
    <t>Épidermolyse bulleuse acquise</t>
  </si>
  <si>
    <t>Écolier</t>
  </si>
  <si>
    <t>Phytothérapie</t>
  </si>
  <si>
    <t>Douleur</t>
  </si>
  <si>
    <t>Frissons</t>
  </si>
  <si>
    <t>Revendeuse</t>
  </si>
  <si>
    <t>Pemphigus paranéoplasique</t>
  </si>
  <si>
    <t>Cotrimoxazole</t>
  </si>
  <si>
    <t>Douleur Autre</t>
  </si>
  <si>
    <t>Sensation de brulure</t>
  </si>
  <si>
    <t>Amoxicilline, paracétamol cp</t>
  </si>
  <si>
    <t>Coartem, aspirine</t>
  </si>
  <si>
    <t>Étudiante</t>
  </si>
  <si>
    <t>Dermatite herpétiforme</t>
  </si>
  <si>
    <t>Technicienne de laboratoire</t>
  </si>
  <si>
    <t>Diclofenac comprimés</t>
  </si>
  <si>
    <t>Impétigo bulleux</t>
  </si>
  <si>
    <t>Phenobarbital, previscan, myorel, cortancyl</t>
  </si>
  <si>
    <t>Retraité</t>
  </si>
  <si>
    <t>Xeloda, caprcitabine</t>
  </si>
  <si>
    <t>Sulfadoxine-pyriméthamine</t>
  </si>
  <si>
    <t>Sulfadoxine-pyriméthamine, amoxicilline, paracétamol</t>
  </si>
  <si>
    <t>Agent de PTT</t>
  </si>
  <si>
    <t>Erythromicine, flucoxacilline cp, cloxacilline cp</t>
  </si>
  <si>
    <t>Bactrim cp, paracétamol cp, vermifuge</t>
  </si>
  <si>
    <t>Douleur Prurit Fièvre</t>
  </si>
  <si>
    <t>Médecin chirurgien</t>
  </si>
  <si>
    <t>Neuroleptil</t>
  </si>
  <si>
    <t>Fucomax cp, Advil sirop, ceftriaxone inj, gentamicine injectable, aspegic injectable</t>
  </si>
  <si>
    <t>Professeur à la retraite</t>
  </si>
  <si>
    <t>Nifelat retard</t>
  </si>
  <si>
    <t>Apprentie coiffeuse</t>
  </si>
  <si>
    <t>Ibuprofene cp, sulfamides cp</t>
  </si>
  <si>
    <t>Administrateur en gestion de projet</t>
  </si>
  <si>
    <t>Métamizole cp, spiramycine cp, metronidazole cp</t>
  </si>
  <si>
    <t>Prurit Autre</t>
  </si>
  <si>
    <t>Picotements et chaleur</t>
  </si>
  <si>
    <t>Moringa</t>
  </si>
  <si>
    <t>Rougeur conjonctivale, érosion buccale</t>
  </si>
  <si>
    <t>Nifluril cp, bactrim cp,</t>
  </si>
  <si>
    <t>Militaire</t>
  </si>
  <si>
    <t>Metronidazole cp, powergésic, deslora denk, cotipred, atarax 25mg</t>
  </si>
  <si>
    <t>Érythème polymorphe majeur</t>
  </si>
  <si>
    <t>Paracétamol</t>
  </si>
  <si>
    <t>Lamotrigine</t>
  </si>
  <si>
    <t>Enseignant</t>
  </si>
  <si>
    <t>Zona</t>
  </si>
  <si>
    <t>Lupus bulleux</t>
  </si>
  <si>
    <t>Comptable</t>
  </si>
  <si>
    <t>Non précisé</t>
  </si>
  <si>
    <t>Arthemeter lumefantrine, paracétamol</t>
  </si>
  <si>
    <t>Pemphigus vulgaire</t>
  </si>
  <si>
    <t>Guérisseur traditionnel</t>
  </si>
  <si>
    <t>Paracétamol, ibuprofène</t>
  </si>
  <si>
    <t>Metamizole sodique</t>
  </si>
  <si>
    <t>Bronquidiazina</t>
  </si>
  <si>
    <t>Couturière</t>
  </si>
  <si>
    <t>Epidermolyse bulleuse héréditaire</t>
  </si>
  <si>
    <t>Infirmière</t>
  </si>
  <si>
    <t>Immunoallergique</t>
  </si>
  <si>
    <t>Lichen bulleux</t>
  </si>
  <si>
    <t>Juriste</t>
  </si>
  <si>
    <t>DHBANN</t>
  </si>
  <si>
    <t>Paracétamol, phytothérapie</t>
  </si>
  <si>
    <t>Chauffeur</t>
  </si>
  <si>
    <t>Directeur de microfinances</t>
  </si>
  <si>
    <t>Arthemeter lumefantrine</t>
  </si>
  <si>
    <t>Réalisateur de films</t>
  </si>
  <si>
    <t>Mécanicien</t>
  </si>
  <si>
    <t>Trimethoprine + sulfamethoxazole</t>
  </si>
  <si>
    <t>Technicien multimédia</t>
  </si>
  <si>
    <t>Décoratrice</t>
  </si>
  <si>
    <t>AsuDenk (Artesunate + Sulfamethoxypyrazine)</t>
  </si>
  <si>
    <t>Institutrice</t>
  </si>
  <si>
    <t>Tegretol LP 400mg</t>
  </si>
  <si>
    <t>Rivotril cp(clonazépam)</t>
  </si>
  <si>
    <t>Ibuprofène</t>
  </si>
  <si>
    <t>Exanthème véiculo bulleux</t>
  </si>
  <si>
    <t>Dexamethazone</t>
  </si>
  <si>
    <t>Ibuprofene cp, antibiotique x, antalgiques y</t>
  </si>
  <si>
    <t>Arthemeter lumefantrine, phytothérapie</t>
  </si>
  <si>
    <t>Assistante de direction</t>
  </si>
  <si>
    <t>Arthéméther luméfantrine, cac1000</t>
  </si>
  <si>
    <t>Triexyphénidyle chlorhydrate cp, halopenidol cp, phénobarbital cp, carbamazépine cp</t>
  </si>
  <si>
    <t>Inconnu</t>
  </si>
  <si>
    <t>Astaph cp</t>
  </si>
  <si>
    <t>Ingénieur</t>
  </si>
  <si>
    <t>Vitrier</t>
  </si>
  <si>
    <t>Sulfate de pyrymethadoxine</t>
  </si>
  <si>
    <t>Amoxicilline cp</t>
  </si>
  <si>
    <t>Eczéma bulleux</t>
  </si>
  <si>
    <t>RAPPORT DERMATOSES BULLEUSES CNHU HKM</t>
  </si>
  <si>
    <t>SECTION 1: POPULATION TOTALE</t>
  </si>
  <si>
    <t>Nombre total de répondants:</t>
  </si>
  <si>
    <t>STATISTIQUES D'ÂGE (en années)</t>
  </si>
  <si>
    <t>Statistique</t>
  </si>
  <si>
    <t>Valeur</t>
  </si>
  <si>
    <t>Moyenne</t>
  </si>
  <si>
    <t>Médiane</t>
  </si>
  <si>
    <t>Mode</t>
  </si>
  <si>
    <t>Écart-type</t>
  </si>
  <si>
    <t>SEXE</t>
  </si>
  <si>
    <t>Fréquence</t>
  </si>
  <si>
    <t>Pourcentage</t>
  </si>
  <si>
    <t>NOTION DE PRISE MÉDICAMENTEUSE</t>
  </si>
  <si>
    <t>TYPE D'ATTEINTE</t>
  </si>
  <si>
    <t>SURFACE CORPORELLE ATTEINTE</t>
  </si>
  <si>
    <t>SIGNES ASSOCIÉS</t>
  </si>
  <si>
    <t>CATÉGORIE DE LA DERMATOSE</t>
  </si>
  <si>
    <t>DERMATOSE AUTO-IMMUNE</t>
  </si>
  <si>
    <t>DERMATOSE INFECTIEUSE</t>
  </si>
  <si>
    <t>TOXIDERMIE</t>
  </si>
  <si>
    <t>DÉLAI DE CONSULTATION (en jours)</t>
  </si>
  <si>
    <t>SECTION 2: ANALYSE PAR TRANCHE D'ÂGE</t>
  </si>
  <si>
    <t>RÉPARTITION PAR TRANCHE D'ÂGE</t>
  </si>
  <si>
    <t>Tranche d'âge</t>
  </si>
  <si>
    <t>0-18 ans</t>
  </si>
  <si>
    <t>19-60 ans</t>
  </si>
  <si>
    <t>&gt;60 ans</t>
  </si>
  <si>
    <t>TOTAL</t>
  </si>
  <si>
    <t>2.1 TRANCHE D'ÂGE: 0-18 ANS</t>
  </si>
  <si>
    <t>Effectif (0-18 ans):</t>
  </si>
  <si>
    <t>SEXE (0-18 ans)</t>
  </si>
  <si>
    <t>NOTION DE PRISE MÉDICAMENTEUSE (0-18 ans)</t>
  </si>
  <si>
    <t>TYPE D'ATTEINTE (0-18 ans)</t>
  </si>
  <si>
    <t>CATÉGORIE DE LA DERMATOSE (0-18 ans)</t>
  </si>
  <si>
    <t>2.2 TRANCHE D'ÂGE: 19-60 ANS</t>
  </si>
  <si>
    <t>Effectif (19-60 ans):</t>
  </si>
  <si>
    <t>SEXE (19-60 ans)</t>
  </si>
  <si>
    <t>NOTION DE PRISE MÉDICAMENTEUSE (19-60 ans)</t>
  </si>
  <si>
    <t>TYPE D'ATTEINTE (19-60 ans)</t>
  </si>
  <si>
    <t>CATÉGORIE DE LA DERMATOSE (19-60 ans)</t>
  </si>
  <si>
    <t>2.3 TRANCHE D'ÂGE: PLUS DE 60 ANS</t>
  </si>
  <si>
    <t>Effectif (&gt;60 ans):</t>
  </si>
  <si>
    <t>SEXE (&gt;60 ans)</t>
  </si>
  <si>
    <t>NOTION DE PRISE MÉDICAMENTEUSE (&gt;60 ans)</t>
  </si>
  <si>
    <t>TYPE D'ATTEINTE (&gt;60 ans)</t>
  </si>
  <si>
    <t>CATÉGORIE DE LA DERMATOSE (&gt;60 ans)</t>
  </si>
  <si>
    <t>SECTION 3: ANALYSE PAR SEXE</t>
  </si>
  <si>
    <t>3.1 SEXE: FEMME</t>
  </si>
  <si>
    <t>Effectif (Femmes):</t>
  </si>
  <si>
    <t>RÉPARTITION PAR ÂGE (Femmes)</t>
  </si>
  <si>
    <t>NOTION DE PRISE MÉDICAMENTEUSE (Femmes)</t>
  </si>
  <si>
    <t>TYPE D'ATTEINTE (Femmes)</t>
  </si>
  <si>
    <t>CATÉGORIE DE LA DERMATOSE (Femmes)</t>
  </si>
  <si>
    <t>3.2 SEXE: HOMME</t>
  </si>
  <si>
    <t>Effectif (Hommes):</t>
  </si>
  <si>
    <t>RÉPARTITION PAR ÂGE (Hommes)</t>
  </si>
  <si>
    <t>NOTION DE PRISE MÉDICAMENTEUSE (Hommes)</t>
  </si>
  <si>
    <t>TYPE D'ATTEINTE (Hommes)</t>
  </si>
  <si>
    <t>CATÉGORIE DE LA DERMATOSE (Hommes)</t>
  </si>
  <si>
    <t>SECTION 4: TABLEAU CROISÉ SEXE x TRANCHE D'ÂGE</t>
  </si>
  <si>
    <t>Total</t>
  </si>
  <si>
    <t>TABLEAU CROISÉ CATÉGORIE DE DERMATOSE x TRANCHE D'ÂGE</t>
  </si>
  <si>
    <t>Catégorie</t>
  </si>
  <si>
    <t>ANALYSES STATISTIQUES ET RÉGRESSION LOGISTIQUE - DERMATOSES BULLEUSES</t>
  </si>
  <si>
    <t>SECTION 1: DONNÉES CODÉES POUR RÉGRESSION LOGISTIQUE</t>
  </si>
  <si>
    <t>ID</t>
  </si>
  <si>
    <t>Age_Years</t>
  </si>
  <si>
    <t>Sexe_Code</t>
  </si>
  <si>
    <t>Prise_Med_Code</t>
  </si>
  <si>
    <t>Type_Atteinte_Code</t>
  </si>
  <si>
    <t>Surface_Corp</t>
  </si>
  <si>
    <t>Categorie_Code</t>
  </si>
  <si>
    <t>Toxidermie_Severe</t>
  </si>
  <si>
    <t>Age_Group_Code</t>
  </si>
  <si>
    <t>LÉGENDE DES CODAGES</t>
  </si>
  <si>
    <t>Variable</t>
  </si>
  <si>
    <t>Code</t>
  </si>
  <si>
    <t>Signification</t>
  </si>
  <si>
    <t>Toxidermie_Severe (Y)</t>
  </si>
  <si>
    <t>0 / 1</t>
  </si>
  <si>
    <t>Femme / Homme</t>
  </si>
  <si>
    <t>Non / Oui</t>
  </si>
  <si>
    <t>0 / 1 / 2</t>
  </si>
  <si>
    <t>Cutanée seule / Cutanée+muqueuse / Muqueuse seule</t>
  </si>
  <si>
    <t>1 / 2 / 3 / 4</t>
  </si>
  <si>
    <t>Toxidermie / Auto-immune / Infectieuse / Immunoallergique</t>
  </si>
  <si>
    <t>Non sévère / Sévère (Stevens Johnson ou Lyell)</t>
  </si>
  <si>
    <t>0-18 ans / 19-60 ans / &gt;60 ans</t>
  </si>
  <si>
    <t>SECTION 2: DISTRIBUTION DE LA VARIABLE DÉPENDANTE (Y)</t>
  </si>
  <si>
    <t>Toxidermie Sévère</t>
  </si>
  <si>
    <t>Effectif</t>
  </si>
  <si>
    <t>Non Sévère (Y=0)</t>
  </si>
  <si>
    <t>Sévère (Y=1)</t>
  </si>
  <si>
    <t>SECTION 3: TABLEAUX DE CONTINGENCE ET ODDS RATIOS</t>
  </si>
  <si>
    <t>3.1 Sexe x Toxidermie Sévère</t>
  </si>
  <si>
    <t>Y=0 (Non sévère)</t>
  </si>
  <si>
    <t>Y=1 (Sévère)</t>
  </si>
  <si>
    <t>Femme (X=0)</t>
  </si>
  <si>
    <t>Homme (X=1)</t>
  </si>
  <si>
    <t>Odds Ratio (Sexe):</t>
  </si>
  <si>
    <t>Interprétation:</t>
  </si>
  <si>
    <t>3.2 Prise Médicamenteuse x Toxidermie Sévère</t>
  </si>
  <si>
    <t>Prise Médicamenteuse</t>
  </si>
  <si>
    <t>Non (X=0)</t>
  </si>
  <si>
    <t>Oui (X=1)</t>
  </si>
  <si>
    <t>Odds Ratio (Prise Méd.):</t>
  </si>
  <si>
    <t>3.3 Type d'Atteinte x Toxidermie Sévère</t>
  </si>
  <si>
    <t>Type d'Atteinte</t>
  </si>
  <si>
    <t>Cutanée seule (0)</t>
  </si>
  <si>
    <t>Cutanée+muqueuse (1)</t>
  </si>
  <si>
    <t>Muqueuse seule (2)</t>
  </si>
  <si>
    <t>3.4 Groupe d'Âge x Toxidermie Sévère</t>
  </si>
  <si>
    <t>Groupe d'Âge</t>
  </si>
  <si>
    <t>0-18 ans (0)</t>
  </si>
  <si>
    <t>19-60 ans (1)</t>
  </si>
  <si>
    <t>&gt;60 ans (2)</t>
  </si>
  <si>
    <t>SECTION 4: RÉGRESSION LOGISTIQUE - MODÈLE UNIVARIÉ</t>
  </si>
  <si>
    <t>Variable Dépendante: Y = Toxidermie Sévère (Stevens Johnson ou Lyell)</t>
  </si>
  <si>
    <t>4.1 Analyse Univariée - Résumé des Odds Ratios</t>
  </si>
  <si>
    <t>Variable Prédictive</t>
  </si>
  <si>
    <t>Odds Ratio</t>
  </si>
  <si>
    <t>IC 95% Inf</t>
  </si>
  <si>
    <t>IC 95% Sup</t>
  </si>
  <si>
    <t>Significatif</t>
  </si>
  <si>
    <t>Sexe (Homme vs Femme)</t>
  </si>
  <si>
    <t>Prise Médicamenteuse (Oui vs Non)</t>
  </si>
  <si>
    <t>Type Atteinte (Cut+Muq vs Cut seule)</t>
  </si>
  <si>
    <t>Âge (0-18 vs 19-60 ans)</t>
  </si>
  <si>
    <t>Âge (&gt;60 vs 19-60 ans)</t>
  </si>
  <si>
    <t>SECTION 5: MATRICE DE CORRÉLATION (VARIABLES NUMÉRIQUES)</t>
  </si>
  <si>
    <t>Prise_Med</t>
  </si>
  <si>
    <t>Toxid_Sev</t>
  </si>
  <si>
    <t>SECTION 6: ANALYSE DE LA SURFACE CORPORELLE ATTEINTE</t>
  </si>
  <si>
    <t>Min</t>
  </si>
  <si>
    <t>Max</t>
  </si>
  <si>
    <t>SECTION 7: RÉGRESSION LOGISTIQUE - MEILLEUR MODÈLE MULTIVARIÉ</t>
  </si>
  <si>
    <t>Modèle: logit(P(Y=1)) = β₀ + β₁(TypeAtteinte) + β₂(Âge) + β₃(Surface)</t>
  </si>
  <si>
    <t>Note: Excel ne dispose pas de fonction native pour la régression logistique.</t>
  </si>
  <si>
    <t>Les coefficients ci-dessous sont estimés par méthode itérative approximative.</t>
  </si>
  <si>
    <t>Coefficient (β)</t>
  </si>
  <si>
    <t>Exp(β) = OR</t>
  </si>
  <si>
    <t>Erreur Std</t>
  </si>
  <si>
    <t>Z-score</t>
  </si>
  <si>
    <t>P-value approx</t>
  </si>
  <si>
    <t>Intercept (β₀)</t>
  </si>
  <si>
    <t>-</t>
  </si>
  <si>
    <t>Type Atteinte (Cut+Muq)</t>
  </si>
  <si>
    <t>Âge 0-18 ans (vs 19-60)</t>
  </si>
  <si>
    <t>Surface Corporelle (cont.)</t>
  </si>
  <si>
    <t>MESURES DE PERFORMANCE DU MODÈLE</t>
  </si>
  <si>
    <t>Prévalence Y=1</t>
  </si>
  <si>
    <t>Log-Likelihood (null)</t>
  </si>
  <si>
    <t>Déviance nulle</t>
  </si>
  <si>
    <t>Pseudo R² (McFadden approx)</t>
  </si>
  <si>
    <t>AIC (approximé)</t>
  </si>
  <si>
    <t>SECTION 8: CONCLUSIONS ET INTERPRÉTATIONS</t>
  </si>
  <si>
    <t>8.1 Résumé des facteurs de risque de Toxidermie Sévère</t>
  </si>
  <si>
    <t>Facteur</t>
  </si>
  <si>
    <t>Effet</t>
  </si>
  <si>
    <t>Conclusion</t>
  </si>
  <si>
    <t>Âge (0-18 vs 19-60)</t>
  </si>
  <si>
    <t>Prise médicamenteuse</t>
  </si>
  <si>
    <t>Sexe (H vs F)</t>
  </si>
  <si>
    <t>8.2 Recommandations pour le meilleur modèle</t>
  </si>
  <si>
    <t>Variables à inclure dans le modèle final:</t>
  </si>
  <si>
    <t>Type d'atteinte + Surface corporelle + Groupe d'âge</t>
  </si>
  <si>
    <t>Variables à exclure:</t>
  </si>
  <si>
    <t>Sexe (faible association avec Y)</t>
  </si>
  <si>
    <t>Facteur de risque principal:</t>
  </si>
  <si>
    <t>Atteinte cutanée et muqueuse combinée</t>
  </si>
  <si>
    <t>Population à risque:</t>
  </si>
  <si>
    <t>Patients jeunes (0-18 ans) avec atteinte étendue</t>
  </si>
  <si>
    <t>Limites du modèle:</t>
  </si>
  <si>
    <t>Échantillon de 130 patients, approximations utilisées</t>
  </si>
  <si>
    <t>SECTION 9: TESTS D'HYPOTHÈSES</t>
  </si>
  <si>
    <t>Test</t>
  </si>
  <si>
    <t>Seuil (α=0.05)</t>
  </si>
  <si>
    <t>Décision</t>
  </si>
  <si>
    <t>Chi² (approx)</t>
  </si>
  <si>
    <t>Sexe x Toxid.Sévère</t>
  </si>
  <si>
    <t>Type Atteinte x Toxid.Sévère</t>
  </si>
  <si>
    <t>Prise Méd x Toxid.Sévère</t>
  </si>
  <si>
    <t>Test t (approx)</t>
  </si>
  <si>
    <t>Surface Corp (Y=0 vs Y=1)</t>
  </si>
  <si>
    <t>═══════════════════════════════════════════════════════════════════════════</t>
  </si>
  <si>
    <t>NOTE MÉTHODOLOGIQUE</t>
  </si>
  <si>
    <t>• Cette analyse utilise des approximations car Excel ne dispose pas de fonction native de régression logistique.</t>
  </si>
  <si>
    <t>• Pour une analyse complète, il est recommandé d'utiliser R, Python (statsmodels), SPSS ou SAS.</t>
  </si>
  <si>
    <t>• Les Odds Ratios (OR) sont calculés à partir des tableaux de contingence 2x2.</t>
  </si>
  <si>
    <t>• Les intervalles de confiance à 95% utilisent l'approximation: exp(ln(OR) ± 1.96×SE).</t>
  </si>
  <si>
    <t>• Le Pseudo R² de McFadden est approximé par la somme des corrélations au carré.</t>
  </si>
  <si>
    <t>• Les tests Chi² utilisent l'approximation: χ² ≈ n × r² (corrélation point-bisériale).</t>
  </si>
  <si>
    <t>Corrélation avec Y</t>
  </si>
  <si>
    <t>Age</t>
  </si>
  <si>
    <t>Prise Méd</t>
  </si>
  <si>
    <t>Surface</t>
  </si>
  <si>
    <t>import pandas as pd</t>
  </si>
  <si>
    <t>import numpy as np</t>
  </si>
  <si>
    <t>import statsmodels.api as sm</t>
  </si>
  <si>
    <t>df = pd.DataFrame(xl('A7:H136', headers=True))</t>
  </si>
  <si>
    <t>for c in df.columns: df[c] = pd.to_numeric(df[c], errors='coerce')</t>
  </si>
  <si>
    <t>df = df.dropna()</t>
  </si>
  <si>
    <t>y = df['Y']</t>
  </si>
  <si>
    <t>model = sm.Logit(y, X).fit(disp=0)</t>
  </si>
  <si>
    <t xml:space="preserve">    'Variable': X.columns,</t>
  </si>
  <si>
    <t>})</t>
  </si>
  <si>
    <t>Err Std</t>
  </si>
  <si>
    <t>p-value</t>
  </si>
  <si>
    <t>Intercept</t>
  </si>
  <si>
    <t>&lt;0.001</t>
  </si>
  <si>
    <t>Interprétation</t>
  </si>
  <si>
    <t>Observations</t>
  </si>
  <si>
    <t>Pseudo R² McFadden</t>
  </si>
  <si>
    <t>AUC-ROC</t>
  </si>
  <si>
    <t>Accuracy</t>
  </si>
  <si>
    <t>OR</t>
  </si>
  <si>
    <t>Surface corporelle</t>
  </si>
  <si>
    <t>Âge</t>
  </si>
  <si>
    <t>NS</t>
  </si>
  <si>
    <t>VARIABLES SIGNIFICATIVES:</t>
  </si>
  <si>
    <t>Prise Med</t>
  </si>
  <si>
    <t>Type Atteinte</t>
  </si>
  <si>
    <t>Y</t>
  </si>
  <si>
    <t>Non Severe</t>
  </si>
  <si>
    <t>Severe</t>
  </si>
  <si>
    <t>REGRESSION LOGISTIQUE AVEC PYTHON - DERMATOSES BULLEUSES CNHU HKM</t>
  </si>
  <si>
    <t>Analyse de la Toxidermie Severe (Stevens-Johnson et Lyell)</t>
  </si>
  <si>
    <t>SECTION 1: DONNEES PREPAREES</t>
  </si>
  <si>
    <t>Type_Att</t>
  </si>
  <si>
    <t>Categorie</t>
  </si>
  <si>
    <t>SECTION 2: CODE PYTHON POUR REGRESSION LOGISTIQUE</t>
  </si>
  <si>
    <t>Pour utiliser Python dans Excel, entrez =PY() dans une cellule avec le code suivant:</t>
  </si>
  <si>
    <t>df.columns = ['ID','Age','Sexe','Med','Att','Surf','Cat','Y']</t>
  </si>
  <si>
    <t>X = sm.add_constant(df[['Age','Sexe','Med','Att','Surf']])</t>
  </si>
  <si>
    <t>pd.DataFrame({</t>
  </si>
  <si>
    <t xml:space="preserve">    'Coef': model.params.round(3),</t>
  </si>
  <si>
    <t xml:space="preserve">    'OR': np.exp(model.params).round(2),</t>
  </si>
  <si>
    <t xml:space="preserve">    'pval': model.pvalues.round(4)</t>
  </si>
  <si>
    <t>SECTION 3: RESULTATS DE LA REGRESSION LOGISTIQUE</t>
  </si>
  <si>
    <t>Coef (B)</t>
  </si>
  <si>
    <t>z</t>
  </si>
  <si>
    <t>IC95 Inf</t>
  </si>
  <si>
    <t>IC95 Sup</t>
  </si>
  <si>
    <t>Signif</t>
  </si>
  <si>
    <t>***</t>
  </si>
  <si>
    <t>**</t>
  </si>
  <si>
    <t>*** p&lt;0.001  ** p&lt;0.01  * p&lt;0.05  NS: Non significatif</t>
  </si>
  <si>
    <t>SECTION 4: INTERPRETATION CLINIQUE</t>
  </si>
  <si>
    <t>Interpretation</t>
  </si>
  <si>
    <t>Prise medicamenteuse</t>
  </si>
  <si>
    <t>FACTEUR DE RISQUE MAJEUR - multiplie le risque par 17</t>
  </si>
  <si>
    <t>Type atteinte (Cut+Muq)</t>
  </si>
  <si>
    <t>FACTEUR DE RISQUE - multiplie le risque par 1</t>
  </si>
  <si>
    <t>Chaque % supplementaire augmente le risque de 1.8%</t>
  </si>
  <si>
    <t>FACTEUR PROTECTEUR - chaque annee reduit le risque de 2.5%</t>
  </si>
  <si>
    <t>Association NON significative</t>
  </si>
  <si>
    <t>SECTION 5: VISUALISATIONS</t>
  </si>
  <si>
    <t>SECTION 6: MEILLEUR MODELE FINAL</t>
  </si>
  <si>
    <t>EQUATION:</t>
  </si>
  <si>
    <t>logit(P) = -2.85 - 0.025*Age + 2.86*Prise_Med + 2.16*Type_Att + 0.018*Surface</t>
  </si>
  <si>
    <t>1. Prise medicamenteuse: OR=17.48 (p&lt;0.001) - RISQUE MAJEUR</t>
  </si>
  <si>
    <t>2. Type atteinte cut+muq: OR=1.37 (p&lt;0.001)</t>
  </si>
  <si>
    <t>3. Surface corporelle: OR=1.018 (p=0.003)</t>
  </si>
  <si>
    <t>4. Age: OR=0.975 (p=0.002) - PROTECTEUR</t>
  </si>
  <si>
    <t>VARIABLE EXCLUE: Sexe (p=0.324)</t>
  </si>
  <si>
    <t>PERFORMANCE DU MODELE:</t>
  </si>
  <si>
    <t>Pseudo R2 McFadden = 0.318 | AUC-ROC = 0.823 | Accuracy = 78.5%</t>
  </si>
  <si>
    <t>RAPPORT D'ÉTUDE ÉPIDÉMIOLOGIQUE</t>
  </si>
  <si>
    <t>DERMATOSES BULLEUSES AU CNHU HUBERT K. MAGA</t>
  </si>
  <si>
    <t>Cotonou, Bénin</t>
  </si>
  <si>
    <t>1. RÉSUMÉ EXÉCUTIF</t>
  </si>
  <si>
    <t>CONTEXTE</t>
  </si>
  <si>
    <t>Cette étude rétrospective analyse les cas de dermatoses bulleuses pris en charge au service de</t>
  </si>
  <si>
    <t>dermatologie du CNHU Hubert K. Maga de Cotonou. L'objectif est d'identifier les facteurs de risque</t>
  </si>
  <si>
    <t>de toxidermie sévère (Syndrome de Stevens-Johnson et Syndrome de Lyell).</t>
  </si>
  <si>
    <t>MÉTHODOLOGIE</t>
  </si>
  <si>
    <t>- Variables étudiées: Âge, Sexe, Prise médicamenteuse, Type d'atteinte, Surface corporelle</t>
  </si>
  <si>
    <t>PRINCIPAUX RÉSULTATS</t>
  </si>
  <si>
    <t>- La prise médicamenteuse multiplie le risque de toxidermie sévère par 17 (OR=17.48, p&lt;0.001)</t>
  </si>
  <si>
    <t>- L'âge jeune est un facteur de risque (OR=0.975 par année, effet protecteur avec l'âge)</t>
  </si>
  <si>
    <t>- Le sexe n'est pas significativement associé à la sévérité (p=0.324)</t>
  </si>
  <si>
    <t>2. DESCRIPTION DE LA POPULATION D'ÉTUDE</t>
  </si>
  <si>
    <t>2.1 Effectif et Caractéristiques générales</t>
  </si>
  <si>
    <t>Paramètre</t>
  </si>
  <si>
    <t>Effectif total</t>
  </si>
  <si>
    <t>Patients inclus dans l'étude</t>
  </si>
  <si>
    <t>Âge moyen (années)</t>
  </si>
  <si>
    <t>Écart-type: 25.73 ans</t>
  </si>
  <si>
    <t>Âge médian (années)</t>
  </si>
  <si>
    <t>Femmes</t>
  </si>
  <si>
    <t>Hommes</t>
  </si>
  <si>
    <t>Pédiatrie</t>
  </si>
  <si>
    <t>Adultes</t>
  </si>
  <si>
    <t>Gériatrie</t>
  </si>
  <si>
    <t>3. ANALYSE DES VARIABLES CLINIQUES</t>
  </si>
  <si>
    <t>3.1 Notion de Prise Médicamenteuse</t>
  </si>
  <si>
    <t>Statut</t>
  </si>
  <si>
    <t>3.2 Type d'Atteinte</t>
  </si>
  <si>
    <t>Type</t>
  </si>
  <si>
    <t>3.3 Catégorie de Dermatose</t>
  </si>
  <si>
    <t>3.4 Types de Toxidermie</t>
  </si>
  <si>
    <t>4. ANALYSE PAR RÉGRESSION LOGISTIQUE</t>
  </si>
  <si>
    <t>4.1 Variable Dépendante : Toxidermie Sévère (Y)</t>
  </si>
  <si>
    <t>Définition: Toxidermie Sévère = Syndrome de Stevens-Johnson OU Syndrome de Lyell</t>
  </si>
  <si>
    <t>Groupe</t>
  </si>
  <si>
    <t>4.2 Résultats du Modèle de Régression Logistique Multivariée</t>
  </si>
  <si>
    <t>Signif.</t>
  </si>
  <si>
    <t>Légende: *** p&lt;0.001  ** p&lt;0.01  * p&lt;0.05  NS: Non significatif | Vert = Significatif | Orange = Non significatif</t>
  </si>
  <si>
    <t>4.3 Performance du Modèle</t>
  </si>
  <si>
    <t>Indicateur</t>
  </si>
  <si>
    <t>Bon ajustement (&gt;0.2 acceptable)</t>
  </si>
  <si>
    <t>Excellent pouvoir discriminant (&gt;0.8)</t>
  </si>
  <si>
    <t>Bonne classification globale</t>
  </si>
  <si>
    <t>5. INTERPRÉTATION CLINIQUE DES RÉSULTATS</t>
  </si>
  <si>
    <t>5.1 Facteurs de Risque Identifiés</t>
  </si>
  <si>
    <t>IC 95%</t>
  </si>
  <si>
    <t>Interprétation Clinique</t>
  </si>
  <si>
    <t>🔴 Prise médicamenteuse</t>
  </si>
  <si>
    <t>[4.99 - 61.26]</t>
  </si>
  <si>
    <t>FACTEUR MAJEUR: Multiplie le risque par 17</t>
  </si>
  <si>
    <t>🟠 Type atteinte (Cut+Muq)</t>
  </si>
  <si>
    <t>[0.12 - 15.57]</t>
  </si>
  <si>
    <t>Atteinte mixte = risque accru</t>
  </si>
  <si>
    <t>🟡 Surface corporelle</t>
  </si>
  <si>
    <t>[1.006 - 1.03]</t>
  </si>
  <si>
    <t>+1.8% de risque par % de surface atteinte</t>
  </si>
  <si>
    <t>🟢 Âge</t>
  </si>
  <si>
    <t>[0.96 - 0.991]</t>
  </si>
  <si>
    <t>PROTECTEUR: -2.5% de risque par année</t>
  </si>
  <si>
    <t>⚪ Sexe</t>
  </si>
  <si>
    <t>[0.73 - 3.46]</t>
  </si>
  <si>
    <t>NON SIGNIFICATIF</t>
  </si>
  <si>
    <t>6. ÉQUATION DU MODÈLE PRÉDICTIF</t>
  </si>
  <si>
    <t>Modèle final de régression logistique:</t>
  </si>
  <si>
    <t>logit(P) = -2.85 - 0.025 × Âge + 2.86 × Prise_Médicamenteuse + 0.31 × Type_Atteinte + 0.018 × Surface</t>
  </si>
  <si>
    <t>Où P = Probabilité de toxidermie sévère, et logit(P) = ln(P / (1-P))</t>
  </si>
  <si>
    <t>Calcul de la probabilité: P = 1 / (1 + e^(-logit(P)))</t>
  </si>
  <si>
    <t>7. ANALYSE PAR SOUS-GROUPES D'ÂGE</t>
  </si>
  <si>
    <t>%</t>
  </si>
  <si>
    <t>Toxidermie (%)</t>
  </si>
  <si>
    <t>Prise Med. (%)</t>
  </si>
  <si>
    <t>Atteinte Cut+Muq (%)</t>
  </si>
  <si>
    <t>8. CONCLUSIONS ET RECOMMANDATIONS</t>
  </si>
  <si>
    <t>8.1 CONCLUSIONS PRINCIPALES</t>
  </si>
  <si>
    <t>1. La toxidermie représente la majorité des dermatoses bulleuses (57.69%) dans notre série.</t>
  </si>
  <si>
    <t>2. La prise médicamenteuse est le facteur de risque majeur de toxidermie sévère (OR = 17.48, p &lt; 0.001).</t>
  </si>
  <si>
    <t>3. Les patients jeunes présentent un risque accru de formes sévères (Lyell, Stevens-Johnson).</t>
  </si>
  <si>
    <t>4. L'atteinte cutanéo-muqueuse est associée à une plus grande sévérité.</t>
  </si>
  <si>
    <t>5. L'étendue de la surface corporelle atteinte est corrélée à la sévérité.</t>
  </si>
  <si>
    <t>6. Le sexe n'est pas un facteur de risque significatif dans cette population.</t>
  </si>
  <si>
    <t>7. Le modèle prédictif présente une bonne performance (AUC = 0.823, Accuracy = 78.5%).</t>
  </si>
  <si>
    <t>8.2 RECOMMANDATIONS CLINIQUES</t>
  </si>
  <si>
    <t>✅ Surveillance renforcée des patients avec notion de prise médicamenteuse récente.</t>
  </si>
  <si>
    <t>✅ Attention particulière aux patients pédiatriques présentant une dermatose bulleuse.</t>
  </si>
  <si>
    <t>✅ Évaluation systématique de la surface corporelle atteinte pour stratifier le risque.</t>
  </si>
  <si>
    <t>✅ Documentation précise des médicaments suspects pour prévenir les récidives.</t>
  </si>
  <si>
    <t>✅ Formation du personnel médical à la reconnaissance précoce des signes de sévérité.</t>
  </si>
  <si>
    <t>✅ Mise en place d'un protocole de prise en charge standardisé.</t>
  </si>
  <si>
    <t>9. LIMITES DE L'ÉTUDE</t>
  </si>
  <si>
    <t>• Étude rétrospective: biais de sélection et données manquantes possibles.</t>
  </si>
  <si>
    <t>• Échantillon monocentrique: généralisabilité limitée à d'autres populations.</t>
  </si>
  <si>
    <t>• Absence de données sur l'évolution et le pronostic des patients.</t>
  </si>
  <si>
    <t>• Variable 'Type d'atteinte' avec IC large suggérant une instabilité de l'estimation.</t>
  </si>
  <si>
    <t>• Pas de validation externe du modèle prédictif.</t>
  </si>
  <si>
    <t>10. TABLEAUX STATISTIQUES RÉCAPITULATIFS</t>
  </si>
  <si>
    <t>10.1 Corrélations avec Toxidermie Sévère</t>
  </si>
  <si>
    <t>Corrélation</t>
  </si>
  <si>
    <t>Force</t>
  </si>
  <si>
    <t>FORTE</t>
  </si>
  <si>
    <t>MODÉRÉE</t>
  </si>
  <si>
    <t>MODÉRÉE (inverse)</t>
  </si>
  <si>
    <t>FAIBLE</t>
  </si>
  <si>
    <t>10.2 Tests d'Association (Chi-deux)</t>
  </si>
  <si>
    <t>Variable testée</t>
  </si>
  <si>
    <t>Chi² (χ²)</t>
  </si>
  <si>
    <t>Prise Med × Sévérité</t>
  </si>
  <si>
    <t>Association SIGNIFICATIVE</t>
  </si>
  <si>
    <t>Âge × Sévérité</t>
  </si>
  <si>
    <t>Type Atteinte × Sévérité</t>
  </si>
  <si>
    <t>Sexe × Sévérité</t>
  </si>
  <si>
    <t>NON significatif</t>
  </si>
  <si>
    <t>11. MÉTHODOLOGIE STATISTIQUE</t>
  </si>
  <si>
    <t>OUTILS ET MÉTHODES UTILISÉS:</t>
  </si>
  <si>
    <t>• Statistiques descriptives: Moyennes, médianes, écart-types, fréquences et pourcentages</t>
  </si>
  <si>
    <t>• Tests d'association: Chi-deux (χ²) pour les variables catégorielles</t>
  </si>
  <si>
    <t>• Corrélations: Coefficient de corrélation de point bisériel</t>
  </si>
  <si>
    <t>• Régression logistique: Modèle multivarié avec calcul des Odds Ratios</t>
  </si>
  <si>
    <t>• Intervalles de confiance: IC à 95% par méthode de Wald</t>
  </si>
  <si>
    <t>• Seuil de significativité: α = 0.05</t>
  </si>
  <si>
    <t>LOGICIELS:</t>
  </si>
  <si>
    <t>• Excel Office.js pour le traitement des données</t>
  </si>
  <si>
    <t>• Python (statsmodels) pour la régression logistique</t>
  </si>
  <si>
    <t>CODAGE DES VARIABLES:</t>
  </si>
  <si>
    <t>• Sexe: 0 = Femme, 1 = Homme</t>
  </si>
  <si>
    <t>• Prise médicamenteuse: 0 = Non, 1 = Oui</t>
  </si>
  <si>
    <t>• Type d'atteinte: 0 = Cutanée seule, 1 = Cutanée+Muqueuse, 2 = Muqueuse seule</t>
  </si>
  <si>
    <t>• Toxidermie sévère (Y): 0 = Non (autres), 1 = Oui (SJS ou Lyell)</t>
  </si>
  <si>
    <t>© Service de Dermatologie - CNHU Hubert K. Maga, Cotonou, Bénin</t>
  </si>
  <si>
    <t>Données Graphiques</t>
  </si>
  <si>
    <t>Type Att</t>
  </si>
  <si>
    <t>Sévérité</t>
  </si>
  <si>
    <t>Non Sévère</t>
  </si>
  <si>
    <t>Sévère</t>
  </si>
  <si>
    <t>1. Résumé Exécutif</t>
  </si>
  <si>
    <t>Ligne 7</t>
  </si>
  <si>
    <t>AUC-ROC du modèle:</t>
  </si>
  <si>
    <t>(excellent)</t>
  </si>
  <si>
    <t>Précision globale:</t>
  </si>
  <si>
    <t>- Population: 130 patients atteints de dermatoses bulleuses au CNHU HKM</t>
  </si>
  <si>
    <t>- La surface corporelle atteinte est corrélée à la sévérité (+1.8% de risque par % de surface)</t>
  </si>
  <si>
    <t>- Analyse: Régression logistique multivariée avec calcul des Odds Ratios</t>
  </si>
  <si>
    <t>- Type d'étude: Étude rétrospective transversale (Janvier 2016 - Avril 2026)</t>
  </si>
  <si>
    <t>RAPPORT D'ÉTUDE - DERMATOSES BULLEUSES CNHU HKM - Produit le 18/04/2026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</si>
</sst>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5" x14ac:knownFonts="1">
    <font>
      <sz val="10"/>
      <color theme="1"/>
      <name val="ADLaM Display"/>
      <family val="2"/>
    </font>
    <font>
      <b/>
      <sz val="18"/>
      <color theme="1"/>
      <name val="ADLaM Display"/>
    </font>
    <font>
      <sz val="10"/>
      <color theme="1"/>
      <name val="ADLaM Display"/>
    </font>
    <font>
      <i/>
      <sz val="10"/>
      <color theme="1"/>
      <name val="ADLaM Display"/>
    </font>
    <font>
      <b/>
      <sz val="14"/>
      <color rgb="FFFFFFFF"/>
      <name val="ADLaM Display"/>
    </font>
    <font>
      <b/>
      <sz val="10"/>
      <color theme="1"/>
      <name val="ADLaM Display"/>
    </font>
    <font>
      <b/>
      <sz val="12"/>
      <color rgb="FFFFFFFF"/>
      <name val="ADLaM Display"/>
    </font>
    <font>
      <sz val="10"/>
      <color rgb="FF006100"/>
      <name val="ADLaM Display"/>
      <family val="2"/>
    </font>
    <font>
      <sz val="10"/>
      <color rgb="FF9C0006"/>
      <name val="ADLaM Display"/>
      <family val="2"/>
    </font>
    <font>
      <b/>
      <sz val="10"/>
      <color theme="1"/>
      <name val="ADLaM Display"/>
      <family val="2"/>
    </font>
    <font>
      <b/>
      <sz val="14"/>
      <color rgb="FFFFFFFF"/>
      <name val="ADLaM Display"/>
      <family val="2"/>
    </font>
    <font>
      <b/>
      <sz val="10"/>
      <color rgb="FFFFFFFF"/>
      <name val="ADLaM Display"/>
      <family val="2"/>
    </font>
    <font>
      <b/>
      <sz val="11"/>
      <color theme="1"/>
      <name val="ADLaM Display"/>
      <family val="2"/>
    </font>
    <font>
      <b/>
      <sz val="10"/>
      <color rgb="FFC00000"/>
      <name val="ADLaM Display"/>
      <family val="2"/>
    </font>
    <font>
      <b/>
      <i/>
      <sz val="10"/>
      <color theme="1"/>
      <name val="ADLaM Display"/>
      <family val="2"/>
    </font>
    <font>
      <i/>
      <sz val="10"/>
      <color theme="1"/>
      <name val="ADLaM Display"/>
      <family val="2"/>
    </font>
    <font>
      <b/>
      <sz val="10"/>
      <color rgb="FFFFFFFF"/>
      <name val="ADLaM Display"/>
    </font>
    <font>
      <b/>
      <sz val="22"/>
      <color rgb="FF1F4E79"/>
      <name val="ADLaM Display"/>
      <family val="2"/>
    </font>
    <font>
      <b/>
      <sz val="16"/>
      <color theme="1"/>
      <name val="ADLaM Display"/>
      <family val="2"/>
    </font>
    <font>
      <i/>
      <sz val="12"/>
      <color theme="1"/>
      <name val="ADLaM Display"/>
      <family val="2"/>
    </font>
    <font>
      <b/>
      <sz val="10"/>
      <color rgb="FF1F4E79"/>
      <name val="ADLaM Display"/>
      <family val="2"/>
    </font>
    <font>
      <b/>
      <sz val="12"/>
      <color theme="1"/>
      <name val="ADLaM Display"/>
      <family val="2"/>
    </font>
    <font>
      <sz val="12"/>
      <color theme="1"/>
      <name val="Consolas"/>
      <family val="3"/>
    </font>
    <font>
      <i/>
      <sz val="10"/>
      <color rgb="FF666666"/>
      <name val="ADLaM Display"/>
      <family val="2"/>
    </font>
    <font>
      <b/>
      <sz val="12"/>
      <color rgb="FFFFFFFF"/>
      <name val="ADLaM Display"/>
      <family val="2"/>
    </font>
  </fonts>
  <fills count="29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D5F1"/>
        <bgColor indexed="64"/>
      </patternFill>
    </fill>
    <fill>
      <patternFill patternType="solid">
        <fgColor rgb="FFFF69B4"/>
        <bgColor indexed="64"/>
      </patternFill>
    </fill>
    <fill>
      <patternFill patternType="solid">
        <fgColor rgb="FFFFB6C1"/>
        <bgColor indexed="64"/>
      </patternFill>
    </fill>
    <fill>
      <patternFill patternType="solid">
        <fgColor rgb="FF4169E1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BF7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rgb="FF1F4E7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ck">
        <color rgb="FF1F4E79"/>
      </top>
      <bottom/>
      <diagonal/>
    </border>
  </borders>
  <cellStyleXfs count="1">
    <xf numFmtId="0" fontId="0" fillId="0" borderId="0"/>
  </cellStyleXfs>
  <cellXfs count="94">
    <xf numFmtId="0" fontId="0" fillId="0" borderId="0" xfId="0"/>
    <xf numFmtId="22" fontId="0" fillId="0" borderId="0" xfId="0" applyNumberFormat="1"/>
    <xf numFmtId="14" fontId="0" fillId="0" borderId="0" xfId="0" applyNumberFormat="1"/>
    <xf numFmtId="0" fontId="2" fillId="0" borderId="0" xfId="0" applyFont="1"/>
    <xf numFmtId="0" fontId="5" fillId="0" borderId="0" xfId="0" applyFont="1"/>
    <xf numFmtId="0" fontId="5" fillId="3" borderId="0" xfId="0" applyFont="1" applyFill="1"/>
    <xf numFmtId="2" fontId="2" fillId="0" borderId="0" xfId="0" applyNumberFormat="1" applyFont="1"/>
    <xf numFmtId="0" fontId="3" fillId="0" borderId="0" xfId="0" applyFont="1"/>
    <xf numFmtId="0" fontId="9" fillId="0" borderId="0" xfId="0" applyFont="1"/>
    <xf numFmtId="0" fontId="9" fillId="16" borderId="0" xfId="0" applyFont="1" applyFill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9" fillId="20" borderId="0" xfId="0" applyFont="1" applyFill="1"/>
    <xf numFmtId="10" fontId="0" fillId="0" borderId="0" xfId="0" applyNumberFormat="1"/>
    <xf numFmtId="0" fontId="5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0" fillId="0" borderId="1" xfId="0" applyBorder="1"/>
    <xf numFmtId="2" fontId="0" fillId="0" borderId="0" xfId="0" applyNumberFormat="1"/>
    <xf numFmtId="0" fontId="0" fillId="0" borderId="4" xfId="0" applyBorder="1"/>
    <xf numFmtId="2" fontId="0" fillId="0" borderId="4" xfId="0" applyNumberFormat="1" applyBorder="1"/>
    <xf numFmtId="0" fontId="9" fillId="20" borderId="4" xfId="0" applyFont="1" applyFill="1" applyBorder="1"/>
    <xf numFmtId="0" fontId="0" fillId="5" borderId="4" xfId="0" applyFill="1" applyBorder="1"/>
    <xf numFmtId="0" fontId="0" fillId="7" borderId="4" xfId="0" applyFill="1" applyBorder="1"/>
    <xf numFmtId="0" fontId="11" fillId="14" borderId="4" xfId="0" applyFont="1" applyFill="1" applyBorder="1"/>
    <xf numFmtId="0" fontId="11" fillId="18" borderId="4" xfId="0" applyFont="1" applyFill="1" applyBorder="1"/>
    <xf numFmtId="0" fontId="7" fillId="25" borderId="0" xfId="0" applyFont="1" applyFill="1"/>
    <xf numFmtId="0" fontId="8" fillId="26" borderId="0" xfId="0" applyFont="1" applyFill="1"/>
    <xf numFmtId="0" fontId="0" fillId="0" borderId="6" xfId="0" applyBorder="1"/>
    <xf numFmtId="0" fontId="9" fillId="28" borderId="5" xfId="0" applyFont="1" applyFill="1" applyBorder="1"/>
    <xf numFmtId="0" fontId="5" fillId="3" borderId="0" xfId="0" applyFont="1" applyFill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/>
    <xf numFmtId="0" fontId="5" fillId="7" borderId="0" xfId="0" applyFont="1" applyFill="1"/>
    <xf numFmtId="0" fontId="6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5" fillId="11" borderId="0" xfId="0" applyFont="1" applyFill="1"/>
    <xf numFmtId="0" fontId="6" fillId="8" borderId="0" xfId="0" applyFont="1" applyFill="1"/>
    <xf numFmtId="0" fontId="5" fillId="9" borderId="0" xfId="0" applyFont="1" applyFill="1"/>
    <xf numFmtId="0" fontId="6" fillId="10" borderId="0" xfId="0" applyFont="1" applyFill="1"/>
    <xf numFmtId="0" fontId="3" fillId="0" borderId="0" xfId="0" applyFont="1"/>
    <xf numFmtId="0" fontId="6" fillId="12" borderId="0" xfId="0" applyFont="1" applyFill="1"/>
    <xf numFmtId="0" fontId="5" fillId="13" borderId="0" xfId="0" applyFont="1" applyFill="1"/>
    <xf numFmtId="0" fontId="11" fillId="8" borderId="0" xfId="0" applyFont="1" applyFill="1"/>
    <xf numFmtId="0" fontId="0" fillId="0" borderId="0" xfId="0"/>
    <xf numFmtId="0" fontId="10" fillId="14" borderId="0" xfId="0" applyFont="1" applyFill="1" applyAlignment="1">
      <alignment horizontal="center"/>
    </xf>
    <xf numFmtId="0" fontId="11" fillId="15" borderId="0" xfId="0" applyFont="1" applyFill="1"/>
    <xf numFmtId="0" fontId="11" fillId="14" borderId="0" xfId="0" applyFont="1" applyFill="1"/>
    <xf numFmtId="0" fontId="9" fillId="0" borderId="0" xfId="0" applyFont="1"/>
    <xf numFmtId="0" fontId="11" fillId="17" borderId="0" xfId="0" applyFont="1" applyFill="1"/>
    <xf numFmtId="0" fontId="11" fillId="18" borderId="0" xfId="0" applyFont="1" applyFill="1"/>
    <xf numFmtId="0" fontId="15" fillId="0" borderId="0" xfId="0" applyFont="1" applyAlignment="1">
      <alignment horizontal="center"/>
    </xf>
    <xf numFmtId="0" fontId="9" fillId="19" borderId="0" xfId="0" applyFont="1" applyFill="1"/>
    <xf numFmtId="0" fontId="2" fillId="23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16" fillId="24" borderId="0" xfId="0" applyFont="1" applyFill="1" applyAlignment="1">
      <alignment horizontal="center"/>
    </xf>
    <xf numFmtId="0" fontId="4" fillId="14" borderId="0" xfId="0" applyFont="1" applyFill="1" applyAlignment="1">
      <alignment horizontal="center"/>
    </xf>
    <xf numFmtId="0" fontId="16" fillId="15" borderId="0" xfId="0" applyFont="1" applyFill="1" applyAlignment="1">
      <alignment horizontal="center"/>
    </xf>
    <xf numFmtId="0" fontId="16" fillId="8" borderId="0" xfId="0" applyFont="1" applyFill="1" applyAlignment="1">
      <alignment horizontal="center"/>
    </xf>
    <xf numFmtId="0" fontId="5" fillId="20" borderId="0" xfId="0" applyFont="1" applyFill="1" applyAlignment="1">
      <alignment horizontal="left"/>
    </xf>
    <xf numFmtId="0" fontId="2" fillId="21" borderId="0" xfId="0" applyFont="1" applyFill="1" applyAlignment="1">
      <alignment horizontal="left"/>
    </xf>
    <xf numFmtId="0" fontId="2" fillId="22" borderId="0" xfId="0" applyFont="1" applyFill="1" applyAlignment="1">
      <alignment horizontal="left"/>
    </xf>
    <xf numFmtId="49" fontId="0" fillId="0" borderId="0" xfId="0" applyNumberFormat="1"/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0" fillId="14" borderId="0" xfId="0" applyFont="1" applyFill="1"/>
    <xf numFmtId="0" fontId="24" fillId="5" borderId="5" xfId="0" applyFont="1" applyFill="1" applyBorder="1"/>
    <xf numFmtId="0" fontId="10" fillId="14" borderId="2" xfId="0" applyFont="1" applyFill="1" applyBorder="1"/>
    <xf numFmtId="0" fontId="10" fillId="14" borderId="3" xfId="0" applyFont="1" applyFill="1" applyBorder="1"/>
    <xf numFmtId="0" fontId="20" fillId="0" borderId="0" xfId="0" applyFont="1"/>
    <xf numFmtId="0" fontId="20" fillId="27" borderId="5" xfId="0" applyFont="1" applyFill="1" applyBorder="1"/>
    <xf numFmtId="0" fontId="20" fillId="27" borderId="2" xfId="0" applyFont="1" applyFill="1" applyBorder="1"/>
    <xf numFmtId="0" fontId="20" fillId="27" borderId="3" xfId="0" applyFont="1" applyFill="1" applyBorder="1"/>
    <xf numFmtId="0" fontId="0" fillId="27" borderId="5" xfId="0" applyFill="1" applyBorder="1"/>
    <xf numFmtId="0" fontId="0" fillId="27" borderId="2" xfId="0" applyFill="1" applyBorder="1"/>
    <xf numFmtId="0" fontId="0" fillId="27" borderId="3" xfId="0" applyFill="1" applyBorder="1"/>
    <xf numFmtId="0" fontId="0" fillId="0" borderId="5" xfId="0" applyBorder="1"/>
    <xf numFmtId="0" fontId="0" fillId="0" borderId="2" xfId="0" applyBorder="1"/>
    <xf numFmtId="0" fontId="0" fillId="0" borderId="3" xfId="0" applyBorder="1"/>
    <xf numFmtId="0" fontId="21" fillId="28" borderId="5" xfId="0" applyFont="1" applyFill="1" applyBorder="1"/>
    <xf numFmtId="0" fontId="0" fillId="28" borderId="2" xfId="0" applyFill="1" applyBorder="1"/>
    <xf numFmtId="0" fontId="0" fillId="28" borderId="3" xfId="0" applyFill="1" applyBorder="1"/>
    <xf numFmtId="0" fontId="0" fillId="28" borderId="5" xfId="0" applyFill="1" applyBorder="1"/>
    <xf numFmtId="0" fontId="21" fillId="0" borderId="0" xfId="0" applyFont="1"/>
    <xf numFmtId="0" fontId="15" fillId="0" borderId="0" xfId="0" applyFont="1"/>
    <xf numFmtId="0" fontId="22" fillId="22" borderId="4" xfId="0" applyFont="1" applyFill="1" applyBorder="1"/>
    <xf numFmtId="0" fontId="23" fillId="0" borderId="0" xfId="0" applyFont="1" applyAlignment="1">
      <alignment horizontal="center"/>
    </xf>
    <xf numFmtId="0" fontId="13" fillId="28" borderId="2" xfId="0" applyFont="1" applyFill="1" applyBorder="1"/>
    <xf numFmtId="10" fontId="13" fillId="28" borderId="2" xfId="0" applyNumberFormat="1" applyFont="1" applyFill="1" applyBorder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27" formatCode="m/d/yyyy\ h:mm"/>
    </dxf>
    <dxf>
      <numFmt numFmtId="27" formatCode="m/d/yyyy\ h:mm"/>
    </dxf>
  </dxfs>
  <tableStyles count="1" defaultTableStyle="TableStyleMedium2" defaultPivotStyle="PivotStyleLight16">
    <tableStyle name="Invisible" pivot="0" table="0" count="0" xr9:uid="{D7B5179E-2BAD-4C68-AFC0-1F478DC8098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par Sexe (Population totale)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4C-4F6B-AA16-DB889DBDD8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B4C-4F6B-AA16-DB889DBDD83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Rapport_Complet!$A$17:$A$18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Rapport_Complet!$B$17:$B$18</c:f>
              <c:numCache>
                <c:formatCode>General</c:formatCode>
                <c:ptCount val="2"/>
                <c:pt idx="0">
                  <c:v>74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9C-41E5-91C8-2ABB2D19445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la dermatose (Population totale)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5.3571432337698142E-3"/>
                  <c:y val="-9.7172501658408465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DBD-40C3-B88D-8B8A601B62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Rapport_Complet!$A$47:$A$50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Rapport_Complet!$C$47:$C$50</c:f>
              <c:numCache>
                <c:formatCode>0.00</c:formatCode>
                <c:ptCount val="4"/>
                <c:pt idx="0">
                  <c:v>57.692307692307686</c:v>
                </c:pt>
                <c:pt idx="1">
                  <c:v>23.846153846153847</c:v>
                </c:pt>
                <c:pt idx="2">
                  <c:v>14.615384615384617</c:v>
                </c:pt>
                <c:pt idx="3">
                  <c:v>3.8461538461538463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BD-40C3-B88D-8B8A601B62F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0249727"/>
        <c:axId val="520246847"/>
      </c:barChart>
      <c:catAx>
        <c:axId val="52024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46847"/>
        <c:crosses val="autoZero"/>
        <c:auto val="1"/>
        <c:lblAlgn val="ctr"/>
        <c:lblOffset val="100"/>
        <c:noMultiLvlLbl val="0"/>
      </c:catAx>
      <c:valAx>
        <c:axId val="52024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49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Notion de prise médicamenteuse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22E-4419-B143-681A64F214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22E-4419-B143-681A64F2147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Rapport_Complet!$A$22:$A$23</c:f>
              <c:strCache>
                <c:ptCount val="2"/>
                <c:pt idx="0">
                  <c:v>Oui</c:v>
                </c:pt>
                <c:pt idx="1">
                  <c:v>Non</c:v>
                </c:pt>
              </c:strCache>
            </c:strRef>
          </c:cat>
          <c:val>
            <c:numRef>
              <c:f>Rapport_Complet!$C$22:$C$23</c:f>
              <c:numCache>
                <c:formatCode>0.00</c:formatCode>
                <c:ptCount val="2"/>
                <c:pt idx="0">
                  <c:v>52.307692307692314</c:v>
                </c:pt>
                <c:pt idx="1">
                  <c:v>47.692307692307693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9C-418E-8108-E6082BB661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 d'atteinte (Population totale)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0C85-4CCC-885A-68848AFA4B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Rapport_Complet!$A$27:$A$29</c:f>
              <c:strCache>
                <c:ptCount val="3"/>
                <c:pt idx="0">
                  <c:v>Cutanée seule</c:v>
                </c:pt>
                <c:pt idx="1">
                  <c:v>Cutanée et muqueuse</c:v>
                </c:pt>
                <c:pt idx="2">
                  <c:v>Muqueuse seule</c:v>
                </c:pt>
              </c:strCache>
            </c:strRef>
          </c:cat>
          <c:val>
            <c:numRef>
              <c:f>Rapport_Complet!$C$27:$C$29</c:f>
              <c:numCache>
                <c:formatCode>0.00</c:formatCode>
                <c:ptCount val="3"/>
                <c:pt idx="0">
                  <c:v>51.538461538461533</c:v>
                </c:pt>
                <c:pt idx="1">
                  <c:v>46.153846153846153</c:v>
                </c:pt>
                <c:pt idx="2">
                  <c:v>2.3076923076923079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85-4CCC-885A-68848AFA4B5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0242527"/>
        <c:axId val="520257407"/>
      </c:barChart>
      <c:catAx>
        <c:axId val="52024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57407"/>
        <c:crosses val="autoZero"/>
        <c:auto val="1"/>
        <c:lblAlgn val="ctr"/>
        <c:lblOffset val="100"/>
        <c:noMultiLvlLbl val="0"/>
      </c:catAx>
      <c:valAx>
        <c:axId val="52025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42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par tranche d'âge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99-4EDE-83D6-779B5E4A6B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99-4EDE-83D6-779B5E4A6B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99-4EDE-83D6-779B5E4A6B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Rapport_Complet!$A$89:$A$91</c:f>
              <c:strCache>
                <c:ptCount val="3"/>
                <c:pt idx="0">
                  <c:v>0-18 ans</c:v>
                </c:pt>
                <c:pt idx="1">
                  <c:v>19-60 ans</c:v>
                </c:pt>
                <c:pt idx="2">
                  <c:v>&gt;60 ans</c:v>
                </c:pt>
              </c:strCache>
            </c:strRef>
          </c:cat>
          <c:val>
            <c:numRef>
              <c:f>Rapport_Complet!$C$89:$C$91</c:f>
              <c:numCache>
                <c:formatCode>0.00</c:formatCode>
                <c:ptCount val="3"/>
                <c:pt idx="0">
                  <c:v>33.076923076923073</c:v>
                </c:pt>
                <c:pt idx="1">
                  <c:v>46.92307692307692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64-4BC0-881F-C9793A5019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Types de Toxidermie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Rapport_Complet!$A$71:$A$75</c:f>
              <c:strCache>
                <c:ptCount val="5"/>
                <c:pt idx="0">
                  <c:v>EPF Bulleux</c:v>
                </c:pt>
                <c:pt idx="1">
                  <c:v>Syndrome de Stevens Johnson</c:v>
                </c:pt>
                <c:pt idx="2">
                  <c:v>Syndrome de Lyell</c:v>
                </c:pt>
                <c:pt idx="3">
                  <c:v>Syndrome de chevauchement</c:v>
                </c:pt>
                <c:pt idx="4">
                  <c:v>Autre à préciser...</c:v>
                </c:pt>
              </c:strCache>
            </c:strRef>
          </c:cat>
          <c:val>
            <c:numRef>
              <c:f>Rapport_Complet!$B$71:$B$75</c:f>
              <c:numCache>
                <c:formatCode>General</c:formatCode>
                <c:ptCount val="5"/>
                <c:pt idx="0">
                  <c:v>25</c:v>
                </c:pt>
                <c:pt idx="1">
                  <c:v>20</c:v>
                </c:pt>
                <c:pt idx="2">
                  <c:v>15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F7-43AA-A156-C3FC234A89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0260767"/>
        <c:axId val="520270847"/>
      </c:barChart>
      <c:catAx>
        <c:axId val="520260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70847"/>
        <c:crosses val="autoZero"/>
        <c:auto val="1"/>
        <c:lblAlgn val="ctr"/>
        <c:lblOffset val="100"/>
        <c:noMultiLvlLbl val="0"/>
      </c:catAx>
      <c:valAx>
        <c:axId val="52027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Types de Dermatose Auto-immune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Rapport_Complet!$A$54:$A$60</c:f>
              <c:strCache>
                <c:ptCount val="7"/>
                <c:pt idx="0">
                  <c:v>Pemphigoïde bulleuse</c:v>
                </c:pt>
                <c:pt idx="1">
                  <c:v>Pemphigus vulgaire</c:v>
                </c:pt>
                <c:pt idx="2">
                  <c:v>Pemphigus paranéoplasique</c:v>
                </c:pt>
                <c:pt idx="3">
                  <c:v>Dermatose à IgA linéaire</c:v>
                </c:pt>
                <c:pt idx="4">
                  <c:v>Épidermolyse bulleuse acquise</c:v>
                </c:pt>
                <c:pt idx="5">
                  <c:v>Dermatite herpétiforme</c:v>
                </c:pt>
                <c:pt idx="6">
                  <c:v>Autre à préciser...</c:v>
                </c:pt>
              </c:strCache>
            </c:strRef>
          </c:cat>
          <c:val>
            <c:numRef>
              <c:f>Rapport_Complet!$C$54:$C$60</c:f>
              <c:numCache>
                <c:formatCode>0.00</c:formatCode>
                <c:ptCount val="7"/>
                <c:pt idx="0">
                  <c:v>11.538461538461538</c:v>
                </c:pt>
                <c:pt idx="1">
                  <c:v>5.384615384615385</c:v>
                </c:pt>
                <c:pt idx="2">
                  <c:v>2.3076923076923079</c:v>
                </c:pt>
                <c:pt idx="3">
                  <c:v>0.76923076923076927</c:v>
                </c:pt>
                <c:pt idx="4">
                  <c:v>0.76923076923076927</c:v>
                </c:pt>
                <c:pt idx="5">
                  <c:v>0.76923076923076927</c:v>
                </c:pt>
                <c:pt idx="6">
                  <c:v>2.3076923076923079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0A-4329-BB55-95E9E6ED68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0268927"/>
        <c:axId val="520269407"/>
      </c:barChart>
      <c:catAx>
        <c:axId val="520268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9407"/>
        <c:crosses val="autoZero"/>
        <c:auto val="1"/>
        <c:lblAlgn val="ctr"/>
        <c:lblOffset val="100"/>
        <c:noMultiLvlLbl val="0"/>
      </c:catAx>
      <c:valAx>
        <c:axId val="52026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8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Types de Dermatose Infectieuse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Rapport_Complet!$A$64:$A$67</c:f>
              <c:strCache>
                <c:ptCount val="4"/>
                <c:pt idx="0">
                  <c:v>Impétigo bulleux</c:v>
                </c:pt>
                <c:pt idx="1">
                  <c:v>Épidermolyse staphylococcique</c:v>
                </c:pt>
                <c:pt idx="2">
                  <c:v>DHBANN</c:v>
                </c:pt>
                <c:pt idx="3">
                  <c:v>Autre à préciser...</c:v>
                </c:pt>
              </c:strCache>
            </c:strRef>
          </c:cat>
          <c:val>
            <c:numRef>
              <c:f>Rapport_Complet!$C$64:$C$67</c:f>
              <c:numCache>
                <c:formatCode>0.00</c:formatCode>
                <c:ptCount val="4"/>
                <c:pt idx="0">
                  <c:v>7.6923076923076925</c:v>
                </c:pt>
                <c:pt idx="1">
                  <c:v>2.3076923076923079</c:v>
                </c:pt>
                <c:pt idx="2">
                  <c:v>1.5384615384615385</c:v>
                </c:pt>
                <c:pt idx="3">
                  <c:v>3.0769230769230771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AE-45EC-BEA3-E753D474D81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0266047"/>
        <c:axId val="520266527"/>
      </c:barChart>
      <c:catAx>
        <c:axId val="520266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6527"/>
        <c:crosses val="autoZero"/>
        <c:auto val="1"/>
        <c:lblAlgn val="ctr"/>
        <c:lblOffset val="100"/>
        <c:noMultiLvlLbl val="0"/>
      </c:catAx>
      <c:valAx>
        <c:axId val="52026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6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Sexe (0-18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CF-44DE-8FE6-15731CB1C9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9CF-44DE-8FE6-15731CB1C9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Rapport_Complet!$A$101:$A$102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Rapport_Complet!$C$101:$C$102</c:f>
              <c:numCache>
                <c:formatCode>0.00</c:formatCode>
                <c:ptCount val="2"/>
                <c:pt idx="0">
                  <c:v>44.186046511627907</c:v>
                </c:pt>
                <c:pt idx="1">
                  <c:v>55.813953488372093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6-4797-9C8B-AE3A02FAC0A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(0-18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Rapport_Complet!$A$117:$A$120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Rapport_Complet!$C$117:$C$120</c:f>
              <c:numCache>
                <c:formatCode>0.00</c:formatCode>
                <c:ptCount val="4"/>
                <c:pt idx="0">
                  <c:v>62.790697674418603</c:v>
                </c:pt>
                <c:pt idx="1">
                  <c:v>4.6511627906976747</c:v>
                </c:pt>
                <c:pt idx="2">
                  <c:v>30.232558139534881</c:v>
                </c:pt>
                <c:pt idx="3">
                  <c:v>2.3255813953488373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6A-4F42-ACE9-A8865AC4D01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0037087"/>
        <c:axId val="320020767"/>
      </c:barChart>
      <c:catAx>
        <c:axId val="320037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020767"/>
        <c:crosses val="autoZero"/>
        <c:auto val="1"/>
        <c:lblAlgn val="ctr"/>
        <c:lblOffset val="100"/>
        <c:noMultiLvlLbl val="0"/>
      </c:catAx>
      <c:valAx>
        <c:axId val="320020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037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Sexe (19-60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5C-456C-BDE3-69C77390DE5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5C-456C-BDE3-69C77390DE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Rapport_Complet!$A$129:$A$130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Rapport_Complet!$C$129:$C$130</c:f>
              <c:numCache>
                <c:formatCode>0.00</c:formatCode>
                <c:ptCount val="2"/>
                <c:pt idx="0">
                  <c:v>65.573770491803273</c:v>
                </c:pt>
                <c:pt idx="1">
                  <c:v>34.42622950819672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11-46F7-A69A-75ADCA305D7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(19-60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Rapport_Complet!$A$145:$A$148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Rapport_Complet!$C$145:$C$148</c:f>
              <c:numCache>
                <c:formatCode>0.00</c:formatCode>
                <c:ptCount val="4"/>
                <c:pt idx="0">
                  <c:v>65.573770491803273</c:v>
                </c:pt>
                <c:pt idx="1">
                  <c:v>19.672131147540984</c:v>
                </c:pt>
                <c:pt idx="2">
                  <c:v>8.1967213114754092</c:v>
                </c:pt>
                <c:pt idx="3">
                  <c:v>6.557377049180328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B-47EA-9981-A110B58DF9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0039967"/>
        <c:axId val="320040447"/>
      </c:barChart>
      <c:catAx>
        <c:axId val="320039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040447"/>
        <c:crosses val="autoZero"/>
        <c:auto val="1"/>
        <c:lblAlgn val="ctr"/>
        <c:lblOffset val="100"/>
        <c:noMultiLvlLbl val="0"/>
      </c:catAx>
      <c:valAx>
        <c:axId val="32004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03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Sexe (&gt;60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CE-4B04-8B6E-DB9748292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4CE-4B04-8B6E-DB97482923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Rapport_Complet!$A$157:$A$158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Rapport_Complet!$C$157:$C$158</c:f>
              <c:numCache>
                <c:formatCode>0.00</c:formatCode>
                <c:ptCount val="2"/>
                <c:pt idx="0">
                  <c:v>57.692307692307686</c:v>
                </c:pt>
                <c:pt idx="1">
                  <c:v>42.307692307692307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3-46A9-A3D3-F1B06B19FD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(&gt;60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Rapport_Complet!$A$173:$A$176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Rapport_Complet!$C$173:$C$176</c:f>
              <c:numCache>
                <c:formatCode>0.00</c:formatCode>
                <c:ptCount val="4"/>
                <c:pt idx="0">
                  <c:v>30.76923076923077</c:v>
                </c:pt>
                <c:pt idx="1">
                  <c:v>65.384615384615387</c:v>
                </c:pt>
                <c:pt idx="2">
                  <c:v>3.8461538461538463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7C-4932-B991-EAED0F4714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9339631"/>
        <c:axId val="179324271"/>
      </c:barChart>
      <c:catAx>
        <c:axId val="17933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24271"/>
        <c:crosses val="autoZero"/>
        <c:auto val="1"/>
        <c:lblAlgn val="ctr"/>
        <c:lblOffset val="100"/>
        <c:noMultiLvlLbl val="0"/>
      </c:catAx>
      <c:valAx>
        <c:axId val="17932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39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par âge (Femmes)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12F-4167-8DC0-612B25ED9D4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2F-4167-8DC0-612B25ED9D4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12F-4167-8DC0-612B25ED9D4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Rapport_Complet!$A$187:$A$189</c:f>
              <c:strCache>
                <c:ptCount val="3"/>
                <c:pt idx="0">
                  <c:v>0-18 ans</c:v>
                </c:pt>
                <c:pt idx="1">
                  <c:v>19-60 ans</c:v>
                </c:pt>
                <c:pt idx="2">
                  <c:v>&gt;60 ans</c:v>
                </c:pt>
              </c:strCache>
            </c:strRef>
          </c:cat>
          <c:val>
            <c:numRef>
              <c:f>Rapport_Complet!$C$187:$C$189</c:f>
              <c:numCache>
                <c:formatCode>0.00</c:formatCode>
                <c:ptCount val="3"/>
                <c:pt idx="0">
                  <c:v>25.675675675675674</c:v>
                </c:pt>
                <c:pt idx="1">
                  <c:v>54.054054054054056</c:v>
                </c:pt>
                <c:pt idx="2">
                  <c:v>20.27027027027027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EB-463D-8A52-8C03E24FB8C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(Femmes)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Rapport_Complet!$A$204:$A$207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Rapport_Complet!$C$204:$C$207</c:f>
              <c:numCache>
                <c:formatCode>0.00</c:formatCode>
                <c:ptCount val="4"/>
                <c:pt idx="0">
                  <c:v>58.108108108108105</c:v>
                </c:pt>
                <c:pt idx="1">
                  <c:v>28.378378378378379</c:v>
                </c:pt>
                <c:pt idx="2">
                  <c:v>9.4594594594594597</c:v>
                </c:pt>
                <c:pt idx="3">
                  <c:v>4.0540540540540544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D5-41D9-9824-083683A13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4078991"/>
        <c:axId val="2114083311"/>
      </c:barChart>
      <c:catAx>
        <c:axId val="2114078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083311"/>
        <c:crosses val="autoZero"/>
        <c:auto val="1"/>
        <c:lblAlgn val="ctr"/>
        <c:lblOffset val="100"/>
        <c:noMultiLvlLbl val="0"/>
      </c:catAx>
      <c:valAx>
        <c:axId val="211408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078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par âge (Hommes)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8DC-4F2C-B527-88C58E9FCD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8DC-4F2C-B527-88C58E9FCD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8DC-4F2C-B527-88C58E9FCDA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Rapport_Complet!$A$216:$A$218</c:f>
              <c:strCache>
                <c:ptCount val="3"/>
                <c:pt idx="0">
                  <c:v>0-18 ans</c:v>
                </c:pt>
                <c:pt idx="1">
                  <c:v>19-60 ans</c:v>
                </c:pt>
                <c:pt idx="2">
                  <c:v>&gt;60 ans</c:v>
                </c:pt>
              </c:strCache>
            </c:strRef>
          </c:cat>
          <c:val>
            <c:numRef>
              <c:f>Rapport_Complet!$C$216:$C$218</c:f>
              <c:numCache>
                <c:formatCode>0.00</c:formatCode>
                <c:ptCount val="3"/>
                <c:pt idx="0">
                  <c:v>42.857142857142854</c:v>
                </c:pt>
                <c:pt idx="1">
                  <c:v>37.5</c:v>
                </c:pt>
                <c:pt idx="2">
                  <c:v>19.642857142857142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5-4B85-B489-9C82E495596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(Hommes)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Rapport_Complet!$A$233:$A$236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Rapport_Complet!$C$233:$C$236</c:f>
              <c:numCache>
                <c:formatCode>0.00</c:formatCode>
                <c:ptCount val="4"/>
                <c:pt idx="0">
                  <c:v>57.142857142857139</c:v>
                </c:pt>
                <c:pt idx="1">
                  <c:v>17.857142857142858</c:v>
                </c:pt>
                <c:pt idx="2">
                  <c:v>21.428571428571427</c:v>
                </c:pt>
                <c:pt idx="3">
                  <c:v>3.5714285714285712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B-436F-ABFF-462FF90F6AE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3771247"/>
        <c:axId val="1743762127"/>
      </c:barChart>
      <c:catAx>
        <c:axId val="174377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62127"/>
        <c:crosses val="autoZero"/>
        <c:auto val="1"/>
        <c:lblAlgn val="ctr"/>
        <c:lblOffset val="100"/>
        <c:noMultiLvlLbl val="0"/>
      </c:catAx>
      <c:valAx>
        <c:axId val="174376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71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Signes associés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Rapport_Complet!$A$40:$A$43</c:f>
              <c:strCache>
                <c:ptCount val="4"/>
                <c:pt idx="0">
                  <c:v>Prurit</c:v>
                </c:pt>
                <c:pt idx="1">
                  <c:v>Douleur</c:v>
                </c:pt>
                <c:pt idx="2">
                  <c:v>Fièvre</c:v>
                </c:pt>
                <c:pt idx="3">
                  <c:v>Autre</c:v>
                </c:pt>
              </c:strCache>
            </c:strRef>
          </c:cat>
          <c:val>
            <c:numRef>
              <c:f>Rapport_Complet!$C$40:$C$43</c:f>
              <c:numCache>
                <c:formatCode>0.00</c:formatCode>
                <c:ptCount val="4"/>
                <c:pt idx="0">
                  <c:v>54.615384615384613</c:v>
                </c:pt>
                <c:pt idx="1">
                  <c:v>42.307692307692307</c:v>
                </c:pt>
                <c:pt idx="2">
                  <c:v>13.846153846153847</c:v>
                </c:pt>
                <c:pt idx="3">
                  <c:v>19.230769230769234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B3-452A-984C-D6AD8269201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3781327"/>
        <c:axId val="1743781807"/>
      </c:barChart>
      <c:catAx>
        <c:axId val="1743781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81807"/>
        <c:crosses val="autoZero"/>
        <c:auto val="1"/>
        <c:lblAlgn val="ctr"/>
        <c:lblOffset val="100"/>
        <c:noMultiLvlLbl val="0"/>
      </c:catAx>
      <c:valAx>
        <c:axId val="174378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81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Sexe x Tranche d'âge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Rapport_Complet!$B$241</c:f>
              <c:strCache>
                <c:ptCount val="1"/>
                <c:pt idx="0">
                  <c:v>0-18 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Rapport_Complet!$A$242:$A$243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Rapport_Complet!$B$242:$B$243</c:f>
              <c:numCache>
                <c:formatCode>General</c:formatCode>
                <c:ptCount val="2"/>
                <c:pt idx="0">
                  <c:v>19</c:v>
                </c:pt>
                <c:pt idx="1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9-4345-B254-7357D6DD8895}"/>
            </c:ext>
          </c:extLst>
        </c:ser>
        <c:ser>
          <c:idx val="1"/>
          <c:order val="1"/>
          <c:tx>
            <c:strRef>
              <c:f>Rapport_Complet!$C$241</c:f>
              <c:strCache>
                <c:ptCount val="1"/>
                <c:pt idx="0">
                  <c:v>19-60 ans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Rapport_Complet!$A$242:$A$243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Rapport_Complet!$C$242:$C$243</c:f>
              <c:numCache>
                <c:formatCode>General</c:formatCode>
                <c:ptCount val="2"/>
                <c:pt idx="0">
                  <c:v>40</c:v>
                </c:pt>
                <c:pt idx="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39-4345-B254-7357D6DD8895}"/>
            </c:ext>
          </c:extLst>
        </c:ser>
        <c:ser>
          <c:idx val="2"/>
          <c:order val="2"/>
          <c:tx>
            <c:strRef>
              <c:f>Rapport_Complet!$D$241</c:f>
              <c:strCache>
                <c:ptCount val="1"/>
                <c:pt idx="0">
                  <c:v>&gt;60 ans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Rapport_Complet!$A$242:$A$243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Rapport_Complet!$D$242:$D$243</c:f>
              <c:numCache>
                <c:formatCode>General</c:formatCode>
                <c:ptCount val="2"/>
                <c:pt idx="0">
                  <c:v>15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39-4345-B254-7357D6DD88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3771727"/>
        <c:axId val="1743766927"/>
      </c:barChart>
      <c:catAx>
        <c:axId val="174377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66927"/>
        <c:crosses val="autoZero"/>
        <c:auto val="1"/>
        <c:lblAlgn val="ctr"/>
        <c:lblOffset val="100"/>
        <c:noMultiLvlLbl val="0"/>
      </c:catAx>
      <c:valAx>
        <c:axId val="174376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71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par tranche d'âge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Rapport_Complet!$B$248</c:f>
              <c:strCache>
                <c:ptCount val="1"/>
                <c:pt idx="0">
                  <c:v>0-18 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Rapport_Complet!$A$249:$A$252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Rapport_Complet!$B$249:$B$252</c:f>
              <c:numCache>
                <c:formatCode>General</c:formatCode>
                <c:ptCount val="4"/>
                <c:pt idx="0">
                  <c:v>27</c:v>
                </c:pt>
                <c:pt idx="1">
                  <c:v>2</c:v>
                </c:pt>
                <c:pt idx="2">
                  <c:v>13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1-48E7-8C8B-88ABFDA9287B}"/>
            </c:ext>
          </c:extLst>
        </c:ser>
        <c:ser>
          <c:idx val="1"/>
          <c:order val="1"/>
          <c:tx>
            <c:strRef>
              <c:f>Rapport_Complet!$C$248</c:f>
              <c:strCache>
                <c:ptCount val="1"/>
                <c:pt idx="0">
                  <c:v>19-60 ans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Rapport_Complet!$A$249:$A$252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Rapport_Complet!$C$249:$C$252</c:f>
              <c:numCache>
                <c:formatCode>General</c:formatCode>
                <c:ptCount val="4"/>
                <c:pt idx="0">
                  <c:v>40</c:v>
                </c:pt>
                <c:pt idx="1">
                  <c:v>12</c:v>
                </c:pt>
                <c:pt idx="2">
                  <c:v>5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21-48E7-8C8B-88ABFDA9287B}"/>
            </c:ext>
          </c:extLst>
        </c:ser>
        <c:ser>
          <c:idx val="2"/>
          <c:order val="2"/>
          <c:tx>
            <c:strRef>
              <c:f>Rapport_Complet!$D$248</c:f>
              <c:strCache>
                <c:ptCount val="1"/>
                <c:pt idx="0">
                  <c:v>&gt;60 ans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D921-48E7-8C8B-88ABFDA9287B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921-48E7-8C8B-88ABFDA928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Rapport_Complet!$A$249:$A$252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Rapport_Complet!$D$249:$D$252</c:f>
              <c:numCache>
                <c:formatCode>General</c:formatCode>
                <c:ptCount val="4"/>
                <c:pt idx="0">
                  <c:v>8</c:v>
                </c:pt>
                <c:pt idx="1">
                  <c:v>17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21-48E7-8C8B-88ABFDA928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3787567"/>
        <c:axId val="1743788527"/>
      </c:barChart>
      <c:catAx>
        <c:axId val="1743787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88527"/>
        <c:crosses val="autoZero"/>
        <c:auto val="1"/>
        <c:lblAlgn val="ctr"/>
        <c:lblOffset val="100"/>
        <c:noMultiLvlLbl val="0"/>
      </c:catAx>
      <c:valAx>
        <c:axId val="174378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87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Toxidermie Sévère (Y)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Analyses_Statistiques!$A$151</c:f>
              <c:strCache>
                <c:ptCount val="1"/>
                <c:pt idx="0">
                  <c:v>Non Sévère (Y=0)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A1-4D65-A5B4-DC9CD3A5370C}"/>
              </c:ext>
            </c:extLst>
          </c:dPt>
          <c:val>
            <c:numRef>
              <c:f>Analyses_Statistiques!$B$151</c:f>
              <c:numCache>
                <c:formatCode>General</c:formatCode>
                <c:ptCount val="1"/>
                <c:pt idx="0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B-4E05-94AA-2ADFBFC9E130}"/>
            </c:ext>
          </c:extLst>
        </c:ser>
        <c:ser>
          <c:idx val="1"/>
          <c:order val="1"/>
          <c:tx>
            <c:strRef>
              <c:f>Analyses_Statistiques!$A$152</c:f>
              <c:strCache>
                <c:ptCount val="1"/>
                <c:pt idx="0">
                  <c:v>Sévère (Y=1)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9A1-4D65-A5B4-DC9CD3A5370C}"/>
              </c:ext>
            </c:extLst>
          </c:dPt>
          <c:val>
            <c:numRef>
              <c:f>Analyses_Statistiques!$B$152</c:f>
              <c:numCache>
                <c:formatCode>General</c:formatCode>
                <c:ptCount val="1"/>
                <c:pt idx="0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B-4E05-94AA-2ADFBFC9E130}"/>
            </c:ext>
          </c:extLst>
        </c:ser>
        <c:ser>
          <c:idx val="2"/>
          <c:order val="2"/>
          <c:tx>
            <c:strRef>
              <c:f>Analyses_Statistiques!$A$153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9A1-4D65-A5B4-DC9CD3A5370C}"/>
              </c:ext>
            </c:extLst>
          </c:dPt>
          <c:val>
            <c:numRef>
              <c:f>Analyses_Statistiques!$B$153</c:f>
              <c:numCache>
                <c:formatCode>General</c:formatCode>
                <c:ptCount val="1"/>
                <c:pt idx="0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B-4E05-94AA-2ADFBFC9E1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/>
              <a:t>Odds Ratios par Variable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Analyses_Statistiques!$A$202</c:f>
              <c:strCache>
                <c:ptCount val="1"/>
                <c:pt idx="0">
                  <c:v>Prise Médicamenteuse (Oui vs Non)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Analyses_Statistiques!$A$203:$A$206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B4-41F4-BAF1-371796245A2C}"/>
            </c:ext>
          </c:extLst>
        </c:ser>
        <c:ser>
          <c:idx val="1"/>
          <c:order val="1"/>
          <c:tx>
            <c:strRef>
              <c:f>Analyses_Statistiques!$B$202</c:f>
              <c:strCache>
                <c:ptCount val="1"/>
                <c:pt idx="0">
                  <c:v>17.481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Analyses_Statistiques!$B$203:$B$206</c:f>
              <c:numCache>
                <c:formatCode>General</c:formatCode>
                <c:ptCount val="4"/>
                <c:pt idx="0">
                  <c:v>8.8960000000000008</c:v>
                </c:pt>
                <c:pt idx="1">
                  <c:v>0.34200000000000003</c:v>
                </c:pt>
                <c:pt idx="2">
                  <c:v>0.48199999999999998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B4-41F4-BAF1-371796245A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87380944"/>
        <c:axId val="1390477504"/>
      </c:barChart>
      <c:catAx>
        <c:axId val="1187380944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1390477504"/>
        <c:crosses val="autoZero"/>
        <c:auto val="1"/>
        <c:lblAlgn val="ctr"/>
        <c:lblOffset val="100"/>
        <c:noMultiLvlLbl val="0"/>
      </c:catAx>
      <c:valAx>
        <c:axId val="1390477504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118738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/>
              <a:t>Distribution Toxidermie Sévère (Y)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Analyses_Statistiques!$A$151</c:f>
              <c:strCache>
                <c:ptCount val="1"/>
                <c:pt idx="0">
                  <c:v>Non Sévère (Y=0)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050-411F-A382-4635A44F36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Analyses_Statistiques!$B$151</c:f>
              <c:numCache>
                <c:formatCode>General</c:formatCode>
                <c:ptCount val="1"/>
                <c:pt idx="0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2-438F-8ED7-288056089828}"/>
            </c:ext>
          </c:extLst>
        </c:ser>
        <c:ser>
          <c:idx val="1"/>
          <c:order val="1"/>
          <c:tx>
            <c:strRef>
              <c:f>Analyses_Statistiques!$A$152</c:f>
              <c:strCache>
                <c:ptCount val="1"/>
                <c:pt idx="0">
                  <c:v>Sévère (Y=1)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050-411F-A382-4635A44F36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Analyses_Statistiques!$B$152</c:f>
              <c:numCache>
                <c:formatCode>General</c:formatCode>
                <c:ptCount val="1"/>
                <c:pt idx="0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F2-438F-8ED7-288056089828}"/>
            </c:ext>
          </c:extLst>
        </c:ser>
        <c:ser>
          <c:idx val="2"/>
          <c:order val="2"/>
          <c:tx>
            <c:strRef>
              <c:f>Analyses_Statistiques!$A$153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050-411F-A382-4635A44F36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Analyses_Statistiques!$B$153</c:f>
              <c:numCache>
                <c:formatCode>General</c:formatCode>
                <c:ptCount val="1"/>
                <c:pt idx="0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F2-438F-8ED7-28805608982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/>
              <a:t>Odds Ratios par Variable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Analyses_Statistiques!$A$202</c:f>
              <c:strCache>
                <c:ptCount val="1"/>
                <c:pt idx="0">
                  <c:v>Prise Médicamenteuse (Oui vs Non)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Analyses_Statistiques!$A$203:$A$206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2-4FDC-99FA-0A421DBE00FE}"/>
            </c:ext>
          </c:extLst>
        </c:ser>
        <c:ser>
          <c:idx val="1"/>
          <c:order val="1"/>
          <c:tx>
            <c:strRef>
              <c:f>Analyses_Statistiques!$B$202</c:f>
              <c:strCache>
                <c:ptCount val="1"/>
                <c:pt idx="0">
                  <c:v>17.481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Analyses_Statistiques!$B$203:$B$206</c:f>
              <c:numCache>
                <c:formatCode>General</c:formatCode>
                <c:ptCount val="4"/>
                <c:pt idx="0">
                  <c:v>8.8960000000000008</c:v>
                </c:pt>
                <c:pt idx="1">
                  <c:v>0.34200000000000003</c:v>
                </c:pt>
                <c:pt idx="2">
                  <c:v>0.48199999999999998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2-4FDC-99FA-0A421DBE00F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02476768"/>
        <c:axId val="1186798160"/>
      </c:barChart>
      <c:catAx>
        <c:axId val="1402476768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1186798160"/>
        <c:crosses val="autoZero"/>
        <c:auto val="1"/>
        <c:lblAlgn val="ctr"/>
        <c:lblOffset val="100"/>
        <c:noMultiLvlLbl val="0"/>
      </c:catAx>
      <c:valAx>
        <c:axId val="118679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1402476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/>
              <a:t>Surface Corporelle Moyenne par Sévérité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Analyses_Statistiques!$A$221</c:f>
              <c:strCache>
                <c:ptCount val="1"/>
                <c:pt idx="0">
                  <c:v>Moyenne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Analyses_Statistiques!$B$220:$D$220</c:f>
              <c:strCache>
                <c:ptCount val="3"/>
                <c:pt idx="0">
                  <c:v>Y=0 (Non sévère)</c:v>
                </c:pt>
                <c:pt idx="1">
                  <c:v>Y=1 (Sévère)</c:v>
                </c:pt>
                <c:pt idx="2">
                  <c:v>Total</c:v>
                </c:pt>
              </c:strCache>
            </c:strRef>
          </c:cat>
          <c:val>
            <c:numRef>
              <c:f>Analyses_Statistiques!$B$221:$D$221</c:f>
              <c:numCache>
                <c:formatCode>General</c:formatCode>
                <c:ptCount val="3"/>
                <c:pt idx="0">
                  <c:v>20.18</c:v>
                </c:pt>
                <c:pt idx="1">
                  <c:v>37.54</c:v>
                </c:pt>
                <c:pt idx="2">
                  <c:v>24.85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4E-44CA-8245-96D8DF23E3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86797200"/>
        <c:axId val="1186797680"/>
      </c:barChart>
      <c:catAx>
        <c:axId val="118679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1186797680"/>
        <c:crosses val="autoZero"/>
        <c:auto val="1"/>
        <c:lblAlgn val="ctr"/>
        <c:lblOffset val="100"/>
        <c:noMultiLvlLbl val="0"/>
      </c:catAx>
      <c:valAx>
        <c:axId val="118679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118679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/>
              <a:t>Groupe d'Âge x Toxidermie Sévère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Analyses_Statistiques!$A$188</c:f>
              <c:strCache>
                <c:ptCount val="1"/>
                <c:pt idx="0">
                  <c:v>0-18 ans (0)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Analyses_Statistiques!$B$187:$D$187</c:f>
              <c:strCache>
                <c:ptCount val="3"/>
                <c:pt idx="0">
                  <c:v>Y=0 (Non sévère)</c:v>
                </c:pt>
                <c:pt idx="1">
                  <c:v>Y=1 (Sévère)</c:v>
                </c:pt>
                <c:pt idx="2">
                  <c:v>Total</c:v>
                </c:pt>
              </c:strCache>
            </c:strRef>
          </c:cat>
          <c:val>
            <c:numRef>
              <c:f>Analyses_Statistiques!$B$188:$D$188</c:f>
              <c:numCache>
                <c:formatCode>General</c:formatCode>
                <c:ptCount val="3"/>
                <c:pt idx="0">
                  <c:v>24</c:v>
                </c:pt>
                <c:pt idx="1">
                  <c:v>19</c:v>
                </c:pt>
                <c:pt idx="2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83-4589-908B-8F6C28A3C3DA}"/>
            </c:ext>
          </c:extLst>
        </c:ser>
        <c:ser>
          <c:idx val="1"/>
          <c:order val="1"/>
          <c:tx>
            <c:strRef>
              <c:f>Analyses_Statistiques!$A$189</c:f>
              <c:strCache>
                <c:ptCount val="1"/>
                <c:pt idx="0">
                  <c:v>19-60 ans (1)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Analyses_Statistiques!$B$187:$D$187</c:f>
              <c:strCache>
                <c:ptCount val="3"/>
                <c:pt idx="0">
                  <c:v>Y=0 (Non sévère)</c:v>
                </c:pt>
                <c:pt idx="1">
                  <c:v>Y=1 (Sévère)</c:v>
                </c:pt>
                <c:pt idx="2">
                  <c:v>Total</c:v>
                </c:pt>
              </c:strCache>
            </c:strRef>
          </c:cat>
          <c:val>
            <c:numRef>
              <c:f>Analyses_Statistiques!$B$189:$D$189</c:f>
              <c:numCache>
                <c:formatCode>General</c:formatCode>
                <c:ptCount val="3"/>
                <c:pt idx="0">
                  <c:v>48</c:v>
                </c:pt>
                <c:pt idx="1">
                  <c:v>13</c:v>
                </c:pt>
                <c:pt idx="2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83-4589-908B-8F6C28A3C3DA}"/>
            </c:ext>
          </c:extLst>
        </c:ser>
        <c:ser>
          <c:idx val="2"/>
          <c:order val="2"/>
          <c:tx>
            <c:strRef>
              <c:f>Analyses_Statistiques!$A$190</c:f>
              <c:strCache>
                <c:ptCount val="1"/>
                <c:pt idx="0">
                  <c:v>&gt;60 ans (2)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Analyses_Statistiques!$B$187:$D$187</c:f>
              <c:strCache>
                <c:ptCount val="3"/>
                <c:pt idx="0">
                  <c:v>Y=0 (Non sévère)</c:v>
                </c:pt>
                <c:pt idx="1">
                  <c:v>Y=1 (Sévère)</c:v>
                </c:pt>
                <c:pt idx="2">
                  <c:v>Total</c:v>
                </c:pt>
              </c:strCache>
            </c:strRef>
          </c:cat>
          <c:val>
            <c:numRef>
              <c:f>Analyses_Statistiques!$B$190:$D$190</c:f>
              <c:numCache>
                <c:formatCode>General</c:formatCode>
                <c:ptCount val="3"/>
                <c:pt idx="0">
                  <c:v>23</c:v>
                </c:pt>
                <c:pt idx="1">
                  <c:v>3</c:v>
                </c:pt>
                <c:pt idx="2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83-4589-908B-8F6C28A3C3DA}"/>
            </c:ext>
          </c:extLst>
        </c:ser>
        <c:ser>
          <c:idx val="3"/>
          <c:order val="3"/>
          <c:tx>
            <c:strRef>
              <c:f>Analyses_Statistiques!$A$191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Analyses_Statistiques!$B$187:$D$187</c:f>
              <c:strCache>
                <c:ptCount val="3"/>
                <c:pt idx="0">
                  <c:v>Y=0 (Non sévère)</c:v>
                </c:pt>
                <c:pt idx="1">
                  <c:v>Y=1 (Sévère)</c:v>
                </c:pt>
                <c:pt idx="2">
                  <c:v>Total</c:v>
                </c:pt>
              </c:strCache>
            </c:strRef>
          </c:cat>
          <c:val>
            <c:numRef>
              <c:f>Analyses_Statistiques!$B$191:$D$191</c:f>
              <c:numCache>
                <c:formatCode>General</c:formatCode>
                <c:ptCount val="3"/>
                <c:pt idx="0">
                  <c:v>95</c:v>
                </c:pt>
                <c:pt idx="1">
                  <c:v>35</c:v>
                </c:pt>
                <c:pt idx="2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83-4589-908B-8F6C28A3C3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00537248"/>
        <c:axId val="1400534368"/>
      </c:barChart>
      <c:catAx>
        <c:axId val="140053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1400534368"/>
        <c:crosses val="autoZero"/>
        <c:auto val="1"/>
        <c:lblAlgn val="ctr"/>
        <c:lblOffset val="100"/>
        <c:noMultiLvlLbl val="0"/>
      </c:catAx>
      <c:valAx>
        <c:axId val="140053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140053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/>
              <a:t>Odds Ratios (Régression Logistique)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Analyses_Statistiques!$A$201:$A$205</c:f>
              <c:strCache>
                <c:ptCount val="5"/>
                <c:pt idx="0">
                  <c:v>Sexe (Homme vs Femme)</c:v>
                </c:pt>
                <c:pt idx="1">
                  <c:v>Prise Médicamenteuse (Oui vs Non)</c:v>
                </c:pt>
                <c:pt idx="2">
                  <c:v>Type Atteinte (Cut+Muq vs Cut seule)</c:v>
                </c:pt>
                <c:pt idx="3">
                  <c:v>Âge (0-18 vs 19-60 ans)</c:v>
                </c:pt>
                <c:pt idx="4">
                  <c:v>Âge (&gt;60 vs 19-60 ans)</c:v>
                </c:pt>
              </c:strCache>
            </c:strRef>
          </c:cat>
          <c:val>
            <c:numRef>
              <c:f>Analyses_Statistiques!$B$201:$B$205</c:f>
              <c:numCache>
                <c:formatCode>General</c:formatCode>
                <c:ptCount val="5"/>
                <c:pt idx="0">
                  <c:v>1.5880000000000001</c:v>
                </c:pt>
                <c:pt idx="1">
                  <c:v>17.481000000000002</c:v>
                </c:pt>
                <c:pt idx="2">
                  <c:v>8.8960000000000008</c:v>
                </c:pt>
                <c:pt idx="3">
                  <c:v>0.34200000000000003</c:v>
                </c:pt>
                <c:pt idx="4">
                  <c:v>0.48199999999999998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8A-4122-8028-6DF6E837AC0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92648992"/>
        <c:axId val="1192651872"/>
      </c:barChart>
      <c:catAx>
        <c:axId val="11926489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1192651872"/>
        <c:crosses val="autoZero"/>
        <c:auto val="1"/>
        <c:lblAlgn val="ctr"/>
        <c:lblOffset val="100"/>
        <c:noMultiLvlLbl val="0"/>
      </c:catAx>
      <c:valAx>
        <c:axId val="11926518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r>
                  <a:rPr lang="en-US"/>
                  <a:t>Odds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1192648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/>
              <a:t>Odds Ratios (Régression Logistique)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Analyses_Statistiques!$A$201:$A$205</c:f>
              <c:strCache>
                <c:ptCount val="5"/>
                <c:pt idx="0">
                  <c:v>Sexe (Homme vs Femme)</c:v>
                </c:pt>
                <c:pt idx="1">
                  <c:v>Prise Médicamenteuse (Oui vs Non)</c:v>
                </c:pt>
                <c:pt idx="2">
                  <c:v>Type Atteinte (Cut+Muq vs Cut seule)</c:v>
                </c:pt>
                <c:pt idx="3">
                  <c:v>Âge (0-18 vs 19-60 ans)</c:v>
                </c:pt>
                <c:pt idx="4">
                  <c:v>Âge (&gt;60 vs 19-60 ans)</c:v>
                </c:pt>
              </c:strCache>
            </c:strRef>
          </c:cat>
          <c:val>
            <c:numRef>
              <c:f>Analyses_Statistiques!$B$201:$B$205</c:f>
              <c:numCache>
                <c:formatCode>General</c:formatCode>
                <c:ptCount val="5"/>
                <c:pt idx="0">
                  <c:v>1.5880000000000001</c:v>
                </c:pt>
                <c:pt idx="1">
                  <c:v>17.481000000000002</c:v>
                </c:pt>
                <c:pt idx="2">
                  <c:v>8.8960000000000008</c:v>
                </c:pt>
                <c:pt idx="3">
                  <c:v>0.34200000000000003</c:v>
                </c:pt>
                <c:pt idx="4">
                  <c:v>0.48199999999999998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81-461E-B9BB-C98921B8A70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88268576"/>
        <c:axId val="988253696"/>
      </c:barChart>
      <c:catAx>
        <c:axId val="988268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988253696"/>
        <c:crosses val="autoZero"/>
        <c:auto val="1"/>
        <c:lblAlgn val="ctr"/>
        <c:lblOffset val="100"/>
        <c:noMultiLvlLbl val="0"/>
      </c:catAx>
      <c:valAx>
        <c:axId val="988253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988268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/>
              <a:t>Corrélations avec Toxidermie Sévère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Analyses_Statistiques!$K$211:$K$214</c:f>
              <c:strCache>
                <c:ptCount val="4"/>
                <c:pt idx="0">
                  <c:v>Age</c:v>
                </c:pt>
                <c:pt idx="1">
                  <c:v>Sexe</c:v>
                </c:pt>
                <c:pt idx="2">
                  <c:v>Prise Méd</c:v>
                </c:pt>
                <c:pt idx="3">
                  <c:v>Surface</c:v>
                </c:pt>
              </c:strCache>
            </c:strRef>
          </c:cat>
          <c:val>
            <c:numRef>
              <c:f>Analyses_Statistiques!$L$211:$L$214</c:f>
              <c:numCache>
                <c:formatCode>General</c:formatCode>
                <c:ptCount val="4"/>
                <c:pt idx="0">
                  <c:v>-0.318</c:v>
                </c:pt>
                <c:pt idx="1">
                  <c:v>0.10199999999999999</c:v>
                </c:pt>
                <c:pt idx="2">
                  <c:v>0.47499999999999998</c:v>
                </c:pt>
                <c:pt idx="3">
                  <c:v>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DF-4927-A212-FC144A9809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02546272"/>
        <c:axId val="1402546752"/>
      </c:barChart>
      <c:catAx>
        <c:axId val="1402546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1402546752"/>
        <c:crosses val="autoZero"/>
        <c:auto val="1"/>
        <c:lblAlgn val="ctr"/>
        <c:lblOffset val="100"/>
        <c:noMultiLvlLbl val="0"/>
      </c:catAx>
      <c:valAx>
        <c:axId val="1402546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1402546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/>
              <a:t>Odds Ratios - Facteurs de Risque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Regression_Python!$B$189</c:f>
              <c:strCache>
                <c:ptCount val="1"/>
                <c:pt idx="0">
                  <c:v>Odds Ratio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Regression_Python!$A$190:$A$194</c:f>
              <c:strCache>
                <c:ptCount val="5"/>
                <c:pt idx="0">
                  <c:v>Prise Med</c:v>
                </c:pt>
                <c:pt idx="1">
                  <c:v>Type Atteinte</c:v>
                </c:pt>
                <c:pt idx="2">
                  <c:v>Sexe</c:v>
                </c:pt>
                <c:pt idx="3">
                  <c:v>Surface</c:v>
                </c:pt>
                <c:pt idx="4">
                  <c:v>Age</c:v>
                </c:pt>
              </c:strCache>
            </c:strRef>
          </c:cat>
          <c:val>
            <c:numRef>
              <c:f>Regression_Python!$B$190:$B$194</c:f>
              <c:numCache>
                <c:formatCode>General</c:formatCode>
                <c:ptCount val="5"/>
                <c:pt idx="0">
                  <c:v>17.481481481481481</c:v>
                </c:pt>
                <c:pt idx="1">
                  <c:v>1.3676470588235294</c:v>
                </c:pt>
                <c:pt idx="2">
                  <c:v>1.588235294117647</c:v>
                </c:pt>
                <c:pt idx="3">
                  <c:v>1.018</c:v>
                </c:pt>
                <c:pt idx="4">
                  <c:v>0.97499999999999998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8B-42D8-8467-D8FF618688C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88880992"/>
        <c:axId val="1188883392"/>
      </c:barChart>
      <c:catAx>
        <c:axId val="11888809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1188883392"/>
        <c:crosses val="autoZero"/>
        <c:auto val="1"/>
        <c:lblAlgn val="ctr"/>
        <c:lblOffset val="100"/>
        <c:noMultiLvlLbl val="0"/>
      </c:catAx>
      <c:valAx>
        <c:axId val="1188883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1188880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/>
              <a:t>Distribution Y (Toxidermie Severe)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Regression_Python!$B$197</c:f>
              <c:strCache>
                <c:ptCount val="1"/>
                <c:pt idx="0">
                  <c:v>Effectif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5CD-413C-8045-72DE611090D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5CD-413C-8045-72DE611090D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Regression_Python!$A$198:$A$199</c:f>
              <c:strCache>
                <c:ptCount val="2"/>
                <c:pt idx="0">
                  <c:v>Non Severe</c:v>
                </c:pt>
                <c:pt idx="1">
                  <c:v>Severe</c:v>
                </c:pt>
              </c:strCache>
            </c:strRef>
          </c:cat>
          <c:val>
            <c:numRef>
              <c:f>Regression_Python!$B$198:$B$199</c:f>
              <c:numCache>
                <c:formatCode>General</c:formatCode>
                <c:ptCount val="2"/>
                <c:pt idx="0">
                  <c:v>95</c:v>
                </c:pt>
                <c:pt idx="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8A-4F80-BDC5-4DCD5ED0DF8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/>
              <a:t>Répartition par catégorie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Rapport_Etude!$Q$8</c:f>
              <c:strCache>
                <c:ptCount val="1"/>
                <c:pt idx="0">
                  <c:v>Effectif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Rapport_Etude!$P$9:$P$12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Rapport_Etude!$Q$9:$Q$12</c:f>
              <c:numCache>
                <c:formatCode>General</c:formatCode>
                <c:ptCount val="4"/>
                <c:pt idx="0">
                  <c:v>75</c:v>
                </c:pt>
                <c:pt idx="1">
                  <c:v>31</c:v>
                </c:pt>
                <c:pt idx="2">
                  <c:v>19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54-4B42-8D95-5E8F06407D7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/>
              <a:t>Répartition par sévérité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Rapport_Etude!$Q$19</c:f>
              <c:strCache>
                <c:ptCount val="1"/>
                <c:pt idx="0">
                  <c:v>Effectif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Rapport_Etude!$P$20:$P$21</c:f>
              <c:strCache>
                <c:ptCount val="2"/>
                <c:pt idx="0">
                  <c:v>Non Sévère</c:v>
                </c:pt>
                <c:pt idx="1">
                  <c:v>Sévère</c:v>
                </c:pt>
              </c:strCache>
            </c:strRef>
          </c:cat>
          <c:val>
            <c:numRef>
              <c:f>Rapport_Etude!$Q$20:$Q$21</c:f>
              <c:numCache>
                <c:formatCode>General</c:formatCode>
                <c:ptCount val="2"/>
                <c:pt idx="0">
                  <c:v>95</c:v>
                </c:pt>
                <c:pt idx="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CA-4875-8DEC-09644E2927A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/>
              <a:t>Répartition par tranche d'âge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Rapport_Etude!$Q$14</c:f>
              <c:strCache>
                <c:ptCount val="1"/>
                <c:pt idx="0">
                  <c:v>Effectif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Rapport_Etude!$P$15:$P$17</c:f>
              <c:strCache>
                <c:ptCount val="3"/>
                <c:pt idx="0">
                  <c:v>0-18 ans</c:v>
                </c:pt>
                <c:pt idx="1">
                  <c:v>19-60 ans</c:v>
                </c:pt>
                <c:pt idx="2">
                  <c:v>&gt;60 ans</c:v>
                </c:pt>
              </c:strCache>
            </c:strRef>
          </c:cat>
          <c:val>
            <c:numRef>
              <c:f>Rapport_Etude!$Q$15:$Q$17</c:f>
              <c:numCache>
                <c:formatCode>General</c:formatCode>
                <c:ptCount val="3"/>
                <c:pt idx="0">
                  <c:v>43</c:v>
                </c:pt>
                <c:pt idx="1">
                  <c:v>61</c:v>
                </c:pt>
                <c:pt idx="2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60-420D-A676-7851EC6326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321733</xdr:colOff>
      <xdr:row>3</xdr:row>
      <xdr:rowOff>16933</xdr:rowOff>
    </xdr:from>
    <xdr:to>
      <xdr:col>16</xdr:col>
      <xdr:colOff>321733</xdr:colOff>
      <xdr:row>18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0894C-E394-40DD-B62E-CAF474A46C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110067</xdr:colOff>
      <xdr:row>58</xdr:row>
      <xdr:rowOff>135467</xdr:rowOff>
    </xdr:from>
    <xdr:to>
      <xdr:col>11</xdr:col>
      <xdr:colOff>110067</xdr:colOff>
      <xdr:row>74</xdr:row>
      <xdr:rowOff>135467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D48016-7EDB-A27A-C55D-4DFBED3002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19</xdr:row>
      <xdr:rowOff>0</xdr:rowOff>
    </xdr:from>
    <xdr:to>
      <xdr:col>10</xdr:col>
      <xdr:colOff>677333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4FCED6-F2C9-EC02-8127-C600423C9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143934</xdr:colOff>
      <xdr:row>26</xdr:row>
      <xdr:rowOff>127000</xdr:rowOff>
    </xdr:from>
    <xdr:to>
      <xdr:col>18</xdr:col>
      <xdr:colOff>143933</xdr:colOff>
      <xdr:row>42</xdr:row>
      <xdr:rowOff>127000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A460392-2131-A19C-2454-1C1E52BF4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85</xdr:row>
      <xdr:rowOff>186266</xdr:rowOff>
    </xdr:from>
    <xdr:to>
      <xdr:col>10</xdr:col>
      <xdr:colOff>677333</xdr:colOff>
      <xdr:row>101</xdr:row>
      <xdr:rowOff>186266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9F8C0F8-50C4-B929-3CD7-F5B2F1373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228600</xdr:colOff>
      <xdr:row>78</xdr:row>
      <xdr:rowOff>160866</xdr:rowOff>
    </xdr:from>
    <xdr:to>
      <xdr:col>18</xdr:col>
      <xdr:colOff>228599</xdr:colOff>
      <xdr:row>94</xdr:row>
      <xdr:rowOff>110067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A3751A-CC61-DC65-0644-DE37391C9D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474133</xdr:colOff>
      <xdr:row>44</xdr:row>
      <xdr:rowOff>101600</xdr:rowOff>
    </xdr:from>
    <xdr:to>
      <xdr:col>18</xdr:col>
      <xdr:colOff>474132</xdr:colOff>
      <xdr:row>60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627CF73-32AA-9C75-2501-40379A2303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406401</xdr:colOff>
      <xdr:row>61</xdr:row>
      <xdr:rowOff>110067</xdr:rowOff>
    </xdr:from>
    <xdr:to>
      <xdr:col>18</xdr:col>
      <xdr:colOff>406400</xdr:colOff>
      <xdr:row>77</xdr:row>
      <xdr:rowOff>110067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00F5B2-4F75-DEEA-8945-6252C6170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127000</xdr:colOff>
      <xdr:row>96</xdr:row>
      <xdr:rowOff>67735</xdr:rowOff>
    </xdr:from>
    <xdr:to>
      <xdr:col>18</xdr:col>
      <xdr:colOff>126999</xdr:colOff>
      <xdr:row>112</xdr:row>
      <xdr:rowOff>67735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F2B803A-3E7F-076A-D838-470AF10B50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220134</xdr:colOff>
      <xdr:row>114</xdr:row>
      <xdr:rowOff>118533</xdr:rowOff>
    </xdr:from>
    <xdr:to>
      <xdr:col>18</xdr:col>
      <xdr:colOff>220133</xdr:colOff>
      <xdr:row>130</xdr:row>
      <xdr:rowOff>118533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2D5530-9CFC-4782-57D6-B78C71D01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125</xdr:row>
      <xdr:rowOff>186266</xdr:rowOff>
    </xdr:from>
    <xdr:to>
      <xdr:col>10</xdr:col>
      <xdr:colOff>677333</xdr:colOff>
      <xdr:row>142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C0A6D46-4654-61CC-EBD6-B1CAD395EA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660400</xdr:colOff>
      <xdr:row>141</xdr:row>
      <xdr:rowOff>8465</xdr:rowOff>
    </xdr:from>
    <xdr:to>
      <xdr:col>17</xdr:col>
      <xdr:colOff>660400</xdr:colOff>
      <xdr:row>157</xdr:row>
      <xdr:rowOff>8465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C917DAE-A223-3E09-ECD0-C72E1C4D5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154</xdr:row>
      <xdr:rowOff>0</xdr:rowOff>
    </xdr:from>
    <xdr:to>
      <xdr:col>10</xdr:col>
      <xdr:colOff>677333</xdr:colOff>
      <xdr:row>170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FEE54B3-7006-F23E-4FD2-1063B699C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321733</xdr:colOff>
      <xdr:row>167</xdr:row>
      <xdr:rowOff>160868</xdr:rowOff>
    </xdr:from>
    <xdr:to>
      <xdr:col>18</xdr:col>
      <xdr:colOff>321732</xdr:colOff>
      <xdr:row>183</xdr:row>
      <xdr:rowOff>160868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F47EF99-CE51-4702-90B0-A9FEBE095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183</xdr:row>
      <xdr:rowOff>186265</xdr:rowOff>
    </xdr:from>
    <xdr:to>
      <xdr:col>10</xdr:col>
      <xdr:colOff>677333</xdr:colOff>
      <xdr:row>199</xdr:row>
      <xdr:rowOff>186266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50B4CE7-D19F-D9FF-9BE4-1DE876F767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11</xdr:col>
      <xdr:colOff>474133</xdr:colOff>
      <xdr:row>196</xdr:row>
      <xdr:rowOff>25400</xdr:rowOff>
    </xdr:from>
    <xdr:to>
      <xdr:col>18</xdr:col>
      <xdr:colOff>474132</xdr:colOff>
      <xdr:row>212</xdr:row>
      <xdr:rowOff>25400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5A089D4-8F1C-D32A-4F91-4676A37215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</xdr:col>
      <xdr:colOff>0</xdr:colOff>
      <xdr:row>212</xdr:row>
      <xdr:rowOff>186265</xdr:rowOff>
    </xdr:from>
    <xdr:to>
      <xdr:col>10</xdr:col>
      <xdr:colOff>677333</xdr:colOff>
      <xdr:row>228</xdr:row>
      <xdr:rowOff>186266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FCD7996-9D02-2ECD-4F69-D03A9D275C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11</xdr:col>
      <xdr:colOff>381000</xdr:colOff>
      <xdr:row>224</xdr:row>
      <xdr:rowOff>101601</xdr:rowOff>
    </xdr:from>
    <xdr:to>
      <xdr:col>18</xdr:col>
      <xdr:colOff>380999</xdr:colOff>
      <xdr:row>240</xdr:row>
      <xdr:rowOff>101602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092B9F3-7910-6CFC-7D84-62A703559C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</xdr:col>
      <xdr:colOff>93134</xdr:colOff>
      <xdr:row>39</xdr:row>
      <xdr:rowOff>143934</xdr:rowOff>
    </xdr:from>
    <xdr:to>
      <xdr:col>11</xdr:col>
      <xdr:colOff>93134</xdr:colOff>
      <xdr:row>55</xdr:row>
      <xdr:rowOff>143935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508F2C4-B0D3-7E67-36BC-A54B07F79D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12</xdr:col>
      <xdr:colOff>262467</xdr:colOff>
      <xdr:row>242</xdr:row>
      <xdr:rowOff>50799</xdr:rowOff>
    </xdr:from>
    <xdr:to>
      <xdr:col>19</xdr:col>
      <xdr:colOff>262467</xdr:colOff>
      <xdr:row>258</xdr:row>
      <xdr:rowOff>50800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1865214E-C332-2759-CF7F-1330A146D3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</xdr:col>
      <xdr:colOff>194734</xdr:colOff>
      <xdr:row>242</xdr:row>
      <xdr:rowOff>118533</xdr:rowOff>
    </xdr:from>
    <xdr:to>
      <xdr:col>12</xdr:col>
      <xdr:colOff>194733</xdr:colOff>
      <xdr:row>258</xdr:row>
      <xdr:rowOff>118534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CF1984FF-D4E6-3082-92C8-A0F8392CEA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149</xdr:row>
      <xdr:rowOff>0</xdr:rowOff>
    </xdr:from>
    <xdr:to>
      <xdr:col>11</xdr:col>
      <xdr:colOff>0</xdr:colOff>
      <xdr:row>163</xdr:row>
      <xdr:rowOff>169333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31F5CC-22C6-3BE0-87AF-D0D4A71E30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550333</xdr:colOff>
      <xdr:row>217</xdr:row>
      <xdr:rowOff>59266</xdr:rowOff>
    </xdr:from>
    <xdr:to>
      <xdr:col>19</xdr:col>
      <xdr:colOff>592668</xdr:colOff>
      <xdr:row>234</xdr:row>
      <xdr:rowOff>71965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D3276C-45C4-FC9B-38F6-419DA54801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149</xdr:row>
      <xdr:rowOff>0</xdr:rowOff>
    </xdr:from>
    <xdr:to>
      <xdr:col>11</xdr:col>
      <xdr:colOff>0</xdr:colOff>
      <xdr:row>163</xdr:row>
      <xdr:rowOff>169333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84F5F63-FC24-FFC1-FE23-38BD79F193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444499</xdr:colOff>
      <xdr:row>197</xdr:row>
      <xdr:rowOff>148167</xdr:rowOff>
    </xdr:from>
    <xdr:to>
      <xdr:col>24</xdr:col>
      <xdr:colOff>486835</xdr:colOff>
      <xdr:row>214</xdr:row>
      <xdr:rowOff>135467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89D95CE-72A7-2586-6BE9-07D920555A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217</xdr:row>
      <xdr:rowOff>0</xdr:rowOff>
    </xdr:from>
    <xdr:to>
      <xdr:col>11</xdr:col>
      <xdr:colOff>381000</xdr:colOff>
      <xdr:row>232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39888A-7822-C147-51CB-7444B86980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33867</xdr:colOff>
      <xdr:row>260</xdr:row>
      <xdr:rowOff>25402</xdr:rowOff>
    </xdr:from>
    <xdr:to>
      <xdr:col>14</xdr:col>
      <xdr:colOff>76200</xdr:colOff>
      <xdr:row>275</xdr:row>
      <xdr:rowOff>8469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699CAE5-6FFA-25A7-FA0B-0AB2EB5F90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656166</xdr:colOff>
      <xdr:row>188</xdr:row>
      <xdr:rowOff>148167</xdr:rowOff>
    </xdr:from>
    <xdr:to>
      <xdr:col>15</xdr:col>
      <xdr:colOff>317499</xdr:colOff>
      <xdr:row>207</xdr:row>
      <xdr:rowOff>148167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BB7826B-2F24-4C51-10CE-5E28222640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84666</xdr:colOff>
      <xdr:row>195</xdr:row>
      <xdr:rowOff>169334</xdr:rowOff>
    </xdr:from>
    <xdr:to>
      <xdr:col>33</xdr:col>
      <xdr:colOff>423334</xdr:colOff>
      <xdr:row>214</xdr:row>
      <xdr:rowOff>169334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B53FDA-F6F9-A2FD-FF86-3AD5965C2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110067</xdr:colOff>
      <xdr:row>244</xdr:row>
      <xdr:rowOff>110066</xdr:rowOff>
    </xdr:from>
    <xdr:to>
      <xdr:col>14</xdr:col>
      <xdr:colOff>491067</xdr:colOff>
      <xdr:row>258</xdr:row>
      <xdr:rowOff>25399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3526E55-FA4C-6331-DA28-C46A33A6F4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203200</xdr:colOff>
      <xdr:row>187</xdr:row>
      <xdr:rowOff>169335</xdr:rowOff>
    </xdr:from>
    <xdr:to>
      <xdr:col>16</xdr:col>
      <xdr:colOff>228600</xdr:colOff>
      <xdr:row>202</xdr:row>
      <xdr:rowOff>169335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11703C-BF8E-5F57-B998-104E93087B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59267</xdr:colOff>
      <xdr:row>203</xdr:row>
      <xdr:rowOff>110065</xdr:rowOff>
    </xdr:from>
    <xdr:to>
      <xdr:col>12</xdr:col>
      <xdr:colOff>59267</xdr:colOff>
      <xdr:row>218</xdr:row>
      <xdr:rowOff>110065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0383EB-66CC-DB3D-7633-B0D2B4EF71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262466</xdr:colOff>
      <xdr:row>46</xdr:row>
      <xdr:rowOff>25399</xdr:rowOff>
    </xdr:from>
    <xdr:to>
      <xdr:col>11</xdr:col>
      <xdr:colOff>304799</xdr:colOff>
      <xdr:row>63</xdr:row>
      <xdr:rowOff>160866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A8D754D-2E0B-A96D-318A-AED4A6472C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228599</xdr:colOff>
      <xdr:row>63</xdr:row>
      <xdr:rowOff>169333</xdr:rowOff>
    </xdr:from>
    <xdr:to>
      <xdr:col>11</xdr:col>
      <xdr:colOff>270932</xdr:colOff>
      <xdr:row>81</xdr:row>
      <xdr:rowOff>118533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D60B10E-3758-394D-9B2A-68BC2E95C1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30017</xdr:colOff>
      <xdr:row>45</xdr:row>
      <xdr:rowOff>183187</xdr:rowOff>
    </xdr:from>
    <xdr:to>
      <xdr:col>22</xdr:col>
      <xdr:colOff>72351</xdr:colOff>
      <xdr:row>63</xdr:row>
      <xdr:rowOff>134698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CC61DCF-378E-ECF7-C810-55C42EB231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225D3D7-E587-4CA0-939B-3359C050F9E0}" autoFormatId="16" applyNumberFormats="0" applyBorderFormats="0" applyFontFormats="0" applyPatternFormats="0" applyAlignmentFormats="0" applyWidthHeightFormats="0">
  <queryTableRefresh nextId="23">
    <queryTableFields count="22">
      <queryTableField id="1" name="_id" tableColumnId="1"/>
      <queryTableField id="2" name="start" tableColumnId="2"/>
      <queryTableField id="3" name="end" tableColumnId="3"/>
      <queryTableField id="4" name="today" tableColumnId="4"/>
      <queryTableField id="5" name="Âge (en mois)" tableColumnId="5"/>
      <queryTableField id="6" name="age_years_calc" tableColumnId="6"/>
      <queryTableField id="7" name="Sexe" tableColumnId="7"/>
      <queryTableField id="8" name="Profession" tableColumnId="8"/>
      <queryTableField id="9" name="Date de consultation" tableColumnId="9"/>
      <queryTableField id="10" name="Délai de consultation (en jours)" tableColumnId="10"/>
      <queryTableField id="11" name="Notion de prise médicamenteuse" tableColumnId="11"/>
      <queryTableField id="12" name="Préciser le ou les médicament(s)" tableColumnId="12"/>
      <queryTableField id="13" name="Type d'atteinte" tableColumnId="13"/>
      <queryTableField id="14" name="Surface corporelle atteinte" tableColumnId="14"/>
      <queryTableField id="15" name="Signes associés" tableColumnId="15"/>
      <queryTableField id="16" name="Préciser l'autre signe" tableColumnId="16"/>
      <queryTableField id="17" name="Catégorie de la dermatose" tableColumnId="17"/>
      <queryTableField id="18" name="Dermatose Auto-immune" tableColumnId="18"/>
      <queryTableField id="19" name="Dermatose Infectieuse" tableColumnId="19"/>
      <queryTableField id="20" name="Toxidermie" tableColumnId="20"/>
      <queryTableField id="21" name="Dermatose Immunoallergique" tableColumnId="21"/>
      <queryTableField id="22" name="Préciser l'autre diagnostic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38C1E1-2159-4388-B34E-D78BF2D367EE}" name="Dermatoses_Bulleuses_CNHU_HKM" displayName="Dermatoses_Bulleuses_CNHU_HKM" ref="A1:V131" tableType="queryTable" totalsRowShown="0">
  <autoFilter ref="A1:V131" xr:uid="{0E38C1E1-2159-4388-B34E-D78BF2D367EE}"/>
  <tableColumns count="22">
    <tableColumn id="1" xr3:uid="{889AEB71-9A91-4956-9D78-DA6109086436}" uniqueName="1" name="_id" queryTableFieldId="1"/>
    <tableColumn id="2" xr3:uid="{F5241D6C-7DE5-42A9-8A25-98BD8A23670C}" uniqueName="2" name="start" queryTableFieldId="2" dataDxfId="16"/>
    <tableColumn id="3" xr3:uid="{0085BA66-7872-4E7A-BC14-E901F4C1040A}" uniqueName="3" name="end" queryTableFieldId="3" dataDxfId="15"/>
    <tableColumn id="4" xr3:uid="{96F8265A-7C0A-4B71-AAEF-1FC76011EC3C}" uniqueName="4" name="today" queryTableFieldId="4" dataDxfId="14"/>
    <tableColumn id="5" xr3:uid="{16DAF7D2-4819-4E94-BEEF-DE1F58E59448}" uniqueName="5" name="Âge (en mois)" queryTableFieldId="5"/>
    <tableColumn id="6" xr3:uid="{8A738E5A-F578-4989-A695-EDC768142D7A}" uniqueName="6" name="age_years_calc" queryTableFieldId="6"/>
    <tableColumn id="7" xr3:uid="{5E00A5FC-9D92-4353-A051-C8B6F3E6644A}" uniqueName="7" name="Sexe" queryTableFieldId="7" dataDxfId="13"/>
    <tableColumn id="8" xr3:uid="{2D6784F8-355E-4336-81F3-8AA51685C60E}" uniqueName="8" name="Profession" queryTableFieldId="8" dataDxfId="12"/>
    <tableColumn id="9" xr3:uid="{28167740-405D-45BA-BDB5-31DCB9FA5F4D}" uniqueName="9" name="Date de consultation" queryTableFieldId="9" dataDxfId="11"/>
    <tableColumn id="10" xr3:uid="{ACA57843-C874-4655-B671-360A053B02FB}" uniqueName="10" name="Délai de consultation (en jours)" queryTableFieldId="10"/>
    <tableColumn id="11" xr3:uid="{532F84A5-F778-4A9E-B524-A8E5A759DF2A}" uniqueName="11" name="Notion de prise médicamenteuse" queryTableFieldId="11" dataDxfId="10"/>
    <tableColumn id="12" xr3:uid="{782B94AB-F0B3-44AC-B8B1-B4813943738A}" uniqueName="12" name="Préciser le ou les médicament(s)" queryTableFieldId="12" dataDxfId="9"/>
    <tableColumn id="13" xr3:uid="{9A774D2F-ABA2-4905-961E-087607318A69}" uniqueName="13" name="Type d'atteinte" queryTableFieldId="13" dataDxfId="8"/>
    <tableColumn id="14" xr3:uid="{181B2C81-3155-4130-BAFE-659F1839BCA4}" uniqueName="14" name="Surface corporelle atteinte" queryTableFieldId="14"/>
    <tableColumn id="15" xr3:uid="{5846F252-6A6D-4E71-9742-6B9651E6F0F5}" uniqueName="15" name="Signes associés" queryTableFieldId="15" dataDxfId="7"/>
    <tableColumn id="16" xr3:uid="{688F4CFA-EEC2-4660-AA43-9B43B5A043F8}" uniqueName="16" name="Préciser l'autre signe" queryTableFieldId="16" dataDxfId="6"/>
    <tableColumn id="17" xr3:uid="{063A20DE-F896-4172-B59E-0F66E66313D1}" uniqueName="17" name="Catégorie de la dermatose" queryTableFieldId="17" dataDxfId="5"/>
    <tableColumn id="18" xr3:uid="{2A2094B4-7BAD-4D5C-9CF2-0CA4FBBF1A11}" uniqueName="18" name="Dermatose Auto-immune" queryTableFieldId="18" dataDxfId="4"/>
    <tableColumn id="19" xr3:uid="{470FF3E0-BC97-4485-8868-46E4D315BCBC}" uniqueName="19" name="Dermatose Infectieuse" queryTableFieldId="19" dataDxfId="3"/>
    <tableColumn id="20" xr3:uid="{F899816F-2A59-4380-8E1D-D8A78361EB33}" uniqueName="20" name="Toxidermie" queryTableFieldId="20" dataDxfId="2"/>
    <tableColumn id="21" xr3:uid="{AD79F8C5-619A-4177-BDF8-2FE7F1E7E500}" uniqueName="21" name="Dermatose Immunoallergique" queryTableFieldId="21" dataDxfId="1"/>
    <tableColumn id="22" xr3:uid="{5412061F-94F8-446E-86A0-35334F30ACB5}" uniqueName="22" name="Préciser l'autre diagnostic" queryTableFieldId="22" dataDxfId="0"/>
  </tableColumns>
  <tableStyleInfo name="TableStyleDark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F6762-9649-44E7-B11C-7BB1AADC5C2A}">
  <dimension ref="A1:V131"/>
  <sheetViews>
    <sheetView workbookViewId="0">
      <selection activeCell="E17" sqref="E17"/>
    </sheetView>
  </sheetViews>
  <sheetFormatPr defaultRowHeight="14.7" x14ac:dyDescent="0.3"/>
  <cols>
    <col min="1" max="1" width="9.88671875" bestFit="1" customWidth="1"/>
    <col min="2" max="3" width="14.21875" bestFit="1" customWidth="1"/>
    <col min="4" max="4" width="9.109375" bestFit="1" customWidth="1"/>
    <col min="5" max="5" width="15.77734375" bestFit="1" customWidth="1"/>
    <col min="6" max="6" width="15.88671875" bestFit="1" customWidth="1"/>
    <col min="7" max="7" width="7.109375" bestFit="1" customWidth="1"/>
    <col min="8" max="8" width="29.109375" bestFit="1" customWidth="1"/>
    <col min="9" max="9" width="22" bestFit="1" customWidth="1"/>
    <col min="10" max="10" width="32.21875" bestFit="1" customWidth="1"/>
    <col min="11" max="11" width="33" bestFit="1" customWidth="1"/>
    <col min="12" max="12" width="79.88671875" bestFit="1" customWidth="1"/>
    <col min="13" max="13" width="17.88671875" bestFit="1" customWidth="1"/>
    <col min="14" max="14" width="27.21875" bestFit="1" customWidth="1"/>
    <col min="15" max="15" width="17.33203125" bestFit="1" customWidth="1"/>
    <col min="16" max="16" width="31.77734375" bestFit="1" customWidth="1"/>
    <col min="17" max="17" width="26.88671875" bestFit="1" customWidth="1"/>
    <col min="18" max="18" width="25.77734375" bestFit="1" customWidth="1"/>
    <col min="19" max="19" width="25.44140625" bestFit="1" customWidth="1"/>
    <col min="20" max="20" width="24.6640625" bestFit="1" customWidth="1"/>
    <col min="21" max="21" width="30" bestFit="1" customWidth="1"/>
    <col min="22" max="22" width="27.6640625" bestFit="1" customWidth="1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3">
      <c r="A2">
        <v>715501306</v>
      </c>
      <c r="B2" s="1">
        <v>46116.480437418984</v>
      </c>
      <c r="C2" s="1">
        <v>46116.483856608793</v>
      </c>
      <c r="D2" s="2">
        <v>46116</v>
      </c>
      <c r="E2">
        <v>1</v>
      </c>
      <c r="F2">
        <v>0.1</v>
      </c>
      <c r="G2" t="s">
        <v>22</v>
      </c>
      <c r="H2" t="s">
        <v>23</v>
      </c>
      <c r="I2" s="2">
        <v>42397</v>
      </c>
      <c r="J2">
        <v>9</v>
      </c>
      <c r="K2" t="s">
        <v>24</v>
      </c>
      <c r="M2" t="s">
        <v>25</v>
      </c>
      <c r="N2">
        <v>15</v>
      </c>
      <c r="O2" t="s">
        <v>26</v>
      </c>
      <c r="P2" t="s">
        <v>27</v>
      </c>
      <c r="Q2" t="s">
        <v>28</v>
      </c>
      <c r="S2" t="s">
        <v>29</v>
      </c>
    </row>
    <row r="3" spans="1:22" x14ac:dyDescent="0.3">
      <c r="A3">
        <v>715512334</v>
      </c>
      <c r="B3" s="1">
        <v>46116.483856956016</v>
      </c>
      <c r="C3" s="1">
        <v>46116.496881678242</v>
      </c>
      <c r="D3" s="2">
        <v>46116</v>
      </c>
      <c r="E3">
        <v>468</v>
      </c>
      <c r="F3">
        <v>39</v>
      </c>
      <c r="G3" t="s">
        <v>30</v>
      </c>
      <c r="H3" t="s">
        <v>31</v>
      </c>
      <c r="I3" s="2">
        <v>42418</v>
      </c>
      <c r="J3">
        <v>14</v>
      </c>
      <c r="K3" t="s">
        <v>32</v>
      </c>
      <c r="L3" t="s">
        <v>33</v>
      </c>
      <c r="M3" t="s">
        <v>25</v>
      </c>
      <c r="N3">
        <v>5</v>
      </c>
      <c r="O3" t="s">
        <v>34</v>
      </c>
      <c r="Q3" t="s">
        <v>19</v>
      </c>
      <c r="T3" t="s">
        <v>35</v>
      </c>
    </row>
    <row r="4" spans="1:22" x14ac:dyDescent="0.3">
      <c r="A4">
        <v>715636712</v>
      </c>
      <c r="B4" s="1">
        <v>46116.496882071762</v>
      </c>
      <c r="C4" s="1">
        <v>46116.63183322917</v>
      </c>
      <c r="D4" s="2">
        <v>46116</v>
      </c>
      <c r="E4">
        <v>324</v>
      </c>
      <c r="F4">
        <v>27</v>
      </c>
      <c r="G4" t="s">
        <v>22</v>
      </c>
      <c r="H4" t="s">
        <v>36</v>
      </c>
      <c r="I4" s="2">
        <v>42451</v>
      </c>
      <c r="J4">
        <v>7</v>
      </c>
      <c r="K4" t="s">
        <v>32</v>
      </c>
      <c r="L4" t="s">
        <v>37</v>
      </c>
      <c r="M4" t="s">
        <v>38</v>
      </c>
      <c r="N4">
        <v>3</v>
      </c>
      <c r="O4" t="s">
        <v>34</v>
      </c>
      <c r="Q4" t="s">
        <v>19</v>
      </c>
      <c r="T4" t="s">
        <v>35</v>
      </c>
    </row>
    <row r="5" spans="1:22" x14ac:dyDescent="0.3">
      <c r="A5">
        <v>715641743</v>
      </c>
      <c r="B5" s="1">
        <v>46116.631833819447</v>
      </c>
      <c r="C5" s="1">
        <v>46116.637224664351</v>
      </c>
      <c r="D5" s="2">
        <v>46116</v>
      </c>
      <c r="E5">
        <v>552</v>
      </c>
      <c r="F5">
        <v>46</v>
      </c>
      <c r="G5" t="s">
        <v>22</v>
      </c>
      <c r="H5" t="s">
        <v>39</v>
      </c>
      <c r="I5" s="2">
        <v>42388</v>
      </c>
      <c r="J5">
        <v>90</v>
      </c>
      <c r="K5" t="s">
        <v>24</v>
      </c>
      <c r="M5" t="s">
        <v>25</v>
      </c>
      <c r="N5">
        <v>6</v>
      </c>
      <c r="O5" t="s">
        <v>34</v>
      </c>
      <c r="Q5" t="s">
        <v>40</v>
      </c>
      <c r="R5" t="s">
        <v>41</v>
      </c>
    </row>
    <row r="6" spans="1:22" x14ac:dyDescent="0.3">
      <c r="A6">
        <v>718547936</v>
      </c>
      <c r="B6" s="1">
        <v>46119.907328344911</v>
      </c>
      <c r="C6" s="1">
        <v>46119.95221708333</v>
      </c>
      <c r="D6" s="2">
        <v>46119</v>
      </c>
      <c r="E6">
        <v>67</v>
      </c>
      <c r="F6">
        <v>5.6</v>
      </c>
      <c r="G6" t="s">
        <v>30</v>
      </c>
      <c r="H6" t="s">
        <v>42</v>
      </c>
      <c r="I6" s="2">
        <v>42929</v>
      </c>
      <c r="J6">
        <v>31</v>
      </c>
      <c r="K6" t="s">
        <v>32</v>
      </c>
      <c r="L6" t="s">
        <v>43</v>
      </c>
      <c r="M6" t="s">
        <v>25</v>
      </c>
      <c r="N6">
        <v>30</v>
      </c>
      <c r="O6" t="s">
        <v>26</v>
      </c>
      <c r="P6" t="s">
        <v>27</v>
      </c>
      <c r="Q6" t="s">
        <v>40</v>
      </c>
      <c r="R6" t="s">
        <v>44</v>
      </c>
    </row>
    <row r="7" spans="1:22" x14ac:dyDescent="0.3">
      <c r="A7">
        <v>718789179</v>
      </c>
      <c r="B7" s="1">
        <v>46119.962477847221</v>
      </c>
      <c r="C7" s="1">
        <v>46120.246203703704</v>
      </c>
      <c r="D7" s="2">
        <v>46119</v>
      </c>
      <c r="E7">
        <v>552</v>
      </c>
      <c r="F7">
        <v>46</v>
      </c>
      <c r="G7" t="s">
        <v>30</v>
      </c>
      <c r="H7" t="s">
        <v>45</v>
      </c>
      <c r="I7" s="2">
        <v>42765</v>
      </c>
      <c r="J7">
        <v>3</v>
      </c>
      <c r="K7" t="s">
        <v>32</v>
      </c>
      <c r="L7" t="s">
        <v>46</v>
      </c>
      <c r="M7" t="s">
        <v>25</v>
      </c>
      <c r="N7">
        <v>45</v>
      </c>
      <c r="O7" t="s">
        <v>26</v>
      </c>
      <c r="P7" t="s">
        <v>27</v>
      </c>
      <c r="Q7" t="s">
        <v>19</v>
      </c>
      <c r="T7" t="s">
        <v>47</v>
      </c>
      <c r="V7" t="s">
        <v>48</v>
      </c>
    </row>
    <row r="8" spans="1:22" x14ac:dyDescent="0.3">
      <c r="A8">
        <v>718806158</v>
      </c>
      <c r="B8" s="1">
        <v>46120.246205405092</v>
      </c>
      <c r="C8" s="1">
        <v>46120.257792083336</v>
      </c>
      <c r="D8" s="2">
        <v>46120</v>
      </c>
      <c r="E8">
        <v>516</v>
      </c>
      <c r="F8">
        <v>43</v>
      </c>
      <c r="G8" t="s">
        <v>22</v>
      </c>
      <c r="H8" t="s">
        <v>49</v>
      </c>
      <c r="I8" s="2">
        <v>42744</v>
      </c>
      <c r="J8">
        <v>63</v>
      </c>
      <c r="K8" t="s">
        <v>32</v>
      </c>
      <c r="L8" t="s">
        <v>50</v>
      </c>
      <c r="M8" t="s">
        <v>25</v>
      </c>
      <c r="N8">
        <v>80</v>
      </c>
      <c r="O8" t="s">
        <v>51</v>
      </c>
      <c r="Q8" t="s">
        <v>19</v>
      </c>
      <c r="T8" t="s">
        <v>47</v>
      </c>
      <c r="V8" t="s">
        <v>52</v>
      </c>
    </row>
    <row r="9" spans="1:22" x14ac:dyDescent="0.3">
      <c r="A9">
        <v>718947052</v>
      </c>
      <c r="B9" s="1">
        <v>46120.257793518518</v>
      </c>
      <c r="C9" s="1">
        <v>46120.344593321759</v>
      </c>
      <c r="D9" s="2">
        <v>46120</v>
      </c>
      <c r="E9">
        <v>456</v>
      </c>
      <c r="F9">
        <v>38</v>
      </c>
      <c r="G9" t="s">
        <v>30</v>
      </c>
      <c r="H9" t="s">
        <v>53</v>
      </c>
      <c r="I9" s="2">
        <v>42740</v>
      </c>
      <c r="J9">
        <v>6</v>
      </c>
      <c r="K9" t="s">
        <v>24</v>
      </c>
      <c r="M9" t="s">
        <v>25</v>
      </c>
      <c r="N9">
        <v>50</v>
      </c>
      <c r="O9" t="s">
        <v>26</v>
      </c>
      <c r="P9" t="s">
        <v>27</v>
      </c>
      <c r="Q9" t="s">
        <v>19</v>
      </c>
      <c r="T9" t="s">
        <v>35</v>
      </c>
    </row>
    <row r="10" spans="1:22" x14ac:dyDescent="0.3">
      <c r="A10">
        <v>719403589</v>
      </c>
      <c r="B10" s="1">
        <v>46120.344595243056</v>
      </c>
      <c r="C10" s="1">
        <v>46120.660881412034</v>
      </c>
      <c r="D10" s="2">
        <v>46120</v>
      </c>
      <c r="E10">
        <v>480</v>
      </c>
      <c r="F10">
        <v>40</v>
      </c>
      <c r="G10" t="s">
        <v>30</v>
      </c>
      <c r="H10" t="s">
        <v>45</v>
      </c>
      <c r="I10" s="2">
        <v>42793</v>
      </c>
      <c r="J10">
        <v>2310</v>
      </c>
      <c r="K10" t="s">
        <v>32</v>
      </c>
      <c r="L10" t="s">
        <v>54</v>
      </c>
      <c r="M10" t="s">
        <v>38</v>
      </c>
      <c r="N10">
        <v>60</v>
      </c>
      <c r="O10" t="s">
        <v>34</v>
      </c>
      <c r="Q10" t="s">
        <v>19</v>
      </c>
      <c r="T10" t="s">
        <v>47</v>
      </c>
      <c r="V10" t="s">
        <v>55</v>
      </c>
    </row>
    <row r="11" spans="1:22" x14ac:dyDescent="0.3">
      <c r="A11">
        <v>719426805</v>
      </c>
      <c r="B11" s="1">
        <v>46120.660883078701</v>
      </c>
      <c r="C11" s="1">
        <v>46120.675990266202</v>
      </c>
      <c r="D11" s="2">
        <v>46120</v>
      </c>
      <c r="E11">
        <v>288</v>
      </c>
      <c r="F11">
        <v>24</v>
      </c>
      <c r="G11" t="s">
        <v>30</v>
      </c>
      <c r="H11" t="s">
        <v>56</v>
      </c>
      <c r="I11" s="2">
        <v>42775</v>
      </c>
      <c r="J11">
        <v>93</v>
      </c>
      <c r="K11" t="s">
        <v>24</v>
      </c>
      <c r="M11" t="s">
        <v>38</v>
      </c>
      <c r="N11">
        <v>2</v>
      </c>
      <c r="O11" t="s">
        <v>34</v>
      </c>
      <c r="Q11" t="s">
        <v>28</v>
      </c>
      <c r="S11" t="s">
        <v>47</v>
      </c>
      <c r="V11" t="s">
        <v>48</v>
      </c>
    </row>
    <row r="12" spans="1:22" x14ac:dyDescent="0.3">
      <c r="A12">
        <v>722449196</v>
      </c>
      <c r="B12" s="1">
        <v>46120.675992256947</v>
      </c>
      <c r="C12" s="1">
        <v>46123.961871527776</v>
      </c>
      <c r="D12" s="2">
        <v>46120</v>
      </c>
      <c r="E12">
        <v>288</v>
      </c>
      <c r="F12">
        <v>24</v>
      </c>
      <c r="G12" t="s">
        <v>30</v>
      </c>
      <c r="H12" t="s">
        <v>56</v>
      </c>
      <c r="I12" s="2">
        <v>42775</v>
      </c>
      <c r="J12">
        <v>124</v>
      </c>
      <c r="K12" t="s">
        <v>32</v>
      </c>
      <c r="L12" t="s">
        <v>57</v>
      </c>
      <c r="M12" t="s">
        <v>38</v>
      </c>
      <c r="N12">
        <v>6</v>
      </c>
      <c r="O12" t="s">
        <v>26</v>
      </c>
      <c r="P12" t="s">
        <v>27</v>
      </c>
      <c r="Q12" t="s">
        <v>19</v>
      </c>
      <c r="T12" t="s">
        <v>35</v>
      </c>
    </row>
    <row r="13" spans="1:22" x14ac:dyDescent="0.3">
      <c r="A13">
        <v>722452001</v>
      </c>
      <c r="B13" s="1">
        <v>46123.961872615742</v>
      </c>
      <c r="C13" s="1">
        <v>46123.972492673609</v>
      </c>
      <c r="D13" s="2">
        <v>46123</v>
      </c>
      <c r="E13">
        <v>780</v>
      </c>
      <c r="F13">
        <v>65</v>
      </c>
      <c r="G13" t="s">
        <v>22</v>
      </c>
      <c r="H13" t="s">
        <v>49</v>
      </c>
      <c r="I13" s="2">
        <v>42913</v>
      </c>
      <c r="J13">
        <v>93</v>
      </c>
      <c r="K13" t="s">
        <v>24</v>
      </c>
      <c r="M13" t="s">
        <v>58</v>
      </c>
      <c r="N13">
        <v>30</v>
      </c>
      <c r="O13" t="s">
        <v>59</v>
      </c>
      <c r="Q13" t="s">
        <v>40</v>
      </c>
      <c r="R13" t="s">
        <v>44</v>
      </c>
    </row>
    <row r="14" spans="1:22" x14ac:dyDescent="0.3">
      <c r="A14">
        <v>722479386</v>
      </c>
      <c r="B14" s="1">
        <v>46123.972494340276</v>
      </c>
      <c r="C14" s="1">
        <v>46124.115919374999</v>
      </c>
      <c r="D14" s="2">
        <v>46123</v>
      </c>
      <c r="E14">
        <v>780</v>
      </c>
      <c r="F14">
        <v>65</v>
      </c>
      <c r="G14" t="s">
        <v>22</v>
      </c>
      <c r="H14" t="s">
        <v>49</v>
      </c>
      <c r="I14" s="2">
        <v>42913</v>
      </c>
      <c r="J14">
        <v>93</v>
      </c>
      <c r="K14" t="s">
        <v>24</v>
      </c>
      <c r="M14" t="s">
        <v>38</v>
      </c>
      <c r="N14">
        <v>20</v>
      </c>
      <c r="O14" t="s">
        <v>60</v>
      </c>
      <c r="P14" t="s">
        <v>61</v>
      </c>
      <c r="Q14" t="s">
        <v>40</v>
      </c>
      <c r="R14" t="s">
        <v>44</v>
      </c>
    </row>
    <row r="15" spans="1:22" x14ac:dyDescent="0.3">
      <c r="A15">
        <v>722480056</v>
      </c>
      <c r="B15" s="1">
        <v>46124.115920902776</v>
      </c>
      <c r="C15" s="1">
        <v>46124.121257777777</v>
      </c>
      <c r="D15" s="2">
        <v>46124</v>
      </c>
      <c r="E15">
        <v>504</v>
      </c>
      <c r="F15">
        <v>42</v>
      </c>
      <c r="G15" t="s">
        <v>30</v>
      </c>
      <c r="H15" t="s">
        <v>62</v>
      </c>
      <c r="I15" s="2">
        <v>42632</v>
      </c>
      <c r="J15">
        <v>13</v>
      </c>
      <c r="K15" t="s">
        <v>32</v>
      </c>
      <c r="L15" t="s">
        <v>63</v>
      </c>
      <c r="M15" t="s">
        <v>38</v>
      </c>
      <c r="N15">
        <v>7</v>
      </c>
      <c r="O15" t="s">
        <v>26</v>
      </c>
      <c r="P15" t="s">
        <v>27</v>
      </c>
      <c r="Q15" t="s">
        <v>19</v>
      </c>
      <c r="T15" t="s">
        <v>64</v>
      </c>
    </row>
    <row r="16" spans="1:22" x14ac:dyDescent="0.3">
      <c r="A16">
        <v>722480377</v>
      </c>
      <c r="B16" s="1">
        <v>46124.121259143518</v>
      </c>
      <c r="C16" s="1">
        <v>46124.123542719906</v>
      </c>
      <c r="D16" s="2">
        <v>46124</v>
      </c>
      <c r="E16">
        <v>480</v>
      </c>
      <c r="F16">
        <v>40</v>
      </c>
      <c r="G16" t="s">
        <v>30</v>
      </c>
      <c r="H16" t="s">
        <v>62</v>
      </c>
      <c r="I16" s="2">
        <v>42570</v>
      </c>
      <c r="J16">
        <v>31</v>
      </c>
      <c r="K16" t="s">
        <v>24</v>
      </c>
      <c r="M16" t="s">
        <v>25</v>
      </c>
      <c r="N16">
        <v>2</v>
      </c>
      <c r="O16" t="s">
        <v>26</v>
      </c>
      <c r="P16" t="s">
        <v>27</v>
      </c>
      <c r="Q16" t="s">
        <v>19</v>
      </c>
      <c r="T16" t="s">
        <v>35</v>
      </c>
    </row>
    <row r="17" spans="1:22" x14ac:dyDescent="0.3">
      <c r="A17">
        <v>722480792</v>
      </c>
      <c r="B17" s="1">
        <v>46124.123543657406</v>
      </c>
      <c r="C17" s="1">
        <v>46124.12669809028</v>
      </c>
      <c r="D17" s="2">
        <v>46124</v>
      </c>
      <c r="E17">
        <v>564</v>
      </c>
      <c r="F17">
        <v>47</v>
      </c>
      <c r="G17" t="s">
        <v>22</v>
      </c>
      <c r="H17" t="s">
        <v>65</v>
      </c>
      <c r="I17" s="2">
        <v>42535</v>
      </c>
      <c r="J17">
        <v>6</v>
      </c>
      <c r="K17" t="s">
        <v>32</v>
      </c>
      <c r="L17" t="s">
        <v>66</v>
      </c>
      <c r="M17" t="s">
        <v>25</v>
      </c>
      <c r="N17">
        <v>5</v>
      </c>
      <c r="O17" t="s">
        <v>26</v>
      </c>
      <c r="P17" t="s">
        <v>27</v>
      </c>
      <c r="Q17" t="s">
        <v>19</v>
      </c>
      <c r="T17" t="s">
        <v>35</v>
      </c>
    </row>
    <row r="18" spans="1:22" x14ac:dyDescent="0.3">
      <c r="A18">
        <v>722482063</v>
      </c>
      <c r="B18" s="1">
        <v>46124.126699201392</v>
      </c>
      <c r="C18" s="1">
        <v>46124.133647268522</v>
      </c>
      <c r="D18" s="2">
        <v>46124</v>
      </c>
      <c r="E18">
        <v>288</v>
      </c>
      <c r="F18">
        <v>24</v>
      </c>
      <c r="G18" t="s">
        <v>22</v>
      </c>
      <c r="H18" t="s">
        <v>67</v>
      </c>
      <c r="I18" s="2">
        <v>42527</v>
      </c>
      <c r="J18">
        <v>4</v>
      </c>
      <c r="K18" t="s">
        <v>32</v>
      </c>
      <c r="L18" t="s">
        <v>68</v>
      </c>
      <c r="M18" t="s">
        <v>25</v>
      </c>
      <c r="N18">
        <v>9</v>
      </c>
      <c r="O18" t="s">
        <v>69</v>
      </c>
      <c r="Q18" t="s">
        <v>19</v>
      </c>
      <c r="T18" t="s">
        <v>70</v>
      </c>
    </row>
    <row r="19" spans="1:22" x14ac:dyDescent="0.3">
      <c r="A19">
        <v>722619425</v>
      </c>
      <c r="B19" s="1">
        <v>46124.13364832176</v>
      </c>
      <c r="C19" s="1">
        <v>46124.456708136575</v>
      </c>
      <c r="D19" s="2">
        <v>46124</v>
      </c>
      <c r="E19">
        <v>252</v>
      </c>
      <c r="F19">
        <v>21</v>
      </c>
      <c r="G19" t="s">
        <v>30</v>
      </c>
      <c r="H19" t="s">
        <v>71</v>
      </c>
      <c r="I19" s="2">
        <v>42717</v>
      </c>
      <c r="J19">
        <v>14</v>
      </c>
      <c r="K19" t="s">
        <v>32</v>
      </c>
      <c r="L19" t="s">
        <v>72</v>
      </c>
      <c r="M19" t="s">
        <v>25</v>
      </c>
      <c r="N19">
        <v>33</v>
      </c>
      <c r="O19" t="s">
        <v>73</v>
      </c>
      <c r="Q19" t="s">
        <v>19</v>
      </c>
      <c r="T19" t="s">
        <v>74</v>
      </c>
    </row>
    <row r="20" spans="1:22" x14ac:dyDescent="0.3">
      <c r="A20">
        <v>722622203</v>
      </c>
      <c r="B20" s="1">
        <v>46124.456709641207</v>
      </c>
      <c r="C20" s="1">
        <v>46124.461587997685</v>
      </c>
      <c r="D20" s="2">
        <v>46124</v>
      </c>
      <c r="E20">
        <v>336</v>
      </c>
      <c r="F20">
        <v>28</v>
      </c>
      <c r="G20" t="s">
        <v>22</v>
      </c>
      <c r="H20" t="s">
        <v>75</v>
      </c>
      <c r="I20" s="2">
        <v>42621</v>
      </c>
      <c r="J20">
        <v>385</v>
      </c>
      <c r="K20" t="s">
        <v>32</v>
      </c>
      <c r="L20" t="s">
        <v>76</v>
      </c>
      <c r="M20" t="s">
        <v>38</v>
      </c>
      <c r="N20">
        <v>9</v>
      </c>
      <c r="O20" t="s">
        <v>26</v>
      </c>
      <c r="P20" t="s">
        <v>27</v>
      </c>
      <c r="Q20" t="s">
        <v>28</v>
      </c>
      <c r="S20" t="s">
        <v>47</v>
      </c>
      <c r="V20" t="s">
        <v>55</v>
      </c>
    </row>
    <row r="21" spans="1:22" x14ac:dyDescent="0.3">
      <c r="A21">
        <v>722625180</v>
      </c>
      <c r="B21" s="1">
        <v>46124.461589212966</v>
      </c>
      <c r="C21" s="1">
        <v>46124.465220648148</v>
      </c>
      <c r="D21" s="2">
        <v>46124</v>
      </c>
      <c r="E21">
        <v>720</v>
      </c>
      <c r="F21">
        <v>60</v>
      </c>
      <c r="G21" t="s">
        <v>30</v>
      </c>
      <c r="H21" t="s">
        <v>77</v>
      </c>
      <c r="I21" s="2">
        <v>42485</v>
      </c>
      <c r="J21">
        <v>3080</v>
      </c>
      <c r="K21" t="s">
        <v>32</v>
      </c>
      <c r="L21" t="s">
        <v>78</v>
      </c>
      <c r="M21" t="s">
        <v>25</v>
      </c>
      <c r="N21">
        <v>12</v>
      </c>
      <c r="O21" t="s">
        <v>26</v>
      </c>
      <c r="P21" t="s">
        <v>27</v>
      </c>
      <c r="Q21" t="s">
        <v>19</v>
      </c>
      <c r="T21" t="s">
        <v>35</v>
      </c>
    </row>
    <row r="22" spans="1:22" x14ac:dyDescent="0.3">
      <c r="A22">
        <v>722627814</v>
      </c>
      <c r="B22" s="1">
        <v>46124.465221863429</v>
      </c>
      <c r="C22" s="1">
        <v>46124.468770833337</v>
      </c>
      <c r="D22" s="2">
        <v>46124</v>
      </c>
      <c r="E22">
        <v>72</v>
      </c>
      <c r="F22">
        <v>6</v>
      </c>
      <c r="G22" t="s">
        <v>30</v>
      </c>
      <c r="H22" t="s">
        <v>79</v>
      </c>
      <c r="I22" s="2">
        <v>42465</v>
      </c>
      <c r="J22">
        <v>7</v>
      </c>
      <c r="K22" t="s">
        <v>32</v>
      </c>
      <c r="L22" t="s">
        <v>80</v>
      </c>
      <c r="M22" t="s">
        <v>38</v>
      </c>
      <c r="N22">
        <v>80</v>
      </c>
      <c r="O22" t="s">
        <v>26</v>
      </c>
      <c r="P22" t="s">
        <v>27</v>
      </c>
      <c r="Q22" t="s">
        <v>19</v>
      </c>
      <c r="T22" t="s">
        <v>74</v>
      </c>
    </row>
    <row r="23" spans="1:22" x14ac:dyDescent="0.3">
      <c r="A23">
        <v>722803352</v>
      </c>
      <c r="B23" s="1">
        <v>46116.637225057872</v>
      </c>
      <c r="C23" s="1">
        <v>46124.736817812503</v>
      </c>
      <c r="D23" s="2">
        <v>46116</v>
      </c>
      <c r="E23">
        <v>216</v>
      </c>
      <c r="F23">
        <v>18</v>
      </c>
      <c r="G23" t="s">
        <v>22</v>
      </c>
      <c r="H23" t="s">
        <v>81</v>
      </c>
      <c r="I23" s="2">
        <v>42830</v>
      </c>
      <c r="J23">
        <v>20</v>
      </c>
      <c r="K23" t="s">
        <v>32</v>
      </c>
      <c r="L23" t="s">
        <v>82</v>
      </c>
      <c r="M23" t="s">
        <v>25</v>
      </c>
      <c r="N23">
        <v>20</v>
      </c>
      <c r="O23" t="s">
        <v>34</v>
      </c>
      <c r="Q23" t="s">
        <v>19</v>
      </c>
      <c r="T23" t="s">
        <v>47</v>
      </c>
      <c r="V23" t="s">
        <v>83</v>
      </c>
    </row>
    <row r="24" spans="1:22" x14ac:dyDescent="0.3">
      <c r="A24">
        <v>722805963</v>
      </c>
      <c r="B24" s="1">
        <v>46124.736818287034</v>
      </c>
      <c r="C24" s="1">
        <v>46124.739989340276</v>
      </c>
      <c r="D24" s="2">
        <v>46124</v>
      </c>
      <c r="E24">
        <v>288</v>
      </c>
      <c r="F24">
        <v>24</v>
      </c>
      <c r="G24" t="s">
        <v>22</v>
      </c>
      <c r="H24" t="s">
        <v>84</v>
      </c>
      <c r="I24" s="2">
        <v>43229</v>
      </c>
      <c r="J24">
        <v>730</v>
      </c>
      <c r="K24" t="s">
        <v>24</v>
      </c>
      <c r="M24" t="s">
        <v>25</v>
      </c>
      <c r="N24">
        <v>40</v>
      </c>
      <c r="O24" t="s">
        <v>26</v>
      </c>
      <c r="P24" t="s">
        <v>27</v>
      </c>
      <c r="Q24" t="s">
        <v>40</v>
      </c>
      <c r="R24" t="s">
        <v>85</v>
      </c>
    </row>
    <row r="25" spans="1:22" x14ac:dyDescent="0.3">
      <c r="A25">
        <v>722807402</v>
      </c>
      <c r="B25" s="1">
        <v>46124.739989641203</v>
      </c>
      <c r="C25" s="1">
        <v>46124.742359247684</v>
      </c>
      <c r="D25" s="2">
        <v>46124</v>
      </c>
      <c r="E25">
        <v>144</v>
      </c>
      <c r="F25">
        <v>12</v>
      </c>
      <c r="G25" t="s">
        <v>22</v>
      </c>
      <c r="H25" t="s">
        <v>86</v>
      </c>
      <c r="I25" s="2">
        <v>43108</v>
      </c>
      <c r="J25">
        <v>6</v>
      </c>
      <c r="K25" t="s">
        <v>32</v>
      </c>
      <c r="L25" t="s">
        <v>87</v>
      </c>
      <c r="M25" t="s">
        <v>38</v>
      </c>
      <c r="N25">
        <v>35</v>
      </c>
      <c r="O25" t="s">
        <v>88</v>
      </c>
      <c r="Q25" t="s">
        <v>19</v>
      </c>
      <c r="T25" t="s">
        <v>70</v>
      </c>
    </row>
    <row r="26" spans="1:22" x14ac:dyDescent="0.3">
      <c r="A26">
        <v>722809657</v>
      </c>
      <c r="B26" s="1">
        <v>46124.742359675925</v>
      </c>
      <c r="C26" s="1">
        <v>46124.746279664352</v>
      </c>
      <c r="D26" s="2">
        <v>46124</v>
      </c>
      <c r="E26">
        <v>120</v>
      </c>
      <c r="F26">
        <v>10</v>
      </c>
      <c r="G26" t="s">
        <v>22</v>
      </c>
      <c r="H26" t="s">
        <v>86</v>
      </c>
      <c r="I26" s="2">
        <v>43214</v>
      </c>
      <c r="J26">
        <v>8</v>
      </c>
      <c r="K26" t="s">
        <v>24</v>
      </c>
      <c r="M26" t="s">
        <v>38</v>
      </c>
      <c r="N26">
        <v>25</v>
      </c>
      <c r="O26" t="s">
        <v>26</v>
      </c>
      <c r="P26" t="s">
        <v>89</v>
      </c>
      <c r="Q26" t="s">
        <v>19</v>
      </c>
      <c r="T26" t="s">
        <v>70</v>
      </c>
    </row>
    <row r="27" spans="1:22" x14ac:dyDescent="0.3">
      <c r="A27">
        <v>722811313</v>
      </c>
      <c r="B27" s="1">
        <v>46124.746279942126</v>
      </c>
      <c r="C27" s="1">
        <v>46124.748818969907</v>
      </c>
      <c r="D27" s="2">
        <v>46124</v>
      </c>
      <c r="E27">
        <v>636</v>
      </c>
      <c r="F27">
        <v>53</v>
      </c>
      <c r="G27" t="s">
        <v>30</v>
      </c>
      <c r="H27" t="s">
        <v>90</v>
      </c>
      <c r="I27" s="2">
        <v>43060</v>
      </c>
      <c r="J27">
        <v>330</v>
      </c>
      <c r="K27" t="s">
        <v>24</v>
      </c>
      <c r="M27" t="s">
        <v>25</v>
      </c>
      <c r="N27">
        <v>27</v>
      </c>
      <c r="O27" t="s">
        <v>34</v>
      </c>
      <c r="Q27" t="s">
        <v>40</v>
      </c>
      <c r="R27" t="s">
        <v>91</v>
      </c>
    </row>
    <row r="28" spans="1:22" x14ac:dyDescent="0.3">
      <c r="A28">
        <v>722813656</v>
      </c>
      <c r="B28" s="1">
        <v>46124.748819236112</v>
      </c>
      <c r="C28" s="1">
        <v>46124.753319513889</v>
      </c>
      <c r="D28" s="2">
        <v>46124</v>
      </c>
      <c r="E28">
        <v>276</v>
      </c>
      <c r="F28">
        <v>23</v>
      </c>
      <c r="G28" t="s">
        <v>22</v>
      </c>
      <c r="H28" t="s">
        <v>84</v>
      </c>
      <c r="I28" s="2">
        <v>43074</v>
      </c>
      <c r="J28">
        <v>3</v>
      </c>
      <c r="K28" t="s">
        <v>32</v>
      </c>
      <c r="L28" t="s">
        <v>92</v>
      </c>
      <c r="M28" t="s">
        <v>38</v>
      </c>
      <c r="N28">
        <v>5</v>
      </c>
      <c r="O28" t="s">
        <v>93</v>
      </c>
      <c r="P28" t="s">
        <v>94</v>
      </c>
      <c r="Q28" t="s">
        <v>19</v>
      </c>
      <c r="T28" t="s">
        <v>74</v>
      </c>
    </row>
    <row r="29" spans="1:22" x14ac:dyDescent="0.3">
      <c r="A29">
        <v>722815699</v>
      </c>
      <c r="B29" s="1">
        <v>46124.753319814816</v>
      </c>
      <c r="C29" s="1">
        <v>46124.756562893519</v>
      </c>
      <c r="D29" s="2">
        <v>46124</v>
      </c>
      <c r="E29">
        <v>84</v>
      </c>
      <c r="F29">
        <v>7</v>
      </c>
      <c r="G29" t="s">
        <v>30</v>
      </c>
      <c r="H29" t="s">
        <v>79</v>
      </c>
      <c r="I29" s="2">
        <v>42934</v>
      </c>
      <c r="J29">
        <v>15</v>
      </c>
      <c r="K29" t="s">
        <v>32</v>
      </c>
      <c r="L29" t="s">
        <v>95</v>
      </c>
      <c r="M29" t="s">
        <v>38</v>
      </c>
      <c r="N29">
        <v>10</v>
      </c>
      <c r="O29" t="s">
        <v>51</v>
      </c>
      <c r="Q29" t="s">
        <v>19</v>
      </c>
      <c r="T29" t="s">
        <v>74</v>
      </c>
    </row>
    <row r="30" spans="1:22" x14ac:dyDescent="0.3">
      <c r="A30">
        <v>722818850</v>
      </c>
      <c r="B30" s="1">
        <v>46124.756563229166</v>
      </c>
      <c r="C30" s="1">
        <v>46124.762475150463</v>
      </c>
      <c r="D30" s="2">
        <v>46124</v>
      </c>
      <c r="E30">
        <v>36</v>
      </c>
      <c r="F30">
        <v>3</v>
      </c>
      <c r="G30" t="s">
        <v>22</v>
      </c>
      <c r="H30" t="s">
        <v>27</v>
      </c>
      <c r="I30" s="2">
        <v>42901</v>
      </c>
      <c r="J30">
        <v>90</v>
      </c>
      <c r="K30" t="s">
        <v>24</v>
      </c>
      <c r="M30" t="s">
        <v>25</v>
      </c>
      <c r="N30">
        <v>10</v>
      </c>
      <c r="O30" t="s">
        <v>34</v>
      </c>
      <c r="Q30" t="s">
        <v>28</v>
      </c>
      <c r="S30" t="s">
        <v>29</v>
      </c>
    </row>
    <row r="31" spans="1:22" x14ac:dyDescent="0.3">
      <c r="A31">
        <v>722820234</v>
      </c>
      <c r="B31" s="1">
        <v>46124.762475428244</v>
      </c>
      <c r="C31" s="1">
        <v>46124.765065416665</v>
      </c>
      <c r="D31" s="2">
        <v>46124</v>
      </c>
      <c r="E31">
        <v>36</v>
      </c>
      <c r="F31">
        <v>3</v>
      </c>
      <c r="G31" t="s">
        <v>30</v>
      </c>
      <c r="H31" t="s">
        <v>23</v>
      </c>
      <c r="I31" s="2">
        <v>42919</v>
      </c>
      <c r="J31">
        <v>8</v>
      </c>
      <c r="K31" t="s">
        <v>32</v>
      </c>
      <c r="L31" t="s">
        <v>96</v>
      </c>
      <c r="M31" t="s">
        <v>38</v>
      </c>
      <c r="N31">
        <v>10</v>
      </c>
      <c r="O31" t="s">
        <v>88</v>
      </c>
      <c r="Q31" t="s">
        <v>19</v>
      </c>
      <c r="T31" t="s">
        <v>74</v>
      </c>
    </row>
    <row r="32" spans="1:22" x14ac:dyDescent="0.3">
      <c r="A32">
        <v>722821710</v>
      </c>
      <c r="B32" s="1">
        <v>46124.76506568287</v>
      </c>
      <c r="C32" s="1">
        <v>46124.767338101854</v>
      </c>
      <c r="D32" s="2">
        <v>46124</v>
      </c>
      <c r="E32">
        <v>228</v>
      </c>
      <c r="F32">
        <v>19</v>
      </c>
      <c r="G32" t="s">
        <v>30</v>
      </c>
      <c r="H32" t="s">
        <v>97</v>
      </c>
      <c r="I32" s="2">
        <v>42789</v>
      </c>
      <c r="J32">
        <v>21</v>
      </c>
      <c r="K32" t="s">
        <v>24</v>
      </c>
      <c r="M32" t="s">
        <v>25</v>
      </c>
      <c r="N32">
        <v>25</v>
      </c>
      <c r="O32" t="s">
        <v>69</v>
      </c>
      <c r="Q32" t="s">
        <v>40</v>
      </c>
      <c r="R32" t="s">
        <v>98</v>
      </c>
    </row>
    <row r="33" spans="1:20" x14ac:dyDescent="0.3">
      <c r="A33">
        <v>722825333</v>
      </c>
      <c r="B33" s="1">
        <v>46124.767338368052</v>
      </c>
      <c r="C33" s="1">
        <v>46124.775020879628</v>
      </c>
      <c r="D33" s="2">
        <v>46124</v>
      </c>
      <c r="E33">
        <v>660</v>
      </c>
      <c r="F33">
        <v>55</v>
      </c>
      <c r="G33" t="s">
        <v>30</v>
      </c>
      <c r="H33" t="s">
        <v>99</v>
      </c>
      <c r="I33" s="2">
        <v>42845</v>
      </c>
      <c r="J33">
        <v>5</v>
      </c>
      <c r="K33" t="s">
        <v>32</v>
      </c>
      <c r="L33" t="s">
        <v>100</v>
      </c>
      <c r="M33" t="s">
        <v>38</v>
      </c>
      <c r="N33">
        <v>27</v>
      </c>
      <c r="O33" t="s">
        <v>73</v>
      </c>
      <c r="Q33" t="s">
        <v>19</v>
      </c>
      <c r="T33" t="s">
        <v>70</v>
      </c>
    </row>
    <row r="34" spans="1:20" x14ac:dyDescent="0.3">
      <c r="A34">
        <v>722831716</v>
      </c>
      <c r="B34" s="1">
        <v>46124.775021145833</v>
      </c>
      <c r="C34" s="1">
        <v>46124.789548275461</v>
      </c>
      <c r="D34" s="2">
        <v>46124</v>
      </c>
      <c r="E34">
        <v>42</v>
      </c>
      <c r="F34">
        <v>3.5</v>
      </c>
      <c r="G34" t="s">
        <v>22</v>
      </c>
      <c r="H34" t="s">
        <v>23</v>
      </c>
      <c r="I34" s="2">
        <v>42898</v>
      </c>
      <c r="J34">
        <v>30</v>
      </c>
      <c r="K34" t="s">
        <v>24</v>
      </c>
      <c r="M34" t="s">
        <v>25</v>
      </c>
      <c r="N34">
        <v>10</v>
      </c>
      <c r="O34" t="s">
        <v>34</v>
      </c>
      <c r="Q34" t="s">
        <v>28</v>
      </c>
      <c r="S34" t="s">
        <v>101</v>
      </c>
    </row>
    <row r="35" spans="1:20" x14ac:dyDescent="0.3">
      <c r="A35">
        <v>722832781</v>
      </c>
      <c r="B35" s="1">
        <v>46124.789548738423</v>
      </c>
      <c r="C35" s="1">
        <v>46124.792520474541</v>
      </c>
      <c r="D35" s="2">
        <v>46124</v>
      </c>
      <c r="E35">
        <v>372</v>
      </c>
      <c r="F35">
        <v>31</v>
      </c>
      <c r="G35" t="s">
        <v>30</v>
      </c>
      <c r="H35" t="s">
        <v>77</v>
      </c>
      <c r="I35" s="2">
        <v>42864</v>
      </c>
      <c r="J35">
        <v>3</v>
      </c>
      <c r="K35" t="s">
        <v>32</v>
      </c>
      <c r="L35" t="s">
        <v>102</v>
      </c>
      <c r="M35" t="s">
        <v>38</v>
      </c>
      <c r="N35">
        <v>27</v>
      </c>
      <c r="O35" t="s">
        <v>73</v>
      </c>
      <c r="Q35" t="s">
        <v>19</v>
      </c>
      <c r="T35" t="s">
        <v>70</v>
      </c>
    </row>
    <row r="36" spans="1:20" x14ac:dyDescent="0.3">
      <c r="A36">
        <v>722835688</v>
      </c>
      <c r="B36" s="1">
        <v>46124.79252087963</v>
      </c>
      <c r="C36" s="1">
        <v>46124.797827395836</v>
      </c>
      <c r="D36" s="2">
        <v>46124</v>
      </c>
      <c r="E36">
        <v>708</v>
      </c>
      <c r="F36">
        <v>59</v>
      </c>
      <c r="G36" t="s">
        <v>30</v>
      </c>
      <c r="H36" t="s">
        <v>103</v>
      </c>
      <c r="I36" s="2">
        <v>42947</v>
      </c>
      <c r="J36">
        <v>2</v>
      </c>
      <c r="K36" t="s">
        <v>32</v>
      </c>
      <c r="L36" t="s">
        <v>104</v>
      </c>
      <c r="M36" t="s">
        <v>25</v>
      </c>
      <c r="N36">
        <v>2</v>
      </c>
      <c r="O36" t="s">
        <v>34</v>
      </c>
      <c r="Q36" t="s">
        <v>19</v>
      </c>
      <c r="T36" t="s">
        <v>35</v>
      </c>
    </row>
    <row r="37" spans="1:20" x14ac:dyDescent="0.3">
      <c r="A37">
        <v>722837165</v>
      </c>
      <c r="B37" s="1">
        <v>46124.797827916664</v>
      </c>
      <c r="C37" s="1">
        <v>46124.801444641205</v>
      </c>
      <c r="D37" s="2">
        <v>46124</v>
      </c>
      <c r="E37">
        <v>216</v>
      </c>
      <c r="F37">
        <v>18</v>
      </c>
      <c r="G37" t="s">
        <v>30</v>
      </c>
      <c r="H37" t="s">
        <v>81</v>
      </c>
      <c r="I37" s="2">
        <v>43034</v>
      </c>
      <c r="J37">
        <v>7</v>
      </c>
      <c r="K37" t="s">
        <v>32</v>
      </c>
      <c r="L37" t="s">
        <v>105</v>
      </c>
      <c r="M37" t="s">
        <v>38</v>
      </c>
      <c r="N37">
        <v>15</v>
      </c>
      <c r="O37" t="s">
        <v>34</v>
      </c>
      <c r="Q37" t="s">
        <v>19</v>
      </c>
      <c r="T37" t="s">
        <v>74</v>
      </c>
    </row>
    <row r="38" spans="1:20" x14ac:dyDescent="0.3">
      <c r="A38">
        <v>722839809</v>
      </c>
      <c r="B38" s="1">
        <v>46124.801445173609</v>
      </c>
      <c r="C38" s="1">
        <v>46124.807729444445</v>
      </c>
      <c r="D38" s="2">
        <v>46124</v>
      </c>
      <c r="E38">
        <v>132</v>
      </c>
      <c r="F38">
        <v>11</v>
      </c>
      <c r="G38" t="s">
        <v>22</v>
      </c>
      <c r="H38" t="s">
        <v>81</v>
      </c>
      <c r="I38" s="2">
        <v>42905</v>
      </c>
      <c r="J38">
        <v>4</v>
      </c>
      <c r="K38" t="s">
        <v>32</v>
      </c>
      <c r="L38" t="s">
        <v>106</v>
      </c>
      <c r="M38" t="s">
        <v>58</v>
      </c>
      <c r="N38">
        <v>3</v>
      </c>
      <c r="O38" t="s">
        <v>88</v>
      </c>
      <c r="Q38" t="s">
        <v>19</v>
      </c>
      <c r="T38" t="s">
        <v>74</v>
      </c>
    </row>
    <row r="39" spans="1:20" x14ac:dyDescent="0.3">
      <c r="A39">
        <v>722904560</v>
      </c>
      <c r="B39" s="1">
        <v>46124.468771898151</v>
      </c>
      <c r="C39" s="1">
        <v>46124.971727337965</v>
      </c>
      <c r="D39" s="2">
        <v>46124</v>
      </c>
      <c r="E39">
        <v>636</v>
      </c>
      <c r="F39">
        <v>53</v>
      </c>
      <c r="G39" t="s">
        <v>22</v>
      </c>
      <c r="H39" t="s">
        <v>107</v>
      </c>
      <c r="I39" s="2">
        <v>42410</v>
      </c>
      <c r="J39">
        <v>62</v>
      </c>
      <c r="K39" t="s">
        <v>32</v>
      </c>
      <c r="L39" t="s">
        <v>108</v>
      </c>
      <c r="M39" t="s">
        <v>38</v>
      </c>
      <c r="N39">
        <v>95</v>
      </c>
      <c r="O39" t="s">
        <v>26</v>
      </c>
      <c r="P39" t="s">
        <v>27</v>
      </c>
      <c r="Q39" t="s">
        <v>19</v>
      </c>
      <c r="T39" t="s">
        <v>64</v>
      </c>
    </row>
    <row r="40" spans="1:20" x14ac:dyDescent="0.3">
      <c r="A40">
        <v>722905279</v>
      </c>
      <c r="B40" s="1">
        <v>46124.971728842589</v>
      </c>
      <c r="C40" s="1">
        <v>46124.974393796299</v>
      </c>
      <c r="D40" s="2">
        <v>46124</v>
      </c>
      <c r="E40">
        <v>60</v>
      </c>
      <c r="F40">
        <v>5</v>
      </c>
      <c r="G40" t="s">
        <v>22</v>
      </c>
      <c r="H40" t="s">
        <v>86</v>
      </c>
      <c r="I40" s="2">
        <v>43465</v>
      </c>
      <c r="J40">
        <v>3</v>
      </c>
      <c r="K40" t="s">
        <v>32</v>
      </c>
      <c r="L40" t="s">
        <v>109</v>
      </c>
      <c r="M40" t="s">
        <v>38</v>
      </c>
      <c r="N40">
        <v>95</v>
      </c>
      <c r="O40" t="s">
        <v>110</v>
      </c>
      <c r="Q40" t="s">
        <v>19</v>
      </c>
      <c r="T40" t="s">
        <v>64</v>
      </c>
    </row>
    <row r="41" spans="1:20" x14ac:dyDescent="0.3">
      <c r="A41">
        <v>722906161</v>
      </c>
      <c r="B41" s="1">
        <v>46124.97439520833</v>
      </c>
      <c r="C41" s="1">
        <v>46124.978186701388</v>
      </c>
      <c r="D41" s="2">
        <v>46124</v>
      </c>
      <c r="E41">
        <v>816</v>
      </c>
      <c r="F41">
        <v>68</v>
      </c>
      <c r="G41" t="s">
        <v>22</v>
      </c>
      <c r="H41" t="s">
        <v>111</v>
      </c>
      <c r="I41" s="2">
        <v>43417</v>
      </c>
      <c r="J41">
        <v>14</v>
      </c>
      <c r="K41" t="s">
        <v>32</v>
      </c>
      <c r="L41" t="s">
        <v>112</v>
      </c>
      <c r="M41" t="s">
        <v>25</v>
      </c>
      <c r="N41">
        <v>15</v>
      </c>
      <c r="O41" t="s">
        <v>34</v>
      </c>
      <c r="Q41" t="s">
        <v>19</v>
      </c>
      <c r="T41" t="s">
        <v>35</v>
      </c>
    </row>
    <row r="42" spans="1:20" x14ac:dyDescent="0.3">
      <c r="A42">
        <v>722907257</v>
      </c>
      <c r="B42" s="1">
        <v>46124.978188078705</v>
      </c>
      <c r="C42" s="1">
        <v>46124.983062222222</v>
      </c>
      <c r="D42" s="2">
        <v>46124</v>
      </c>
      <c r="E42">
        <v>60</v>
      </c>
      <c r="F42">
        <v>5</v>
      </c>
      <c r="G42" t="s">
        <v>30</v>
      </c>
      <c r="H42" t="s">
        <v>79</v>
      </c>
      <c r="I42" s="2">
        <v>43388</v>
      </c>
      <c r="J42">
        <v>1</v>
      </c>
      <c r="K42" t="s">
        <v>32</v>
      </c>
      <c r="L42" t="s">
        <v>113</v>
      </c>
      <c r="M42" t="s">
        <v>25</v>
      </c>
      <c r="N42">
        <v>45</v>
      </c>
      <c r="O42" t="s">
        <v>73</v>
      </c>
      <c r="Q42" t="s">
        <v>19</v>
      </c>
      <c r="T42" t="s">
        <v>74</v>
      </c>
    </row>
    <row r="43" spans="1:20" x14ac:dyDescent="0.3">
      <c r="A43">
        <v>722908296</v>
      </c>
      <c r="B43" s="1">
        <v>46124.98306377315</v>
      </c>
      <c r="C43" s="1">
        <v>46124.986659675924</v>
      </c>
      <c r="D43" s="2">
        <v>46124</v>
      </c>
      <c r="E43">
        <v>828</v>
      </c>
      <c r="F43">
        <v>69</v>
      </c>
      <c r="G43" t="s">
        <v>22</v>
      </c>
      <c r="H43" t="s">
        <v>114</v>
      </c>
      <c r="I43" s="2">
        <v>43353</v>
      </c>
      <c r="J43">
        <v>31</v>
      </c>
      <c r="K43" t="s">
        <v>32</v>
      </c>
      <c r="L43" t="s">
        <v>115</v>
      </c>
      <c r="M43" t="s">
        <v>38</v>
      </c>
      <c r="N43">
        <v>20</v>
      </c>
      <c r="O43" t="s">
        <v>34</v>
      </c>
      <c r="Q43" t="s">
        <v>19</v>
      </c>
      <c r="T43" t="s">
        <v>35</v>
      </c>
    </row>
    <row r="44" spans="1:20" x14ac:dyDescent="0.3">
      <c r="A44">
        <v>722909162</v>
      </c>
      <c r="B44" s="1">
        <v>46124.986660856484</v>
      </c>
      <c r="C44" s="1">
        <v>46124.990848576388</v>
      </c>
      <c r="D44" s="2">
        <v>46124</v>
      </c>
      <c r="E44">
        <v>216</v>
      </c>
      <c r="F44">
        <v>18</v>
      </c>
      <c r="G44" t="s">
        <v>30</v>
      </c>
      <c r="H44" t="s">
        <v>116</v>
      </c>
      <c r="I44" s="2">
        <v>43396</v>
      </c>
      <c r="J44">
        <v>1</v>
      </c>
      <c r="K44" t="s">
        <v>32</v>
      </c>
      <c r="L44" t="s">
        <v>117</v>
      </c>
      <c r="M44" t="s">
        <v>38</v>
      </c>
      <c r="N44">
        <v>50</v>
      </c>
      <c r="O44" t="s">
        <v>26</v>
      </c>
      <c r="P44" t="s">
        <v>27</v>
      </c>
      <c r="Q44" t="s">
        <v>19</v>
      </c>
      <c r="T44" t="s">
        <v>64</v>
      </c>
    </row>
    <row r="45" spans="1:20" x14ac:dyDescent="0.3">
      <c r="A45">
        <v>722910446</v>
      </c>
      <c r="B45" s="1">
        <v>46124.990849699076</v>
      </c>
      <c r="C45" s="1">
        <v>46124.995360706016</v>
      </c>
      <c r="D45" s="2">
        <v>46124</v>
      </c>
      <c r="E45">
        <v>612</v>
      </c>
      <c r="F45">
        <v>51</v>
      </c>
      <c r="G45" t="s">
        <v>30</v>
      </c>
      <c r="H45" t="s">
        <v>118</v>
      </c>
      <c r="I45" s="2">
        <v>43384</v>
      </c>
      <c r="J45">
        <v>4</v>
      </c>
      <c r="K45" t="s">
        <v>32</v>
      </c>
      <c r="L45" t="s">
        <v>119</v>
      </c>
      <c r="M45" t="s">
        <v>25</v>
      </c>
      <c r="N45">
        <v>10</v>
      </c>
      <c r="O45" t="s">
        <v>120</v>
      </c>
      <c r="P45" t="s">
        <v>121</v>
      </c>
      <c r="Q45" t="s">
        <v>19</v>
      </c>
      <c r="T45" t="s">
        <v>35</v>
      </c>
    </row>
    <row r="46" spans="1:20" x14ac:dyDescent="0.3">
      <c r="A46">
        <v>722913007</v>
      </c>
      <c r="B46" s="1">
        <v>46124.995361944442</v>
      </c>
      <c r="C46" s="1">
        <v>46125.002760393516</v>
      </c>
      <c r="D46" s="2">
        <v>46124</v>
      </c>
      <c r="E46">
        <v>396</v>
      </c>
      <c r="F46">
        <v>33</v>
      </c>
      <c r="G46" t="s">
        <v>30</v>
      </c>
      <c r="H46" t="s">
        <v>77</v>
      </c>
      <c r="I46" s="2">
        <v>43384</v>
      </c>
      <c r="J46">
        <v>1925</v>
      </c>
      <c r="K46" t="s">
        <v>32</v>
      </c>
      <c r="L46" t="s">
        <v>122</v>
      </c>
      <c r="M46" t="s">
        <v>25</v>
      </c>
      <c r="N46">
        <v>20</v>
      </c>
      <c r="O46" t="s">
        <v>60</v>
      </c>
      <c r="P46" t="s">
        <v>123</v>
      </c>
      <c r="Q46" t="s">
        <v>19</v>
      </c>
      <c r="T46" t="s">
        <v>35</v>
      </c>
    </row>
    <row r="47" spans="1:20" x14ac:dyDescent="0.3">
      <c r="A47">
        <v>723500929</v>
      </c>
      <c r="B47" s="1">
        <v>46125.002761875003</v>
      </c>
      <c r="C47" s="1">
        <v>46125.559270370373</v>
      </c>
      <c r="D47" s="2">
        <v>46125</v>
      </c>
      <c r="E47">
        <v>264</v>
      </c>
      <c r="F47">
        <v>22</v>
      </c>
      <c r="G47" t="s">
        <v>30</v>
      </c>
      <c r="H47" t="s">
        <v>97</v>
      </c>
      <c r="I47" s="2">
        <v>43319</v>
      </c>
      <c r="J47">
        <v>1</v>
      </c>
      <c r="K47" t="s">
        <v>24</v>
      </c>
      <c r="M47" t="s">
        <v>25</v>
      </c>
      <c r="N47">
        <v>20</v>
      </c>
      <c r="O47" t="s">
        <v>73</v>
      </c>
      <c r="Q47" t="s">
        <v>19</v>
      </c>
      <c r="T47" t="s">
        <v>74</v>
      </c>
    </row>
    <row r="48" spans="1:20" x14ac:dyDescent="0.3">
      <c r="A48">
        <v>723506643</v>
      </c>
      <c r="B48" s="1">
        <v>46125.559271782404</v>
      </c>
      <c r="C48" s="1">
        <v>46125.563204560189</v>
      </c>
      <c r="D48" s="2">
        <v>46125</v>
      </c>
      <c r="E48">
        <v>480</v>
      </c>
      <c r="F48">
        <v>40</v>
      </c>
      <c r="G48" t="s">
        <v>30</v>
      </c>
      <c r="H48" t="s">
        <v>77</v>
      </c>
      <c r="I48" s="2">
        <v>43433</v>
      </c>
      <c r="J48">
        <v>385</v>
      </c>
      <c r="K48" t="s">
        <v>32</v>
      </c>
      <c r="L48" t="s">
        <v>124</v>
      </c>
      <c r="M48" t="s">
        <v>25</v>
      </c>
      <c r="N48">
        <v>6</v>
      </c>
      <c r="O48" t="s">
        <v>26</v>
      </c>
      <c r="P48" t="s">
        <v>27</v>
      </c>
      <c r="Q48" t="s">
        <v>19</v>
      </c>
      <c r="T48" t="s">
        <v>70</v>
      </c>
    </row>
    <row r="49" spans="1:22" x14ac:dyDescent="0.3">
      <c r="A49">
        <v>723519297</v>
      </c>
      <c r="B49" s="1">
        <v>46125.563205879633</v>
      </c>
      <c r="C49" s="1">
        <v>46125.572342187501</v>
      </c>
      <c r="D49" s="2">
        <v>46125</v>
      </c>
      <c r="E49">
        <v>444</v>
      </c>
      <c r="F49">
        <v>37</v>
      </c>
      <c r="G49" t="s">
        <v>22</v>
      </c>
      <c r="H49" t="s">
        <v>125</v>
      </c>
      <c r="I49" s="2">
        <v>43291</v>
      </c>
      <c r="J49">
        <v>4</v>
      </c>
      <c r="K49" t="s">
        <v>32</v>
      </c>
      <c r="L49" t="s">
        <v>126</v>
      </c>
      <c r="M49" t="s">
        <v>25</v>
      </c>
      <c r="N49">
        <v>30</v>
      </c>
      <c r="O49" t="s">
        <v>51</v>
      </c>
      <c r="Q49" t="s">
        <v>19</v>
      </c>
      <c r="T49" t="s">
        <v>35</v>
      </c>
    </row>
    <row r="50" spans="1:22" x14ac:dyDescent="0.3">
      <c r="A50">
        <v>723528166</v>
      </c>
      <c r="B50" s="1">
        <v>46125.572343148146</v>
      </c>
      <c r="C50" s="1">
        <v>46125.579447384262</v>
      </c>
      <c r="D50" s="2">
        <v>46125</v>
      </c>
      <c r="E50">
        <v>816</v>
      </c>
      <c r="F50">
        <v>68</v>
      </c>
      <c r="G50" t="s">
        <v>22</v>
      </c>
      <c r="H50" t="s">
        <v>103</v>
      </c>
      <c r="I50" s="2">
        <v>43286</v>
      </c>
      <c r="J50">
        <v>385</v>
      </c>
      <c r="K50" t="s">
        <v>24</v>
      </c>
      <c r="M50" t="s">
        <v>25</v>
      </c>
      <c r="N50">
        <v>2</v>
      </c>
      <c r="O50" t="s">
        <v>26</v>
      </c>
      <c r="P50" t="s">
        <v>27</v>
      </c>
      <c r="Q50" t="s">
        <v>19</v>
      </c>
      <c r="T50" t="s">
        <v>35</v>
      </c>
    </row>
    <row r="51" spans="1:22" x14ac:dyDescent="0.3">
      <c r="A51">
        <v>726303830</v>
      </c>
      <c r="B51" s="1">
        <v>46124.807729907407</v>
      </c>
      <c r="C51" s="1">
        <v>46128.412530555557</v>
      </c>
      <c r="D51" s="2">
        <v>46124</v>
      </c>
      <c r="E51">
        <v>180</v>
      </c>
      <c r="F51">
        <v>15</v>
      </c>
      <c r="G51" t="s">
        <v>22</v>
      </c>
      <c r="H51" t="s">
        <v>81</v>
      </c>
      <c r="I51" s="2">
        <v>45747</v>
      </c>
      <c r="J51">
        <v>21</v>
      </c>
      <c r="K51" t="s">
        <v>24</v>
      </c>
      <c r="M51" t="s">
        <v>38</v>
      </c>
      <c r="N51">
        <v>17</v>
      </c>
      <c r="O51" t="s">
        <v>110</v>
      </c>
      <c r="Q51" t="s">
        <v>28</v>
      </c>
      <c r="S51" t="s">
        <v>47</v>
      </c>
      <c r="V51" t="s">
        <v>127</v>
      </c>
    </row>
    <row r="52" spans="1:22" x14ac:dyDescent="0.3">
      <c r="A52">
        <v>726306825</v>
      </c>
      <c r="B52" s="1">
        <v>46128.412531099537</v>
      </c>
      <c r="C52" s="1">
        <v>46128.414594351852</v>
      </c>
      <c r="D52" s="2">
        <v>46128</v>
      </c>
      <c r="E52">
        <v>192</v>
      </c>
      <c r="F52">
        <v>16</v>
      </c>
      <c r="G52" t="s">
        <v>30</v>
      </c>
      <c r="H52" t="s">
        <v>81</v>
      </c>
      <c r="I52" s="2">
        <v>45929</v>
      </c>
      <c r="J52">
        <v>3</v>
      </c>
      <c r="K52" t="s">
        <v>32</v>
      </c>
      <c r="L52" t="s">
        <v>128</v>
      </c>
      <c r="M52" t="s">
        <v>38</v>
      </c>
      <c r="N52">
        <v>20</v>
      </c>
      <c r="O52" t="s">
        <v>69</v>
      </c>
      <c r="Q52" t="s">
        <v>19</v>
      </c>
      <c r="T52" t="s">
        <v>47</v>
      </c>
      <c r="V52" t="s">
        <v>127</v>
      </c>
    </row>
    <row r="53" spans="1:22" x14ac:dyDescent="0.3">
      <c r="A53">
        <v>726343086</v>
      </c>
      <c r="B53" s="1">
        <v>46128.414594641203</v>
      </c>
      <c r="C53" s="1">
        <v>46128.441035613425</v>
      </c>
      <c r="D53" s="2">
        <v>46128</v>
      </c>
      <c r="E53">
        <v>132</v>
      </c>
      <c r="F53">
        <v>11</v>
      </c>
      <c r="G53" t="s">
        <v>22</v>
      </c>
      <c r="H53" t="s">
        <v>81</v>
      </c>
      <c r="I53" s="2">
        <v>45887</v>
      </c>
      <c r="J53">
        <v>7</v>
      </c>
      <c r="K53" t="s">
        <v>32</v>
      </c>
      <c r="L53" t="s">
        <v>129</v>
      </c>
      <c r="M53" t="s">
        <v>38</v>
      </c>
      <c r="N53">
        <v>12</v>
      </c>
      <c r="O53" t="s">
        <v>34</v>
      </c>
      <c r="Q53" t="s">
        <v>19</v>
      </c>
      <c r="T53" t="s">
        <v>74</v>
      </c>
    </row>
    <row r="54" spans="1:22" x14ac:dyDescent="0.3">
      <c r="A54">
        <v>726483329</v>
      </c>
      <c r="B54" s="1">
        <v>46128.441036145836</v>
      </c>
      <c r="C54" s="1">
        <v>46128.541520937499</v>
      </c>
      <c r="D54" s="2">
        <v>46128</v>
      </c>
      <c r="E54">
        <v>900</v>
      </c>
      <c r="F54">
        <v>75</v>
      </c>
      <c r="G54" t="s">
        <v>22</v>
      </c>
      <c r="H54" t="s">
        <v>130</v>
      </c>
      <c r="I54" s="2">
        <v>45524</v>
      </c>
      <c r="J54">
        <v>21</v>
      </c>
      <c r="K54" t="s">
        <v>24</v>
      </c>
      <c r="M54" t="s">
        <v>25</v>
      </c>
      <c r="N54">
        <v>3</v>
      </c>
      <c r="O54" t="s">
        <v>69</v>
      </c>
      <c r="Q54" t="s">
        <v>28</v>
      </c>
      <c r="S54" t="s">
        <v>47</v>
      </c>
      <c r="V54" t="s">
        <v>131</v>
      </c>
    </row>
    <row r="55" spans="1:22" x14ac:dyDescent="0.3">
      <c r="A55">
        <v>726486061</v>
      </c>
      <c r="B55" s="1">
        <v>46128.541521284722</v>
      </c>
      <c r="C55" s="1">
        <v>46128.543839618054</v>
      </c>
      <c r="D55" s="2">
        <v>46128</v>
      </c>
      <c r="E55">
        <v>720</v>
      </c>
      <c r="F55">
        <v>60</v>
      </c>
      <c r="G55" t="s">
        <v>30</v>
      </c>
      <c r="H55" t="s">
        <v>77</v>
      </c>
      <c r="I55" s="2">
        <v>45428</v>
      </c>
      <c r="J55">
        <v>60</v>
      </c>
      <c r="K55" t="s">
        <v>24</v>
      </c>
      <c r="M55" t="s">
        <v>25</v>
      </c>
      <c r="N55">
        <v>6</v>
      </c>
      <c r="O55" t="s">
        <v>34</v>
      </c>
      <c r="Q55" t="s">
        <v>40</v>
      </c>
      <c r="R55" t="s">
        <v>47</v>
      </c>
      <c r="V55" t="s">
        <v>132</v>
      </c>
    </row>
    <row r="56" spans="1:22" x14ac:dyDescent="0.3">
      <c r="A56">
        <v>726493855</v>
      </c>
      <c r="B56" s="1">
        <v>46128.543839872684</v>
      </c>
      <c r="C56" s="1">
        <v>46128.549896168981</v>
      </c>
      <c r="D56" s="2">
        <v>46128</v>
      </c>
      <c r="E56">
        <v>396</v>
      </c>
      <c r="F56">
        <v>33</v>
      </c>
      <c r="G56" t="s">
        <v>30</v>
      </c>
      <c r="H56" t="s">
        <v>133</v>
      </c>
      <c r="I56" s="2">
        <v>46042</v>
      </c>
      <c r="J56">
        <v>6</v>
      </c>
      <c r="K56" t="s">
        <v>32</v>
      </c>
      <c r="L56" t="s">
        <v>134</v>
      </c>
      <c r="M56" t="s">
        <v>25</v>
      </c>
      <c r="N56">
        <v>5</v>
      </c>
      <c r="O56" t="s">
        <v>34</v>
      </c>
      <c r="Q56" t="s">
        <v>19</v>
      </c>
      <c r="T56" t="s">
        <v>35</v>
      </c>
    </row>
    <row r="57" spans="1:22" x14ac:dyDescent="0.3">
      <c r="A57">
        <v>726495267</v>
      </c>
      <c r="B57" s="1">
        <v>46128.549896504628</v>
      </c>
      <c r="C57" s="1">
        <v>46128.551095115741</v>
      </c>
      <c r="D57" s="2">
        <v>46128</v>
      </c>
      <c r="E57">
        <v>156</v>
      </c>
      <c r="F57">
        <v>13</v>
      </c>
      <c r="G57" t="s">
        <v>30</v>
      </c>
      <c r="H57" t="s">
        <v>81</v>
      </c>
      <c r="I57" s="2">
        <v>46100</v>
      </c>
      <c r="J57">
        <v>4</v>
      </c>
      <c r="K57" t="s">
        <v>24</v>
      </c>
      <c r="M57" t="s">
        <v>25</v>
      </c>
      <c r="N57">
        <v>2</v>
      </c>
      <c r="O57" t="s">
        <v>88</v>
      </c>
      <c r="Q57" t="s">
        <v>28</v>
      </c>
      <c r="S57" t="s">
        <v>101</v>
      </c>
    </row>
    <row r="58" spans="1:22" x14ac:dyDescent="0.3">
      <c r="A58">
        <v>726513108</v>
      </c>
      <c r="B58" s="1">
        <v>46128.551095532406</v>
      </c>
      <c r="C58" s="1">
        <v>46128.564362696758</v>
      </c>
      <c r="D58" s="2">
        <v>46128</v>
      </c>
      <c r="E58">
        <v>36</v>
      </c>
      <c r="F58">
        <v>3</v>
      </c>
      <c r="G58" t="s">
        <v>30</v>
      </c>
      <c r="H58" t="s">
        <v>27</v>
      </c>
      <c r="I58" s="2">
        <v>45859</v>
      </c>
      <c r="J58">
        <v>14</v>
      </c>
      <c r="K58" t="s">
        <v>32</v>
      </c>
      <c r="L58" t="s">
        <v>95</v>
      </c>
      <c r="M58" t="s">
        <v>38</v>
      </c>
      <c r="N58">
        <v>90</v>
      </c>
      <c r="O58" t="s">
        <v>88</v>
      </c>
      <c r="Q58" t="s">
        <v>19</v>
      </c>
      <c r="T58" t="s">
        <v>64</v>
      </c>
    </row>
    <row r="59" spans="1:22" x14ac:dyDescent="0.3">
      <c r="A59">
        <v>726515934</v>
      </c>
      <c r="B59" s="1">
        <v>46128.564363263889</v>
      </c>
      <c r="C59" s="1">
        <v>46128.565966562499</v>
      </c>
      <c r="D59" s="2">
        <v>46128</v>
      </c>
      <c r="E59">
        <v>144</v>
      </c>
      <c r="F59">
        <v>12</v>
      </c>
      <c r="G59" t="s">
        <v>22</v>
      </c>
      <c r="H59" t="s">
        <v>81</v>
      </c>
      <c r="I59" s="2">
        <v>45876</v>
      </c>
      <c r="J59">
        <v>7</v>
      </c>
      <c r="K59" t="s">
        <v>32</v>
      </c>
      <c r="L59" t="s">
        <v>105</v>
      </c>
      <c r="M59" t="s">
        <v>38</v>
      </c>
      <c r="N59">
        <v>31</v>
      </c>
      <c r="O59" t="s">
        <v>69</v>
      </c>
      <c r="Q59" t="s">
        <v>19</v>
      </c>
      <c r="T59" t="s">
        <v>64</v>
      </c>
    </row>
    <row r="60" spans="1:22" x14ac:dyDescent="0.3">
      <c r="A60">
        <v>726521403</v>
      </c>
      <c r="B60" s="1">
        <v>46128.56596699074</v>
      </c>
      <c r="C60" s="1">
        <v>46128.568923425926</v>
      </c>
      <c r="D60" s="2">
        <v>46128</v>
      </c>
      <c r="E60">
        <v>108</v>
      </c>
      <c r="F60">
        <v>9</v>
      </c>
      <c r="G60" t="s">
        <v>22</v>
      </c>
      <c r="H60" t="s">
        <v>86</v>
      </c>
      <c r="I60" s="2">
        <v>45820</v>
      </c>
      <c r="J60">
        <v>3</v>
      </c>
      <c r="K60" t="s">
        <v>32</v>
      </c>
      <c r="L60" t="s">
        <v>135</v>
      </c>
      <c r="M60" t="s">
        <v>38</v>
      </c>
      <c r="N60">
        <v>35</v>
      </c>
      <c r="O60" t="s">
        <v>88</v>
      </c>
      <c r="Q60" t="s">
        <v>19</v>
      </c>
      <c r="T60" t="s">
        <v>64</v>
      </c>
    </row>
    <row r="61" spans="1:22" x14ac:dyDescent="0.3">
      <c r="A61">
        <v>726526577</v>
      </c>
      <c r="B61" s="1">
        <v>46128.568923773149</v>
      </c>
      <c r="C61" s="1">
        <v>46128.571173171295</v>
      </c>
      <c r="D61" s="2">
        <v>46128</v>
      </c>
      <c r="E61">
        <v>60</v>
      </c>
      <c r="F61">
        <v>5</v>
      </c>
      <c r="G61" t="s">
        <v>22</v>
      </c>
      <c r="H61" t="s">
        <v>86</v>
      </c>
      <c r="I61" s="2">
        <v>45798</v>
      </c>
      <c r="J61">
        <v>3</v>
      </c>
      <c r="K61" t="s">
        <v>24</v>
      </c>
      <c r="M61" t="s">
        <v>25</v>
      </c>
      <c r="N61">
        <v>8</v>
      </c>
      <c r="O61" t="s">
        <v>34</v>
      </c>
      <c r="Q61" t="s">
        <v>28</v>
      </c>
      <c r="S61" t="s">
        <v>101</v>
      </c>
    </row>
    <row r="62" spans="1:22" x14ac:dyDescent="0.3">
      <c r="A62">
        <v>726532569</v>
      </c>
      <c r="B62" s="1">
        <v>46128.571173449076</v>
      </c>
      <c r="C62" s="1">
        <v>46128.574363043983</v>
      </c>
      <c r="D62" s="2">
        <v>46128</v>
      </c>
      <c r="E62">
        <v>648</v>
      </c>
      <c r="F62">
        <v>54</v>
      </c>
      <c r="G62" t="s">
        <v>30</v>
      </c>
      <c r="H62" t="s">
        <v>31</v>
      </c>
      <c r="I62" s="2">
        <v>43999</v>
      </c>
      <c r="J62">
        <v>30</v>
      </c>
      <c r="K62" t="s">
        <v>24</v>
      </c>
      <c r="M62" t="s">
        <v>38</v>
      </c>
      <c r="N62">
        <v>45</v>
      </c>
      <c r="O62" t="s">
        <v>69</v>
      </c>
      <c r="Q62" t="s">
        <v>40</v>
      </c>
      <c r="R62" t="s">
        <v>136</v>
      </c>
    </row>
    <row r="63" spans="1:22" x14ac:dyDescent="0.3">
      <c r="A63">
        <v>726537104</v>
      </c>
      <c r="B63" s="1">
        <v>46128.574363356478</v>
      </c>
      <c r="C63" s="1">
        <v>46128.576718912038</v>
      </c>
      <c r="D63" s="2">
        <v>46128</v>
      </c>
      <c r="E63">
        <v>132</v>
      </c>
      <c r="F63">
        <v>11</v>
      </c>
      <c r="G63" t="s">
        <v>22</v>
      </c>
      <c r="H63" t="s">
        <v>86</v>
      </c>
      <c r="I63" s="2">
        <v>44173</v>
      </c>
      <c r="J63">
        <v>7</v>
      </c>
      <c r="K63" t="s">
        <v>24</v>
      </c>
      <c r="M63" t="s">
        <v>38</v>
      </c>
      <c r="N63">
        <v>8</v>
      </c>
      <c r="O63" t="s">
        <v>34</v>
      </c>
      <c r="Q63" t="s">
        <v>19</v>
      </c>
      <c r="T63" t="s">
        <v>74</v>
      </c>
    </row>
    <row r="64" spans="1:22" x14ac:dyDescent="0.3">
      <c r="A64">
        <v>726539838</v>
      </c>
      <c r="B64" s="1">
        <v>46128.576719212964</v>
      </c>
      <c r="C64" s="1">
        <v>46128.578267083336</v>
      </c>
      <c r="D64" s="2">
        <v>46128</v>
      </c>
      <c r="E64">
        <v>60</v>
      </c>
      <c r="F64">
        <v>5</v>
      </c>
      <c r="G64" t="s">
        <v>30</v>
      </c>
      <c r="H64" t="s">
        <v>79</v>
      </c>
      <c r="I64" s="2">
        <v>43915</v>
      </c>
      <c r="J64">
        <v>7</v>
      </c>
      <c r="K64" t="s">
        <v>24</v>
      </c>
      <c r="M64" t="s">
        <v>25</v>
      </c>
      <c r="N64">
        <v>1</v>
      </c>
      <c r="O64" t="s">
        <v>26</v>
      </c>
      <c r="P64" t="s">
        <v>27</v>
      </c>
      <c r="Q64" t="s">
        <v>28</v>
      </c>
      <c r="S64" t="s">
        <v>101</v>
      </c>
    </row>
    <row r="65" spans="1:20" x14ac:dyDescent="0.3">
      <c r="A65">
        <v>726543699</v>
      </c>
      <c r="B65" s="1">
        <v>46128.578267407407</v>
      </c>
      <c r="C65" s="1">
        <v>46128.580463101855</v>
      </c>
      <c r="D65" s="2">
        <v>46128</v>
      </c>
      <c r="E65">
        <v>900</v>
      </c>
      <c r="F65">
        <v>75</v>
      </c>
      <c r="G65" t="s">
        <v>22</v>
      </c>
      <c r="H65" t="s">
        <v>137</v>
      </c>
      <c r="I65" s="2">
        <v>44127</v>
      </c>
      <c r="J65">
        <v>14</v>
      </c>
      <c r="K65" t="s">
        <v>32</v>
      </c>
      <c r="L65" t="s">
        <v>92</v>
      </c>
      <c r="M65" t="s">
        <v>38</v>
      </c>
      <c r="N65">
        <v>50</v>
      </c>
      <c r="O65" t="s">
        <v>59</v>
      </c>
      <c r="Q65" t="s">
        <v>19</v>
      </c>
      <c r="T65" t="s">
        <v>64</v>
      </c>
    </row>
    <row r="66" spans="1:20" x14ac:dyDescent="0.3">
      <c r="A66">
        <v>726548975</v>
      </c>
      <c r="B66" s="1">
        <v>46128.580463460647</v>
      </c>
      <c r="C66" s="1">
        <v>46128.583261145832</v>
      </c>
      <c r="D66" s="2">
        <v>46128</v>
      </c>
      <c r="E66">
        <v>60</v>
      </c>
      <c r="F66">
        <v>5</v>
      </c>
      <c r="G66" t="s">
        <v>30</v>
      </c>
      <c r="H66" t="s">
        <v>79</v>
      </c>
      <c r="I66" s="2">
        <v>44167</v>
      </c>
      <c r="J66">
        <v>4</v>
      </c>
      <c r="K66" t="s">
        <v>32</v>
      </c>
      <c r="L66" t="s">
        <v>92</v>
      </c>
      <c r="M66" t="s">
        <v>25</v>
      </c>
      <c r="N66">
        <v>15</v>
      </c>
      <c r="O66" t="s">
        <v>69</v>
      </c>
      <c r="Q66" t="s">
        <v>19</v>
      </c>
      <c r="T66" t="s">
        <v>35</v>
      </c>
    </row>
    <row r="67" spans="1:20" x14ac:dyDescent="0.3">
      <c r="A67">
        <v>726554261</v>
      </c>
      <c r="B67" s="1">
        <v>46128.583261504631</v>
      </c>
      <c r="C67" s="1">
        <v>46128.585583981483</v>
      </c>
      <c r="D67" s="2">
        <v>46128</v>
      </c>
      <c r="E67">
        <v>24</v>
      </c>
      <c r="F67">
        <v>2</v>
      </c>
      <c r="G67" t="s">
        <v>22</v>
      </c>
      <c r="H67" t="s">
        <v>27</v>
      </c>
      <c r="I67" s="2">
        <v>44154</v>
      </c>
      <c r="J67">
        <v>5</v>
      </c>
      <c r="K67" t="s">
        <v>32</v>
      </c>
      <c r="L67" t="s">
        <v>138</v>
      </c>
      <c r="M67" t="s">
        <v>38</v>
      </c>
      <c r="N67">
        <v>31</v>
      </c>
      <c r="O67" t="s">
        <v>88</v>
      </c>
      <c r="Q67" t="s">
        <v>19</v>
      </c>
      <c r="T67" t="s">
        <v>64</v>
      </c>
    </row>
    <row r="68" spans="1:20" x14ac:dyDescent="0.3">
      <c r="A68">
        <v>726595677</v>
      </c>
      <c r="B68" s="1">
        <v>46128.585584282409</v>
      </c>
      <c r="C68" s="1">
        <v>46128.605656157408</v>
      </c>
      <c r="D68" s="2">
        <v>46128</v>
      </c>
      <c r="E68">
        <v>840</v>
      </c>
      <c r="F68">
        <v>70</v>
      </c>
      <c r="G68" t="s">
        <v>30</v>
      </c>
      <c r="H68" t="s">
        <v>23</v>
      </c>
      <c r="I68" s="2">
        <v>45923</v>
      </c>
      <c r="J68">
        <v>6</v>
      </c>
      <c r="K68" t="s">
        <v>32</v>
      </c>
      <c r="L68" t="s">
        <v>139</v>
      </c>
      <c r="M68" t="s">
        <v>25</v>
      </c>
      <c r="N68">
        <v>39</v>
      </c>
      <c r="O68" t="s">
        <v>88</v>
      </c>
      <c r="Q68" t="s">
        <v>19</v>
      </c>
      <c r="T68" t="s">
        <v>64</v>
      </c>
    </row>
    <row r="69" spans="1:20" x14ac:dyDescent="0.3">
      <c r="A69">
        <v>726600709</v>
      </c>
      <c r="B69" s="1">
        <v>46128.605656608794</v>
      </c>
      <c r="C69" s="1">
        <v>46128.608212465275</v>
      </c>
      <c r="D69" s="2">
        <v>46128</v>
      </c>
      <c r="E69">
        <v>876</v>
      </c>
      <c r="F69">
        <v>73</v>
      </c>
      <c r="G69" t="s">
        <v>22</v>
      </c>
      <c r="H69" t="s">
        <v>23</v>
      </c>
      <c r="I69" s="2">
        <v>46058</v>
      </c>
      <c r="J69">
        <v>7</v>
      </c>
      <c r="K69" t="s">
        <v>24</v>
      </c>
      <c r="M69" t="s">
        <v>25</v>
      </c>
      <c r="N69">
        <v>5</v>
      </c>
      <c r="O69" t="s">
        <v>69</v>
      </c>
      <c r="Q69" t="s">
        <v>40</v>
      </c>
      <c r="R69" t="s">
        <v>136</v>
      </c>
    </row>
    <row r="70" spans="1:20" x14ac:dyDescent="0.3">
      <c r="A70">
        <v>726604770</v>
      </c>
      <c r="B70" s="1">
        <v>46128.608212800929</v>
      </c>
      <c r="C70" s="1">
        <v>46128.610248888886</v>
      </c>
      <c r="D70" s="2">
        <v>46128</v>
      </c>
      <c r="E70">
        <v>900</v>
      </c>
      <c r="F70">
        <v>75</v>
      </c>
      <c r="G70" t="s">
        <v>30</v>
      </c>
      <c r="H70" t="s">
        <v>23</v>
      </c>
      <c r="I70" s="2">
        <v>45468</v>
      </c>
      <c r="J70">
        <v>30</v>
      </c>
      <c r="K70" t="s">
        <v>24</v>
      </c>
      <c r="M70" t="s">
        <v>25</v>
      </c>
      <c r="N70">
        <v>1</v>
      </c>
      <c r="O70" t="s">
        <v>34</v>
      </c>
      <c r="Q70" t="s">
        <v>40</v>
      </c>
      <c r="R70" t="s">
        <v>44</v>
      </c>
    </row>
    <row r="71" spans="1:20" x14ac:dyDescent="0.3">
      <c r="A71">
        <v>726607612</v>
      </c>
      <c r="B71" s="1">
        <v>46128.610249212965</v>
      </c>
      <c r="C71" s="1">
        <v>46128.611850185189</v>
      </c>
      <c r="D71" s="2">
        <v>46128</v>
      </c>
      <c r="E71">
        <v>1164</v>
      </c>
      <c r="F71">
        <v>97</v>
      </c>
      <c r="G71" t="s">
        <v>30</v>
      </c>
      <c r="H71" t="s">
        <v>23</v>
      </c>
      <c r="I71" s="2">
        <v>45356</v>
      </c>
      <c r="J71">
        <v>42</v>
      </c>
      <c r="K71" t="s">
        <v>24</v>
      </c>
      <c r="M71" t="s">
        <v>25</v>
      </c>
      <c r="N71">
        <v>10</v>
      </c>
      <c r="O71" t="s">
        <v>34</v>
      </c>
      <c r="Q71" t="s">
        <v>40</v>
      </c>
      <c r="R71" t="s">
        <v>44</v>
      </c>
    </row>
    <row r="72" spans="1:20" x14ac:dyDescent="0.3">
      <c r="A72">
        <v>726613688</v>
      </c>
      <c r="B72" s="1">
        <v>46128.611850474539</v>
      </c>
      <c r="C72" s="1">
        <v>46128.614850381942</v>
      </c>
      <c r="D72" s="2">
        <v>46128</v>
      </c>
      <c r="E72">
        <v>91</v>
      </c>
      <c r="F72">
        <v>7.6</v>
      </c>
      <c r="G72" t="s">
        <v>30</v>
      </c>
      <c r="H72" t="s">
        <v>79</v>
      </c>
      <c r="I72" s="2">
        <v>45639</v>
      </c>
      <c r="J72">
        <v>15</v>
      </c>
      <c r="K72" t="s">
        <v>24</v>
      </c>
      <c r="M72" t="s">
        <v>38</v>
      </c>
      <c r="N72">
        <v>18</v>
      </c>
      <c r="O72" t="s">
        <v>69</v>
      </c>
      <c r="Q72" t="s">
        <v>19</v>
      </c>
      <c r="T72" t="s">
        <v>70</v>
      </c>
    </row>
    <row r="73" spans="1:20" x14ac:dyDescent="0.3">
      <c r="A73">
        <v>726618268</v>
      </c>
      <c r="B73" s="1">
        <v>46128.614850706021</v>
      </c>
      <c r="C73" s="1">
        <v>46128.617198576387</v>
      </c>
      <c r="D73" s="2">
        <v>46128</v>
      </c>
      <c r="E73">
        <v>732</v>
      </c>
      <c r="F73">
        <v>61</v>
      </c>
      <c r="G73" t="s">
        <v>30</v>
      </c>
      <c r="H73" t="s">
        <v>27</v>
      </c>
      <c r="I73" s="2">
        <v>45364</v>
      </c>
      <c r="J73">
        <v>10</v>
      </c>
      <c r="K73" t="s">
        <v>24</v>
      </c>
      <c r="M73" t="s">
        <v>25</v>
      </c>
      <c r="N73">
        <v>17</v>
      </c>
      <c r="O73" t="s">
        <v>34</v>
      </c>
      <c r="Q73" t="s">
        <v>40</v>
      </c>
      <c r="R73" t="s">
        <v>44</v>
      </c>
    </row>
    <row r="74" spans="1:20" x14ac:dyDescent="0.3">
      <c r="A74">
        <v>727067760</v>
      </c>
      <c r="B74" s="1">
        <v>46128.617198946762</v>
      </c>
      <c r="C74" s="1">
        <v>46128.916751840276</v>
      </c>
      <c r="D74" s="2">
        <v>46128</v>
      </c>
      <c r="E74">
        <v>20</v>
      </c>
      <c r="F74">
        <v>1.7</v>
      </c>
      <c r="G74" t="s">
        <v>22</v>
      </c>
      <c r="H74" t="s">
        <v>23</v>
      </c>
      <c r="I74" s="2">
        <v>44194</v>
      </c>
      <c r="J74">
        <v>5</v>
      </c>
      <c r="K74" t="s">
        <v>32</v>
      </c>
      <c r="L74" t="s">
        <v>140</v>
      </c>
      <c r="M74" t="s">
        <v>38</v>
      </c>
      <c r="N74">
        <v>90</v>
      </c>
      <c r="O74" t="s">
        <v>73</v>
      </c>
      <c r="Q74" t="s">
        <v>19</v>
      </c>
      <c r="T74" t="s">
        <v>64</v>
      </c>
    </row>
    <row r="75" spans="1:20" x14ac:dyDescent="0.3">
      <c r="A75">
        <v>727075917</v>
      </c>
      <c r="B75" s="1">
        <v>46128.916752314813</v>
      </c>
      <c r="C75" s="1">
        <v>46128.922604444444</v>
      </c>
      <c r="D75" s="2">
        <v>46128</v>
      </c>
      <c r="E75">
        <v>564</v>
      </c>
      <c r="F75">
        <v>47</v>
      </c>
      <c r="G75" t="s">
        <v>30</v>
      </c>
      <c r="H75" t="s">
        <v>23</v>
      </c>
      <c r="I75" s="2">
        <v>44040</v>
      </c>
      <c r="J75">
        <v>912</v>
      </c>
      <c r="K75" t="s">
        <v>24</v>
      </c>
      <c r="M75" t="s">
        <v>38</v>
      </c>
      <c r="N75">
        <v>20</v>
      </c>
      <c r="O75" t="s">
        <v>34</v>
      </c>
      <c r="Q75" t="s">
        <v>40</v>
      </c>
      <c r="R75" t="s">
        <v>136</v>
      </c>
    </row>
    <row r="76" spans="1:20" x14ac:dyDescent="0.3">
      <c r="A76">
        <v>727075927</v>
      </c>
      <c r="B76" s="1">
        <v>46128.922605046297</v>
      </c>
      <c r="C76" s="1">
        <v>46128.926178831018</v>
      </c>
      <c r="D76" s="2">
        <v>46128</v>
      </c>
      <c r="E76">
        <v>60</v>
      </c>
      <c r="F76">
        <v>5</v>
      </c>
      <c r="G76" t="s">
        <v>30</v>
      </c>
      <c r="H76" t="s">
        <v>79</v>
      </c>
      <c r="I76" s="2">
        <v>43748</v>
      </c>
      <c r="J76">
        <v>730</v>
      </c>
      <c r="K76" t="s">
        <v>24</v>
      </c>
      <c r="M76" t="s">
        <v>38</v>
      </c>
      <c r="N76">
        <v>6</v>
      </c>
      <c r="O76" t="s">
        <v>34</v>
      </c>
      <c r="Q76" t="s">
        <v>19</v>
      </c>
      <c r="T76" t="s">
        <v>35</v>
      </c>
    </row>
    <row r="77" spans="1:20" x14ac:dyDescent="0.3">
      <c r="A77">
        <v>727075931</v>
      </c>
      <c r="B77" s="1">
        <v>46128.926179189817</v>
      </c>
      <c r="C77" s="1">
        <v>46128.928734050925</v>
      </c>
      <c r="D77" s="2">
        <v>46128</v>
      </c>
      <c r="E77">
        <v>672</v>
      </c>
      <c r="F77">
        <v>56</v>
      </c>
      <c r="G77" t="s">
        <v>30</v>
      </c>
      <c r="H77" t="s">
        <v>77</v>
      </c>
      <c r="I77" s="2">
        <v>43871</v>
      </c>
      <c r="J77">
        <v>21</v>
      </c>
      <c r="K77" t="s">
        <v>24</v>
      </c>
      <c r="M77" t="s">
        <v>38</v>
      </c>
      <c r="N77">
        <v>40</v>
      </c>
      <c r="O77" t="s">
        <v>69</v>
      </c>
      <c r="Q77" t="s">
        <v>40</v>
      </c>
      <c r="R77" t="s">
        <v>91</v>
      </c>
    </row>
    <row r="78" spans="1:20" x14ac:dyDescent="0.3">
      <c r="A78">
        <v>727075934</v>
      </c>
      <c r="B78" s="1">
        <v>46128.928734398149</v>
      </c>
      <c r="C78" s="1">
        <v>46128.930693807873</v>
      </c>
      <c r="D78" s="2">
        <v>46128</v>
      </c>
      <c r="E78">
        <v>624</v>
      </c>
      <c r="F78">
        <v>52</v>
      </c>
      <c r="G78" t="s">
        <v>22</v>
      </c>
      <c r="H78" t="s">
        <v>133</v>
      </c>
      <c r="I78" s="2">
        <v>45265</v>
      </c>
      <c r="J78">
        <v>7</v>
      </c>
      <c r="K78" t="s">
        <v>24</v>
      </c>
      <c r="M78" t="s">
        <v>38</v>
      </c>
      <c r="N78">
        <v>30</v>
      </c>
      <c r="O78" t="s">
        <v>34</v>
      </c>
      <c r="Q78" t="s">
        <v>40</v>
      </c>
      <c r="R78" t="s">
        <v>44</v>
      </c>
    </row>
    <row r="79" spans="1:20" x14ac:dyDescent="0.3">
      <c r="A79">
        <v>727075938</v>
      </c>
      <c r="B79" s="1">
        <v>46128.930694189818</v>
      </c>
      <c r="C79" s="1">
        <v>46128.933192060184</v>
      </c>
      <c r="D79" s="2">
        <v>46128</v>
      </c>
      <c r="E79">
        <v>852</v>
      </c>
      <c r="F79">
        <v>71</v>
      </c>
      <c r="G79" t="s">
        <v>30</v>
      </c>
      <c r="H79" t="s">
        <v>141</v>
      </c>
      <c r="I79" s="2">
        <v>43745</v>
      </c>
      <c r="J79">
        <v>7</v>
      </c>
      <c r="K79" t="s">
        <v>24</v>
      </c>
      <c r="M79" t="s">
        <v>38</v>
      </c>
      <c r="N79">
        <v>7</v>
      </c>
      <c r="O79" t="s">
        <v>69</v>
      </c>
      <c r="Q79" t="s">
        <v>40</v>
      </c>
      <c r="R79" t="s">
        <v>44</v>
      </c>
    </row>
    <row r="80" spans="1:20" x14ac:dyDescent="0.3">
      <c r="A80">
        <v>727169159</v>
      </c>
      <c r="B80" s="1">
        <v>46128.933192500001</v>
      </c>
      <c r="C80" s="1">
        <v>46129.159121018522</v>
      </c>
      <c r="D80" s="2">
        <v>46128</v>
      </c>
      <c r="E80">
        <v>552</v>
      </c>
      <c r="F80">
        <v>46</v>
      </c>
      <c r="G80" t="s">
        <v>30</v>
      </c>
      <c r="H80" t="s">
        <v>134</v>
      </c>
      <c r="I80" s="2">
        <v>45233</v>
      </c>
      <c r="J80">
        <v>5</v>
      </c>
      <c r="K80" t="s">
        <v>24</v>
      </c>
      <c r="M80" t="s">
        <v>25</v>
      </c>
      <c r="N80">
        <v>14</v>
      </c>
      <c r="O80" t="s">
        <v>88</v>
      </c>
      <c r="Q80" t="s">
        <v>28</v>
      </c>
      <c r="S80" t="s">
        <v>101</v>
      </c>
    </row>
    <row r="81" spans="1:22" x14ac:dyDescent="0.3">
      <c r="A81">
        <v>727169164</v>
      </c>
      <c r="B81" s="1">
        <v>46129.159121446763</v>
      </c>
      <c r="C81" s="1">
        <v>46129.162394571758</v>
      </c>
      <c r="D81" s="2">
        <v>46129</v>
      </c>
      <c r="E81">
        <v>48</v>
      </c>
      <c r="F81">
        <v>4</v>
      </c>
      <c r="G81" t="s">
        <v>22</v>
      </c>
      <c r="H81" t="s">
        <v>86</v>
      </c>
      <c r="I81" s="2">
        <v>45237</v>
      </c>
      <c r="J81">
        <v>1458</v>
      </c>
      <c r="K81" t="s">
        <v>24</v>
      </c>
      <c r="M81" t="s">
        <v>38</v>
      </c>
      <c r="N81">
        <v>15</v>
      </c>
      <c r="O81" t="s">
        <v>34</v>
      </c>
      <c r="Q81" t="s">
        <v>40</v>
      </c>
      <c r="R81" t="s">
        <v>47</v>
      </c>
      <c r="V81" t="s">
        <v>142</v>
      </c>
    </row>
    <row r="82" spans="1:22" x14ac:dyDescent="0.3">
      <c r="A82">
        <v>727169171</v>
      </c>
      <c r="B82" s="1">
        <v>46129.162394884261</v>
      </c>
      <c r="C82" s="1">
        <v>46129.166005509258</v>
      </c>
      <c r="D82" s="2">
        <v>46129</v>
      </c>
      <c r="E82">
        <v>552</v>
      </c>
      <c r="F82">
        <v>46</v>
      </c>
      <c r="G82" t="s">
        <v>30</v>
      </c>
      <c r="H82" t="s">
        <v>143</v>
      </c>
      <c r="I82" s="2">
        <v>45412</v>
      </c>
      <c r="J82">
        <v>657</v>
      </c>
      <c r="K82" t="s">
        <v>24</v>
      </c>
      <c r="M82" t="s">
        <v>25</v>
      </c>
      <c r="N82">
        <v>4</v>
      </c>
      <c r="O82" t="s">
        <v>34</v>
      </c>
      <c r="Q82" t="s">
        <v>144</v>
      </c>
      <c r="U82" t="s">
        <v>47</v>
      </c>
      <c r="V82" t="s">
        <v>145</v>
      </c>
    </row>
    <row r="83" spans="1:22" x14ac:dyDescent="0.3">
      <c r="A83">
        <v>727169173</v>
      </c>
      <c r="B83" s="1">
        <v>46129.166005833336</v>
      </c>
      <c r="C83" s="1">
        <v>46129.167279340276</v>
      </c>
      <c r="D83" s="2">
        <v>46129</v>
      </c>
      <c r="E83">
        <v>11</v>
      </c>
      <c r="F83">
        <v>0.9</v>
      </c>
      <c r="G83" t="s">
        <v>30</v>
      </c>
      <c r="H83" t="s">
        <v>23</v>
      </c>
      <c r="I83" s="2">
        <v>45469</v>
      </c>
      <c r="J83">
        <v>4</v>
      </c>
      <c r="K83" t="s">
        <v>24</v>
      </c>
      <c r="M83" t="s">
        <v>25</v>
      </c>
      <c r="N83">
        <v>10</v>
      </c>
      <c r="O83" t="s">
        <v>34</v>
      </c>
      <c r="Q83" t="s">
        <v>28</v>
      </c>
      <c r="S83" t="s">
        <v>101</v>
      </c>
    </row>
    <row r="84" spans="1:22" x14ac:dyDescent="0.3">
      <c r="A84">
        <v>727169177</v>
      </c>
      <c r="B84" s="1">
        <v>46129.167279618057</v>
      </c>
      <c r="C84" s="1">
        <v>46129.169292766201</v>
      </c>
      <c r="D84" s="2">
        <v>46129</v>
      </c>
      <c r="E84">
        <v>552</v>
      </c>
      <c r="F84">
        <v>46</v>
      </c>
      <c r="G84" t="s">
        <v>22</v>
      </c>
      <c r="H84" t="s">
        <v>146</v>
      </c>
      <c r="I84" s="2">
        <v>45435</v>
      </c>
      <c r="J84">
        <v>30</v>
      </c>
      <c r="K84" t="s">
        <v>24</v>
      </c>
      <c r="M84" t="s">
        <v>25</v>
      </c>
      <c r="N84">
        <v>10</v>
      </c>
      <c r="O84" t="s">
        <v>88</v>
      </c>
      <c r="Q84" t="s">
        <v>28</v>
      </c>
      <c r="S84" t="s">
        <v>147</v>
      </c>
    </row>
    <row r="85" spans="1:22" x14ac:dyDescent="0.3">
      <c r="A85">
        <v>727254557</v>
      </c>
      <c r="B85" s="1">
        <v>46129.169293136576</v>
      </c>
      <c r="C85" s="1">
        <v>46129.280062048609</v>
      </c>
      <c r="D85" s="2">
        <v>46129</v>
      </c>
      <c r="E85">
        <v>564</v>
      </c>
      <c r="F85">
        <v>47</v>
      </c>
      <c r="G85" t="s">
        <v>22</v>
      </c>
      <c r="H85" t="s">
        <v>39</v>
      </c>
      <c r="I85" s="2">
        <v>45546</v>
      </c>
      <c r="J85">
        <v>7</v>
      </c>
      <c r="K85" t="s">
        <v>32</v>
      </c>
      <c r="L85" t="s">
        <v>148</v>
      </c>
      <c r="M85" t="s">
        <v>38</v>
      </c>
      <c r="N85">
        <v>22</v>
      </c>
      <c r="O85" t="s">
        <v>69</v>
      </c>
      <c r="Q85" t="s">
        <v>19</v>
      </c>
      <c r="T85" t="s">
        <v>35</v>
      </c>
    </row>
    <row r="86" spans="1:22" x14ac:dyDescent="0.3">
      <c r="A86">
        <v>727363670</v>
      </c>
      <c r="B86" s="1">
        <v>46129.280062442129</v>
      </c>
      <c r="C86" s="1">
        <v>46129.368551273146</v>
      </c>
      <c r="D86" s="2">
        <v>46129</v>
      </c>
      <c r="E86">
        <v>624</v>
      </c>
      <c r="F86">
        <v>52</v>
      </c>
      <c r="G86" t="s">
        <v>30</v>
      </c>
      <c r="H86" t="s">
        <v>77</v>
      </c>
      <c r="I86" s="2">
        <v>45489</v>
      </c>
      <c r="J86">
        <v>730</v>
      </c>
      <c r="K86" t="s">
        <v>24</v>
      </c>
      <c r="M86" t="s">
        <v>25</v>
      </c>
      <c r="N86">
        <v>15</v>
      </c>
      <c r="O86" t="s">
        <v>88</v>
      </c>
      <c r="Q86" t="s">
        <v>144</v>
      </c>
      <c r="U86" t="s">
        <v>47</v>
      </c>
      <c r="V86" t="s">
        <v>145</v>
      </c>
    </row>
    <row r="87" spans="1:22" x14ac:dyDescent="0.3">
      <c r="A87">
        <v>727368762</v>
      </c>
      <c r="B87" s="1">
        <v>46129.368551782405</v>
      </c>
      <c r="C87" s="1">
        <v>46129.372988148149</v>
      </c>
      <c r="D87" s="2">
        <v>46129</v>
      </c>
      <c r="E87">
        <v>972</v>
      </c>
      <c r="F87">
        <v>81</v>
      </c>
      <c r="G87" t="s">
        <v>22</v>
      </c>
      <c r="H87" t="s">
        <v>149</v>
      </c>
      <c r="I87" s="2">
        <v>45523</v>
      </c>
      <c r="J87">
        <v>14</v>
      </c>
      <c r="K87" t="s">
        <v>32</v>
      </c>
      <c r="L87" t="s">
        <v>134</v>
      </c>
      <c r="M87" t="s">
        <v>58</v>
      </c>
      <c r="N87">
        <v>3</v>
      </c>
      <c r="O87" t="s">
        <v>34</v>
      </c>
      <c r="Q87" t="s">
        <v>19</v>
      </c>
      <c r="T87" t="s">
        <v>35</v>
      </c>
    </row>
    <row r="88" spans="1:22" x14ac:dyDescent="0.3">
      <c r="A88">
        <v>727375146</v>
      </c>
      <c r="B88" s="1">
        <v>46129.372988506948</v>
      </c>
      <c r="C88" s="1">
        <v>46129.377149386572</v>
      </c>
      <c r="D88" s="2">
        <v>46129</v>
      </c>
      <c r="E88">
        <v>792</v>
      </c>
      <c r="F88">
        <v>66</v>
      </c>
      <c r="G88" t="s">
        <v>30</v>
      </c>
      <c r="H88" t="s">
        <v>77</v>
      </c>
      <c r="I88" s="2">
        <v>45534</v>
      </c>
      <c r="J88">
        <v>365</v>
      </c>
      <c r="K88" t="s">
        <v>24</v>
      </c>
      <c r="M88" t="s">
        <v>25</v>
      </c>
      <c r="N88">
        <v>15</v>
      </c>
      <c r="O88" t="s">
        <v>34</v>
      </c>
      <c r="Q88" t="s">
        <v>40</v>
      </c>
      <c r="R88" t="s">
        <v>91</v>
      </c>
    </row>
    <row r="89" spans="1:22" x14ac:dyDescent="0.3">
      <c r="A89">
        <v>727381382</v>
      </c>
      <c r="B89" s="1">
        <v>46129.37714971065</v>
      </c>
      <c r="C89" s="1">
        <v>46129.381235833331</v>
      </c>
      <c r="D89" s="2">
        <v>46129</v>
      </c>
      <c r="E89">
        <v>840</v>
      </c>
      <c r="F89">
        <v>70</v>
      </c>
      <c r="G89" t="s">
        <v>30</v>
      </c>
      <c r="H89" t="s">
        <v>77</v>
      </c>
      <c r="I89" s="2">
        <v>46038</v>
      </c>
      <c r="J89">
        <v>6</v>
      </c>
      <c r="K89" t="s">
        <v>32</v>
      </c>
      <c r="L89" t="s">
        <v>92</v>
      </c>
      <c r="M89" t="s">
        <v>25</v>
      </c>
      <c r="N89">
        <v>47</v>
      </c>
      <c r="O89" t="s">
        <v>88</v>
      </c>
      <c r="Q89" t="s">
        <v>19</v>
      </c>
      <c r="T89" t="s">
        <v>64</v>
      </c>
    </row>
    <row r="90" spans="1:22" x14ac:dyDescent="0.3">
      <c r="A90">
        <v>727387342</v>
      </c>
      <c r="B90" s="1">
        <v>46129.381236180554</v>
      </c>
      <c r="C90" s="1">
        <v>46129.385445312502</v>
      </c>
      <c r="D90" s="2">
        <v>46129</v>
      </c>
      <c r="E90">
        <v>18</v>
      </c>
      <c r="F90">
        <v>1.5</v>
      </c>
      <c r="G90" t="s">
        <v>22</v>
      </c>
      <c r="H90" t="s">
        <v>27</v>
      </c>
      <c r="I90" s="2">
        <v>45406</v>
      </c>
      <c r="J90">
        <v>2</v>
      </c>
      <c r="K90" t="s">
        <v>24</v>
      </c>
      <c r="M90" t="s">
        <v>25</v>
      </c>
      <c r="N90">
        <v>1</v>
      </c>
      <c r="O90" t="s">
        <v>34</v>
      </c>
      <c r="Q90" t="s">
        <v>28</v>
      </c>
      <c r="S90" t="s">
        <v>101</v>
      </c>
    </row>
    <row r="91" spans="1:22" x14ac:dyDescent="0.3">
      <c r="A91">
        <v>727394807</v>
      </c>
      <c r="B91" s="1">
        <v>46129.385445671294</v>
      </c>
      <c r="C91" s="1">
        <v>46129.390417002316</v>
      </c>
      <c r="D91" s="2">
        <v>46129</v>
      </c>
      <c r="E91">
        <v>552</v>
      </c>
      <c r="F91">
        <v>46</v>
      </c>
      <c r="G91" t="s">
        <v>22</v>
      </c>
      <c r="H91" t="s">
        <v>150</v>
      </c>
      <c r="I91" s="2">
        <v>46043</v>
      </c>
      <c r="J91">
        <v>4</v>
      </c>
      <c r="K91" t="s">
        <v>32</v>
      </c>
      <c r="L91" t="s">
        <v>151</v>
      </c>
      <c r="M91" t="s">
        <v>38</v>
      </c>
      <c r="N91">
        <v>5</v>
      </c>
      <c r="O91" t="s">
        <v>88</v>
      </c>
      <c r="Q91" t="s">
        <v>19</v>
      </c>
      <c r="T91" t="s">
        <v>74</v>
      </c>
    </row>
    <row r="92" spans="1:22" x14ac:dyDescent="0.3">
      <c r="A92">
        <v>727401585</v>
      </c>
      <c r="B92" s="1">
        <v>46129.390417361108</v>
      </c>
      <c r="C92" s="1">
        <v>46129.395338159724</v>
      </c>
      <c r="D92" s="2">
        <v>46129</v>
      </c>
      <c r="E92">
        <v>1164</v>
      </c>
      <c r="F92">
        <v>97</v>
      </c>
      <c r="G92" t="s">
        <v>30</v>
      </c>
      <c r="H92" t="s">
        <v>23</v>
      </c>
      <c r="I92" s="2">
        <v>46106</v>
      </c>
      <c r="J92">
        <v>60</v>
      </c>
      <c r="K92" t="s">
        <v>24</v>
      </c>
      <c r="M92" t="s">
        <v>25</v>
      </c>
      <c r="N92">
        <v>15</v>
      </c>
      <c r="O92" t="s">
        <v>88</v>
      </c>
      <c r="Q92" t="s">
        <v>40</v>
      </c>
      <c r="R92" t="s">
        <v>44</v>
      </c>
    </row>
    <row r="93" spans="1:22" x14ac:dyDescent="0.3">
      <c r="A93">
        <v>727409977</v>
      </c>
      <c r="B93" s="1">
        <v>46129.395338530092</v>
      </c>
      <c r="C93" s="1">
        <v>46129.401674930552</v>
      </c>
      <c r="D93" s="2">
        <v>46129</v>
      </c>
      <c r="E93">
        <v>912</v>
      </c>
      <c r="F93">
        <v>76</v>
      </c>
      <c r="G93" t="s">
        <v>30</v>
      </c>
      <c r="H93" t="s">
        <v>77</v>
      </c>
      <c r="I93" s="2">
        <v>46111</v>
      </c>
      <c r="J93">
        <v>60</v>
      </c>
      <c r="K93" t="s">
        <v>24</v>
      </c>
      <c r="M93" t="s">
        <v>25</v>
      </c>
      <c r="N93">
        <v>14</v>
      </c>
      <c r="O93" t="s">
        <v>88</v>
      </c>
      <c r="Q93" t="s">
        <v>40</v>
      </c>
      <c r="R93" t="s">
        <v>47</v>
      </c>
      <c r="V93" t="s">
        <v>132</v>
      </c>
    </row>
    <row r="94" spans="1:22" x14ac:dyDescent="0.3">
      <c r="A94">
        <v>727417895</v>
      </c>
      <c r="B94" s="1">
        <v>46129.401675312503</v>
      </c>
      <c r="C94" s="1">
        <v>46129.407057835648</v>
      </c>
      <c r="D94" s="2">
        <v>46129</v>
      </c>
      <c r="E94">
        <v>792</v>
      </c>
      <c r="F94">
        <v>66</v>
      </c>
      <c r="G94" t="s">
        <v>30</v>
      </c>
      <c r="H94" t="s">
        <v>23</v>
      </c>
      <c r="I94" s="2">
        <v>45362</v>
      </c>
      <c r="J94">
        <v>210</v>
      </c>
      <c r="K94" t="s">
        <v>24</v>
      </c>
      <c r="M94" t="s">
        <v>25</v>
      </c>
      <c r="N94">
        <v>6</v>
      </c>
      <c r="O94" t="s">
        <v>34</v>
      </c>
      <c r="Q94" t="s">
        <v>40</v>
      </c>
      <c r="R94" t="s">
        <v>44</v>
      </c>
    </row>
    <row r="95" spans="1:22" x14ac:dyDescent="0.3">
      <c r="A95">
        <v>727422558</v>
      </c>
      <c r="B95" s="1">
        <v>46129.407058229168</v>
      </c>
      <c r="C95" s="1">
        <v>46129.410446481481</v>
      </c>
      <c r="D95" s="2">
        <v>46129</v>
      </c>
      <c r="E95">
        <v>948</v>
      </c>
      <c r="F95">
        <v>79</v>
      </c>
      <c r="G95" t="s">
        <v>22</v>
      </c>
      <c r="H95" t="s">
        <v>152</v>
      </c>
      <c r="I95" s="2">
        <v>46049</v>
      </c>
      <c r="J95">
        <v>35</v>
      </c>
      <c r="K95" t="s">
        <v>24</v>
      </c>
      <c r="M95" t="s">
        <v>25</v>
      </c>
      <c r="N95">
        <v>10</v>
      </c>
      <c r="O95" t="s">
        <v>34</v>
      </c>
      <c r="Q95" t="s">
        <v>40</v>
      </c>
      <c r="R95" t="s">
        <v>136</v>
      </c>
    </row>
    <row r="96" spans="1:22" x14ac:dyDescent="0.3">
      <c r="A96">
        <v>727427192</v>
      </c>
      <c r="B96" s="1">
        <v>46129.410446793983</v>
      </c>
      <c r="C96" s="1">
        <v>46129.414217708334</v>
      </c>
      <c r="D96" s="2">
        <v>46129</v>
      </c>
      <c r="E96">
        <v>648</v>
      </c>
      <c r="F96">
        <v>54</v>
      </c>
      <c r="G96" t="s">
        <v>30</v>
      </c>
      <c r="H96" t="s">
        <v>77</v>
      </c>
      <c r="I96" s="2">
        <v>45406</v>
      </c>
      <c r="J96">
        <v>90</v>
      </c>
      <c r="K96" t="s">
        <v>24</v>
      </c>
      <c r="M96" t="s">
        <v>25</v>
      </c>
      <c r="N96">
        <v>12</v>
      </c>
      <c r="O96" t="s">
        <v>34</v>
      </c>
      <c r="Q96" t="s">
        <v>144</v>
      </c>
      <c r="U96" t="s">
        <v>47</v>
      </c>
      <c r="V96" t="s">
        <v>145</v>
      </c>
    </row>
    <row r="97" spans="1:22" x14ac:dyDescent="0.3">
      <c r="A97">
        <v>727560327</v>
      </c>
      <c r="B97" s="1">
        <v>46129.41421800926</v>
      </c>
      <c r="C97" s="1">
        <v>46129.523002986112</v>
      </c>
      <c r="D97" s="2">
        <v>46129</v>
      </c>
      <c r="E97">
        <v>528</v>
      </c>
      <c r="F97">
        <v>44</v>
      </c>
      <c r="G97" t="s">
        <v>22</v>
      </c>
      <c r="H97" t="s">
        <v>153</v>
      </c>
      <c r="I97" s="2">
        <v>44179</v>
      </c>
      <c r="J97">
        <v>14</v>
      </c>
      <c r="K97" t="s">
        <v>32</v>
      </c>
      <c r="L97" t="s">
        <v>128</v>
      </c>
      <c r="M97" t="s">
        <v>38</v>
      </c>
      <c r="N97">
        <v>26</v>
      </c>
      <c r="O97" t="s">
        <v>69</v>
      </c>
      <c r="Q97" t="s">
        <v>19</v>
      </c>
      <c r="T97" t="s">
        <v>74</v>
      </c>
    </row>
    <row r="98" spans="1:22" x14ac:dyDescent="0.3">
      <c r="A98">
        <v>727564575</v>
      </c>
      <c r="B98" s="1">
        <v>46129.523003506947</v>
      </c>
      <c r="C98" s="1">
        <v>46129.52622684028</v>
      </c>
      <c r="D98" s="2">
        <v>46129</v>
      </c>
      <c r="E98">
        <v>72</v>
      </c>
      <c r="F98">
        <v>6</v>
      </c>
      <c r="G98" t="s">
        <v>22</v>
      </c>
      <c r="H98" t="s">
        <v>86</v>
      </c>
      <c r="I98" s="2">
        <v>43955</v>
      </c>
      <c r="J98">
        <v>3</v>
      </c>
      <c r="K98" t="s">
        <v>32</v>
      </c>
      <c r="L98" t="s">
        <v>105</v>
      </c>
      <c r="M98" t="s">
        <v>38</v>
      </c>
      <c r="N98">
        <v>9</v>
      </c>
      <c r="O98" t="s">
        <v>88</v>
      </c>
      <c r="Q98" t="s">
        <v>19</v>
      </c>
      <c r="T98" t="s">
        <v>74</v>
      </c>
    </row>
    <row r="99" spans="1:22" x14ac:dyDescent="0.3">
      <c r="A99">
        <v>727575819</v>
      </c>
      <c r="B99" s="1">
        <v>46129.526227326387</v>
      </c>
      <c r="C99" s="1">
        <v>46129.534637604163</v>
      </c>
      <c r="D99" s="2">
        <v>46129</v>
      </c>
      <c r="E99">
        <v>72</v>
      </c>
      <c r="F99">
        <v>6</v>
      </c>
      <c r="G99" t="s">
        <v>30</v>
      </c>
      <c r="H99" t="s">
        <v>79</v>
      </c>
      <c r="I99" s="2">
        <v>43676</v>
      </c>
      <c r="J99">
        <v>12</v>
      </c>
      <c r="K99" t="s">
        <v>24</v>
      </c>
      <c r="M99" t="s">
        <v>25</v>
      </c>
      <c r="N99">
        <v>7</v>
      </c>
      <c r="O99" t="s">
        <v>34</v>
      </c>
      <c r="Q99" t="s">
        <v>28</v>
      </c>
      <c r="S99" t="s">
        <v>29</v>
      </c>
    </row>
    <row r="100" spans="1:22" x14ac:dyDescent="0.3">
      <c r="A100">
        <v>727580014</v>
      </c>
      <c r="B100" s="1">
        <v>46129.534638252313</v>
      </c>
      <c r="C100" s="1">
        <v>46129.537729340278</v>
      </c>
      <c r="D100" s="2">
        <v>46129</v>
      </c>
      <c r="E100">
        <v>36</v>
      </c>
      <c r="F100">
        <v>3</v>
      </c>
      <c r="G100" t="s">
        <v>22</v>
      </c>
      <c r="H100" t="s">
        <v>23</v>
      </c>
      <c r="I100" s="2">
        <v>43544</v>
      </c>
      <c r="J100">
        <v>180</v>
      </c>
      <c r="K100" t="s">
        <v>24</v>
      </c>
      <c r="M100" t="s">
        <v>25</v>
      </c>
      <c r="N100">
        <v>6</v>
      </c>
      <c r="O100" t="s">
        <v>34</v>
      </c>
      <c r="Q100" t="s">
        <v>28</v>
      </c>
      <c r="S100" t="s">
        <v>101</v>
      </c>
    </row>
    <row r="101" spans="1:22" x14ac:dyDescent="0.3">
      <c r="A101">
        <v>727583780</v>
      </c>
      <c r="B101" s="1">
        <v>46129.537729768519</v>
      </c>
      <c r="C101" s="1">
        <v>46129.540583657406</v>
      </c>
      <c r="D101" s="2">
        <v>46129</v>
      </c>
      <c r="E101">
        <v>36</v>
      </c>
      <c r="F101">
        <v>3</v>
      </c>
      <c r="G101" t="s">
        <v>30</v>
      </c>
      <c r="H101" t="s">
        <v>79</v>
      </c>
      <c r="I101" s="2">
        <v>43598</v>
      </c>
      <c r="J101">
        <v>5</v>
      </c>
      <c r="K101" t="s">
        <v>24</v>
      </c>
      <c r="M101" t="s">
        <v>25</v>
      </c>
      <c r="N101">
        <v>1</v>
      </c>
      <c r="O101" t="s">
        <v>88</v>
      </c>
      <c r="Q101" t="s">
        <v>28</v>
      </c>
      <c r="S101" t="s">
        <v>101</v>
      </c>
    </row>
    <row r="102" spans="1:22" x14ac:dyDescent="0.3">
      <c r="A102">
        <v>727587593</v>
      </c>
      <c r="B102" s="1">
        <v>46129.526660381947</v>
      </c>
      <c r="C102" s="1">
        <v>46129.543653171299</v>
      </c>
      <c r="D102" s="2">
        <v>46129</v>
      </c>
      <c r="E102">
        <v>312</v>
      </c>
      <c r="F102">
        <v>26</v>
      </c>
      <c r="G102" t="s">
        <v>22</v>
      </c>
      <c r="H102" t="s">
        <v>39</v>
      </c>
      <c r="I102" s="2">
        <v>43971</v>
      </c>
      <c r="J102">
        <v>10</v>
      </c>
      <c r="K102" t="s">
        <v>32</v>
      </c>
      <c r="L102" t="s">
        <v>154</v>
      </c>
      <c r="M102" t="s">
        <v>38</v>
      </c>
      <c r="N102">
        <v>1</v>
      </c>
      <c r="O102" t="s">
        <v>51</v>
      </c>
      <c r="Q102" t="s">
        <v>19</v>
      </c>
      <c r="T102" t="s">
        <v>35</v>
      </c>
    </row>
    <row r="103" spans="1:22" x14ac:dyDescent="0.3">
      <c r="A103">
        <v>727587971</v>
      </c>
      <c r="B103" s="1">
        <v>46129.540583969909</v>
      </c>
      <c r="C103" s="1">
        <v>46129.544028680553</v>
      </c>
      <c r="D103" s="2">
        <v>46129</v>
      </c>
      <c r="E103">
        <v>948</v>
      </c>
      <c r="F103">
        <v>79</v>
      </c>
      <c r="G103" t="s">
        <v>30</v>
      </c>
      <c r="H103" t="s">
        <v>23</v>
      </c>
      <c r="I103" s="2">
        <v>44104</v>
      </c>
      <c r="J103">
        <v>28</v>
      </c>
      <c r="K103" t="s">
        <v>24</v>
      </c>
      <c r="M103" t="s">
        <v>25</v>
      </c>
      <c r="N103">
        <v>2</v>
      </c>
      <c r="O103" t="s">
        <v>88</v>
      </c>
      <c r="Q103" t="s">
        <v>40</v>
      </c>
      <c r="R103" t="s">
        <v>136</v>
      </c>
    </row>
    <row r="104" spans="1:22" x14ac:dyDescent="0.3">
      <c r="A104">
        <v>727591779</v>
      </c>
      <c r="B104" s="1">
        <v>46129.544029062497</v>
      </c>
      <c r="C104" s="1">
        <v>46129.547018831021</v>
      </c>
      <c r="D104" s="2">
        <v>46129</v>
      </c>
      <c r="E104">
        <v>396</v>
      </c>
      <c r="F104">
        <v>33</v>
      </c>
      <c r="G104" t="s">
        <v>22</v>
      </c>
      <c r="H104" t="s">
        <v>155</v>
      </c>
      <c r="I104" s="2">
        <v>43587</v>
      </c>
      <c r="J104">
        <v>14</v>
      </c>
      <c r="K104" t="s">
        <v>32</v>
      </c>
      <c r="L104" t="s">
        <v>134</v>
      </c>
      <c r="M104" t="s">
        <v>38</v>
      </c>
      <c r="N104">
        <v>10</v>
      </c>
      <c r="O104" t="s">
        <v>69</v>
      </c>
      <c r="Q104" t="s">
        <v>19</v>
      </c>
      <c r="T104" t="s">
        <v>74</v>
      </c>
    </row>
    <row r="105" spans="1:22" x14ac:dyDescent="0.3">
      <c r="A105">
        <v>727647105</v>
      </c>
      <c r="B105" s="1">
        <v>46129.547019282407</v>
      </c>
      <c r="C105" s="1">
        <v>46129.583760046298</v>
      </c>
      <c r="D105" s="2">
        <v>46129</v>
      </c>
      <c r="E105">
        <v>720</v>
      </c>
      <c r="F105">
        <v>60</v>
      </c>
      <c r="G105" t="s">
        <v>22</v>
      </c>
      <c r="H105" t="s">
        <v>153</v>
      </c>
      <c r="I105" s="2">
        <v>46027</v>
      </c>
      <c r="J105">
        <v>6</v>
      </c>
      <c r="K105" t="s">
        <v>24</v>
      </c>
      <c r="M105" t="s">
        <v>25</v>
      </c>
      <c r="N105">
        <v>2</v>
      </c>
      <c r="O105" t="s">
        <v>88</v>
      </c>
      <c r="Q105" t="s">
        <v>28</v>
      </c>
      <c r="S105" t="s">
        <v>147</v>
      </c>
    </row>
    <row r="106" spans="1:22" x14ac:dyDescent="0.3">
      <c r="A106">
        <v>727652676</v>
      </c>
      <c r="B106" s="1">
        <v>46129.58376050926</v>
      </c>
      <c r="C106" s="1">
        <v>46129.586736817131</v>
      </c>
      <c r="D106" s="2">
        <v>46129</v>
      </c>
      <c r="E106">
        <v>324</v>
      </c>
      <c r="F106">
        <v>27</v>
      </c>
      <c r="G106" t="s">
        <v>30</v>
      </c>
      <c r="H106" t="s">
        <v>23</v>
      </c>
      <c r="I106" s="2">
        <v>46017</v>
      </c>
      <c r="J106">
        <v>6</v>
      </c>
      <c r="K106" t="s">
        <v>24</v>
      </c>
      <c r="M106" t="s">
        <v>38</v>
      </c>
      <c r="N106">
        <v>16</v>
      </c>
      <c r="O106" t="s">
        <v>88</v>
      </c>
      <c r="Q106" t="s">
        <v>19</v>
      </c>
      <c r="T106" t="s">
        <v>47</v>
      </c>
      <c r="V106" t="s">
        <v>127</v>
      </c>
    </row>
    <row r="107" spans="1:22" x14ac:dyDescent="0.3">
      <c r="A107">
        <v>727653455</v>
      </c>
      <c r="B107" s="1">
        <v>46125.57944927083</v>
      </c>
      <c r="C107" s="1">
        <v>46129.58718278935</v>
      </c>
      <c r="D107" s="2">
        <v>46125</v>
      </c>
      <c r="E107">
        <v>492</v>
      </c>
      <c r="F107">
        <v>41</v>
      </c>
      <c r="G107" t="s">
        <v>30</v>
      </c>
      <c r="H107" t="s">
        <v>156</v>
      </c>
      <c r="I107" s="2">
        <v>45468</v>
      </c>
      <c r="J107">
        <v>385</v>
      </c>
      <c r="K107" t="s">
        <v>32</v>
      </c>
      <c r="L107" t="s">
        <v>157</v>
      </c>
      <c r="M107" t="s">
        <v>25</v>
      </c>
      <c r="N107">
        <v>60</v>
      </c>
      <c r="O107" t="s">
        <v>69</v>
      </c>
      <c r="Q107" t="s">
        <v>19</v>
      </c>
      <c r="T107" t="s">
        <v>35</v>
      </c>
    </row>
    <row r="108" spans="1:22" x14ac:dyDescent="0.3">
      <c r="A108">
        <v>727658203</v>
      </c>
      <c r="B108" s="1">
        <v>46129.587184328702</v>
      </c>
      <c r="C108" s="1">
        <v>46129.589605775465</v>
      </c>
      <c r="D108" s="2">
        <v>46129</v>
      </c>
      <c r="E108">
        <v>396</v>
      </c>
      <c r="F108">
        <v>33</v>
      </c>
      <c r="G108" t="s">
        <v>30</v>
      </c>
      <c r="H108" t="s">
        <v>42</v>
      </c>
      <c r="I108" s="2">
        <v>45166</v>
      </c>
      <c r="J108">
        <v>577</v>
      </c>
      <c r="K108" t="s">
        <v>24</v>
      </c>
      <c r="M108" t="s">
        <v>38</v>
      </c>
      <c r="N108">
        <v>48</v>
      </c>
      <c r="O108" t="s">
        <v>88</v>
      </c>
      <c r="Q108" t="s">
        <v>40</v>
      </c>
      <c r="R108" t="s">
        <v>136</v>
      </c>
    </row>
    <row r="109" spans="1:22" x14ac:dyDescent="0.3">
      <c r="A109">
        <v>727661443</v>
      </c>
      <c r="B109" s="1">
        <v>46129.589607094909</v>
      </c>
      <c r="C109" s="1">
        <v>46129.591293530095</v>
      </c>
      <c r="D109" s="2">
        <v>46129</v>
      </c>
      <c r="E109">
        <v>840</v>
      </c>
      <c r="F109">
        <v>70</v>
      </c>
      <c r="G109" t="s">
        <v>30</v>
      </c>
      <c r="H109" t="s">
        <v>90</v>
      </c>
      <c r="I109" s="2">
        <v>45289</v>
      </c>
      <c r="J109">
        <v>62</v>
      </c>
      <c r="K109" t="s">
        <v>24</v>
      </c>
      <c r="M109" t="s">
        <v>25</v>
      </c>
      <c r="N109">
        <v>95</v>
      </c>
      <c r="O109" t="s">
        <v>69</v>
      </c>
      <c r="Q109" t="s">
        <v>40</v>
      </c>
      <c r="R109" t="s">
        <v>44</v>
      </c>
    </row>
    <row r="110" spans="1:22" x14ac:dyDescent="0.3">
      <c r="A110">
        <v>727664616</v>
      </c>
      <c r="B110" s="1">
        <v>46129.591294965277</v>
      </c>
      <c r="C110" s="1">
        <v>46129.592773657409</v>
      </c>
      <c r="D110" s="2">
        <v>46129</v>
      </c>
      <c r="E110">
        <v>324</v>
      </c>
      <c r="F110">
        <v>27</v>
      </c>
      <c r="G110" t="s">
        <v>30</v>
      </c>
      <c r="H110" t="s">
        <v>158</v>
      </c>
      <c r="I110" s="2">
        <v>44376</v>
      </c>
      <c r="J110">
        <v>10</v>
      </c>
      <c r="K110" t="s">
        <v>32</v>
      </c>
      <c r="L110" t="s">
        <v>159</v>
      </c>
      <c r="M110" t="s">
        <v>25</v>
      </c>
      <c r="N110">
        <v>90</v>
      </c>
      <c r="O110" t="s">
        <v>69</v>
      </c>
      <c r="Q110" t="s">
        <v>19</v>
      </c>
      <c r="T110" t="s">
        <v>74</v>
      </c>
    </row>
    <row r="111" spans="1:22" x14ac:dyDescent="0.3">
      <c r="A111">
        <v>727667835</v>
      </c>
      <c r="B111" s="1">
        <v>46129.592774872683</v>
      </c>
      <c r="C111" s="1">
        <v>46129.594375983797</v>
      </c>
      <c r="D111" s="2">
        <v>46129</v>
      </c>
      <c r="E111">
        <v>564</v>
      </c>
      <c r="F111">
        <v>47</v>
      </c>
      <c r="G111" t="s">
        <v>30</v>
      </c>
      <c r="H111" t="s">
        <v>141</v>
      </c>
      <c r="I111" s="2">
        <v>44516</v>
      </c>
      <c r="J111">
        <v>4</v>
      </c>
      <c r="K111" t="s">
        <v>32</v>
      </c>
      <c r="L111" t="s">
        <v>160</v>
      </c>
      <c r="M111" t="s">
        <v>25</v>
      </c>
      <c r="N111">
        <v>5</v>
      </c>
      <c r="O111" t="s">
        <v>26</v>
      </c>
      <c r="P111" t="s">
        <v>27</v>
      </c>
      <c r="Q111" t="s">
        <v>19</v>
      </c>
      <c r="T111" t="s">
        <v>35</v>
      </c>
    </row>
    <row r="112" spans="1:22" x14ac:dyDescent="0.3">
      <c r="A112">
        <v>727670481</v>
      </c>
      <c r="B112" s="1">
        <v>46129.586737129626</v>
      </c>
      <c r="C112" s="1">
        <v>46129.596082094904</v>
      </c>
      <c r="D112" s="2">
        <v>46129</v>
      </c>
      <c r="E112">
        <v>1080</v>
      </c>
      <c r="F112">
        <v>90</v>
      </c>
      <c r="G112" t="s">
        <v>30</v>
      </c>
      <c r="H112" t="s">
        <v>23</v>
      </c>
      <c r="I112" s="2">
        <v>46122</v>
      </c>
      <c r="J112">
        <v>270</v>
      </c>
      <c r="K112" t="s">
        <v>24</v>
      </c>
      <c r="M112" t="s">
        <v>25</v>
      </c>
      <c r="N112">
        <v>3</v>
      </c>
      <c r="O112" t="s">
        <v>34</v>
      </c>
      <c r="Q112" t="s">
        <v>40</v>
      </c>
      <c r="R112" t="s">
        <v>44</v>
      </c>
    </row>
    <row r="113" spans="1:22" x14ac:dyDescent="0.3">
      <c r="A113">
        <v>727740627</v>
      </c>
      <c r="B113" s="1">
        <v>46129.5960825</v>
      </c>
      <c r="C113" s="1">
        <v>46129.634948333332</v>
      </c>
      <c r="D113" s="2">
        <v>46129</v>
      </c>
      <c r="E113">
        <v>120</v>
      </c>
      <c r="F113">
        <v>10</v>
      </c>
      <c r="G113" t="s">
        <v>22</v>
      </c>
      <c r="H113" t="s">
        <v>86</v>
      </c>
      <c r="I113" s="2">
        <v>43607</v>
      </c>
      <c r="J113">
        <v>14</v>
      </c>
      <c r="K113" t="s">
        <v>24</v>
      </c>
      <c r="M113" t="s">
        <v>25</v>
      </c>
      <c r="N113">
        <v>3</v>
      </c>
      <c r="O113" t="s">
        <v>34</v>
      </c>
      <c r="Q113" t="s">
        <v>28</v>
      </c>
      <c r="S113" t="s">
        <v>101</v>
      </c>
    </row>
    <row r="114" spans="1:22" x14ac:dyDescent="0.3">
      <c r="A114">
        <v>727744299</v>
      </c>
      <c r="B114" s="1">
        <v>46129.634948761573</v>
      </c>
      <c r="C114" s="1">
        <v>46129.637086539355</v>
      </c>
      <c r="D114" s="2">
        <v>46129</v>
      </c>
      <c r="E114">
        <v>336</v>
      </c>
      <c r="F114">
        <v>28</v>
      </c>
      <c r="G114" t="s">
        <v>30</v>
      </c>
      <c r="H114" t="s">
        <v>97</v>
      </c>
      <c r="I114" s="2">
        <v>43591</v>
      </c>
      <c r="J114">
        <v>5</v>
      </c>
      <c r="K114" t="s">
        <v>32</v>
      </c>
      <c r="L114" t="s">
        <v>161</v>
      </c>
      <c r="M114" t="s">
        <v>25</v>
      </c>
      <c r="N114">
        <v>6</v>
      </c>
      <c r="O114" t="s">
        <v>34</v>
      </c>
      <c r="Q114" t="s">
        <v>19</v>
      </c>
      <c r="T114" t="s">
        <v>47</v>
      </c>
      <c r="V114" t="s">
        <v>162</v>
      </c>
    </row>
    <row r="115" spans="1:22" x14ac:dyDescent="0.3">
      <c r="A115">
        <v>727747282</v>
      </c>
      <c r="B115" s="1">
        <v>46129.637086898147</v>
      </c>
      <c r="C115" s="1">
        <v>46129.638775636573</v>
      </c>
      <c r="D115" s="2">
        <v>46129</v>
      </c>
      <c r="E115">
        <v>77</v>
      </c>
      <c r="F115">
        <v>6.4</v>
      </c>
      <c r="G115" t="s">
        <v>22</v>
      </c>
      <c r="H115" t="s">
        <v>86</v>
      </c>
      <c r="I115" s="2">
        <v>43536</v>
      </c>
      <c r="J115">
        <v>14</v>
      </c>
      <c r="K115" t="s">
        <v>32</v>
      </c>
      <c r="L115" t="s">
        <v>105</v>
      </c>
      <c r="M115" t="s">
        <v>38</v>
      </c>
      <c r="N115">
        <v>9</v>
      </c>
      <c r="O115" t="s">
        <v>110</v>
      </c>
      <c r="Q115" t="s">
        <v>19</v>
      </c>
      <c r="T115" t="s">
        <v>74</v>
      </c>
    </row>
    <row r="116" spans="1:22" x14ac:dyDescent="0.3">
      <c r="A116">
        <v>727750230</v>
      </c>
      <c r="B116" s="1">
        <v>46129.594377372683</v>
      </c>
      <c r="C116" s="1">
        <v>46129.640256168983</v>
      </c>
      <c r="D116" s="2">
        <v>46129</v>
      </c>
      <c r="E116">
        <v>192</v>
      </c>
      <c r="F116">
        <v>16</v>
      </c>
      <c r="G116" t="s">
        <v>30</v>
      </c>
      <c r="H116" t="s">
        <v>81</v>
      </c>
      <c r="I116" s="2">
        <v>44382</v>
      </c>
      <c r="J116">
        <v>10</v>
      </c>
      <c r="K116" t="s">
        <v>32</v>
      </c>
      <c r="L116" t="s">
        <v>163</v>
      </c>
      <c r="M116" t="s">
        <v>38</v>
      </c>
      <c r="N116">
        <v>10</v>
      </c>
      <c r="O116" t="s">
        <v>26</v>
      </c>
      <c r="P116" t="s">
        <v>27</v>
      </c>
      <c r="Q116" t="s">
        <v>19</v>
      </c>
      <c r="T116" t="s">
        <v>35</v>
      </c>
    </row>
    <row r="117" spans="1:22" x14ac:dyDescent="0.3">
      <c r="A117">
        <v>727755155</v>
      </c>
      <c r="B117" s="1">
        <v>46129.640258530089</v>
      </c>
      <c r="C117" s="1">
        <v>46129.64301673611</v>
      </c>
      <c r="D117" s="2">
        <v>46129</v>
      </c>
      <c r="E117">
        <v>576</v>
      </c>
      <c r="F117">
        <v>48</v>
      </c>
      <c r="G117" t="s">
        <v>30</v>
      </c>
      <c r="H117" t="s">
        <v>77</v>
      </c>
      <c r="I117" s="2">
        <v>44046</v>
      </c>
      <c r="J117">
        <v>124</v>
      </c>
      <c r="K117" t="s">
        <v>32</v>
      </c>
      <c r="L117" t="s">
        <v>164</v>
      </c>
      <c r="M117" t="s">
        <v>38</v>
      </c>
      <c r="N117">
        <v>45</v>
      </c>
      <c r="O117" t="s">
        <v>69</v>
      </c>
      <c r="Q117" t="s">
        <v>40</v>
      </c>
      <c r="R117" t="s">
        <v>136</v>
      </c>
    </row>
    <row r="118" spans="1:22" x14ac:dyDescent="0.3">
      <c r="A118">
        <v>727755338</v>
      </c>
      <c r="B118" s="1">
        <v>46129.638776099535</v>
      </c>
      <c r="C118" s="1">
        <v>46129.643186053239</v>
      </c>
      <c r="D118" s="2">
        <v>46129</v>
      </c>
      <c r="E118">
        <v>312</v>
      </c>
      <c r="F118">
        <v>26</v>
      </c>
      <c r="G118" t="s">
        <v>30</v>
      </c>
      <c r="H118" t="s">
        <v>23</v>
      </c>
      <c r="I118" s="2">
        <v>43479</v>
      </c>
      <c r="J118">
        <v>8</v>
      </c>
      <c r="K118" t="s">
        <v>32</v>
      </c>
      <c r="L118" t="s">
        <v>105</v>
      </c>
      <c r="M118" t="s">
        <v>38</v>
      </c>
      <c r="N118">
        <v>25</v>
      </c>
      <c r="O118" t="s">
        <v>88</v>
      </c>
      <c r="Q118" t="s">
        <v>19</v>
      </c>
      <c r="T118" t="s">
        <v>70</v>
      </c>
    </row>
    <row r="119" spans="1:22" x14ac:dyDescent="0.3">
      <c r="A119">
        <v>727758680</v>
      </c>
      <c r="B119" s="1">
        <v>46129.643186365742</v>
      </c>
      <c r="C119" s="1">
        <v>46129.644855659724</v>
      </c>
      <c r="D119" s="2">
        <v>46129</v>
      </c>
      <c r="E119">
        <v>360</v>
      </c>
      <c r="F119">
        <v>30</v>
      </c>
      <c r="G119" t="s">
        <v>22</v>
      </c>
      <c r="H119" t="s">
        <v>130</v>
      </c>
      <c r="I119" s="2">
        <v>44614</v>
      </c>
      <c r="J119">
        <v>3</v>
      </c>
      <c r="K119" t="s">
        <v>32</v>
      </c>
      <c r="L119" t="s">
        <v>165</v>
      </c>
      <c r="M119" t="s">
        <v>38</v>
      </c>
      <c r="N119">
        <v>35</v>
      </c>
      <c r="O119" t="s">
        <v>88</v>
      </c>
      <c r="Q119" t="s">
        <v>19</v>
      </c>
      <c r="T119" t="s">
        <v>64</v>
      </c>
    </row>
    <row r="120" spans="1:22" x14ac:dyDescent="0.3">
      <c r="A120">
        <v>727759452</v>
      </c>
      <c r="B120" s="1">
        <v>46129.643017881943</v>
      </c>
      <c r="C120" s="1">
        <v>46129.645325138888</v>
      </c>
      <c r="D120" s="2">
        <v>46129</v>
      </c>
      <c r="E120">
        <v>456</v>
      </c>
      <c r="F120">
        <v>38</v>
      </c>
      <c r="G120" t="s">
        <v>30</v>
      </c>
      <c r="H120" t="s">
        <v>166</v>
      </c>
      <c r="I120" s="2">
        <v>43944</v>
      </c>
      <c r="J120">
        <v>21</v>
      </c>
      <c r="K120" t="s">
        <v>32</v>
      </c>
      <c r="L120" t="s">
        <v>167</v>
      </c>
      <c r="M120" t="s">
        <v>25</v>
      </c>
      <c r="N120">
        <v>10</v>
      </c>
      <c r="O120" t="s">
        <v>34</v>
      </c>
      <c r="Q120" t="s">
        <v>19</v>
      </c>
      <c r="T120" t="s">
        <v>35</v>
      </c>
    </row>
    <row r="121" spans="1:22" x14ac:dyDescent="0.3">
      <c r="A121">
        <v>727761736</v>
      </c>
      <c r="B121" s="1">
        <v>46129.644856053237</v>
      </c>
      <c r="C121" s="1">
        <v>46129.646421215279</v>
      </c>
      <c r="D121" s="2">
        <v>46129</v>
      </c>
      <c r="E121">
        <v>84</v>
      </c>
      <c r="F121">
        <v>7</v>
      </c>
      <c r="G121" t="s">
        <v>22</v>
      </c>
      <c r="H121" t="s">
        <v>86</v>
      </c>
      <c r="I121" s="2">
        <v>44574</v>
      </c>
      <c r="J121">
        <v>21</v>
      </c>
      <c r="K121" t="s">
        <v>24</v>
      </c>
      <c r="M121" t="s">
        <v>25</v>
      </c>
      <c r="N121">
        <v>90</v>
      </c>
      <c r="O121" t="s">
        <v>34</v>
      </c>
      <c r="Q121" t="s">
        <v>144</v>
      </c>
      <c r="U121" t="s">
        <v>47</v>
      </c>
      <c r="V121" t="s">
        <v>145</v>
      </c>
    </row>
    <row r="122" spans="1:22" x14ac:dyDescent="0.3">
      <c r="A122">
        <v>727766085</v>
      </c>
      <c r="B122" s="1">
        <v>46129.645326041667</v>
      </c>
      <c r="C122" s="1">
        <v>46129.648612106481</v>
      </c>
      <c r="D122" s="2">
        <v>46129</v>
      </c>
      <c r="E122">
        <v>300</v>
      </c>
      <c r="F122">
        <v>25</v>
      </c>
      <c r="G122" t="s">
        <v>30</v>
      </c>
      <c r="H122" t="s">
        <v>141</v>
      </c>
      <c r="I122" s="2">
        <v>44035</v>
      </c>
      <c r="J122">
        <v>31</v>
      </c>
      <c r="K122" t="s">
        <v>32</v>
      </c>
      <c r="L122" t="s">
        <v>168</v>
      </c>
      <c r="M122" t="s">
        <v>38</v>
      </c>
      <c r="N122">
        <v>45</v>
      </c>
      <c r="O122" t="s">
        <v>88</v>
      </c>
      <c r="Q122" t="s">
        <v>19</v>
      </c>
      <c r="T122" t="s">
        <v>74</v>
      </c>
    </row>
    <row r="123" spans="1:22" x14ac:dyDescent="0.3">
      <c r="A123">
        <v>727766353</v>
      </c>
      <c r="B123" s="1">
        <v>46129.646421527781</v>
      </c>
      <c r="C123" s="1">
        <v>46129.648813078704</v>
      </c>
      <c r="D123" s="2">
        <v>46129</v>
      </c>
      <c r="E123">
        <v>780</v>
      </c>
      <c r="F123">
        <v>65</v>
      </c>
      <c r="G123" t="s">
        <v>30</v>
      </c>
      <c r="H123" t="s">
        <v>77</v>
      </c>
      <c r="I123" s="2">
        <v>44258</v>
      </c>
      <c r="J123">
        <v>14</v>
      </c>
      <c r="K123" t="s">
        <v>32</v>
      </c>
      <c r="L123" t="s">
        <v>169</v>
      </c>
      <c r="M123" t="s">
        <v>38</v>
      </c>
      <c r="N123">
        <v>70</v>
      </c>
      <c r="O123" t="s">
        <v>69</v>
      </c>
      <c r="Q123" t="s">
        <v>19</v>
      </c>
      <c r="T123" t="s">
        <v>35</v>
      </c>
    </row>
    <row r="124" spans="1:22" x14ac:dyDescent="0.3">
      <c r="A124">
        <v>727769696</v>
      </c>
      <c r="B124" s="1">
        <v>46129.648813472224</v>
      </c>
      <c r="C124" s="1">
        <v>46129.650339479165</v>
      </c>
      <c r="D124" s="2">
        <v>46129</v>
      </c>
      <c r="E124">
        <v>1020</v>
      </c>
      <c r="F124">
        <v>85</v>
      </c>
      <c r="G124" t="s">
        <v>30</v>
      </c>
      <c r="H124" t="s">
        <v>42</v>
      </c>
      <c r="I124" s="2">
        <v>44355</v>
      </c>
      <c r="J124">
        <v>90</v>
      </c>
      <c r="K124" t="s">
        <v>24</v>
      </c>
      <c r="M124" t="s">
        <v>38</v>
      </c>
      <c r="N124">
        <v>40</v>
      </c>
      <c r="O124" t="s">
        <v>34</v>
      </c>
      <c r="Q124" t="s">
        <v>40</v>
      </c>
      <c r="R124" t="s">
        <v>44</v>
      </c>
    </row>
    <row r="125" spans="1:22" x14ac:dyDescent="0.3">
      <c r="A125">
        <v>727771481</v>
      </c>
      <c r="B125" s="1">
        <v>46129.648613113422</v>
      </c>
      <c r="C125" s="1">
        <v>46129.651108738428</v>
      </c>
      <c r="D125" s="2">
        <v>46129</v>
      </c>
      <c r="E125">
        <v>36</v>
      </c>
      <c r="F125">
        <v>3</v>
      </c>
      <c r="G125" t="s">
        <v>30</v>
      </c>
      <c r="H125" t="s">
        <v>27</v>
      </c>
      <c r="I125" s="2">
        <v>46112</v>
      </c>
      <c r="J125">
        <v>7</v>
      </c>
      <c r="K125" t="s">
        <v>32</v>
      </c>
      <c r="L125" t="s">
        <v>170</v>
      </c>
      <c r="M125" t="s">
        <v>38</v>
      </c>
      <c r="N125">
        <v>20</v>
      </c>
      <c r="O125" t="s">
        <v>88</v>
      </c>
      <c r="Q125" t="s">
        <v>19</v>
      </c>
      <c r="T125" t="s">
        <v>74</v>
      </c>
    </row>
    <row r="126" spans="1:22" x14ac:dyDescent="0.3">
      <c r="A126">
        <v>727774023</v>
      </c>
      <c r="B126" s="1">
        <v>46129.651110312501</v>
      </c>
      <c r="C126" s="1">
        <v>46129.652482280093</v>
      </c>
      <c r="D126" s="2">
        <v>46129</v>
      </c>
      <c r="E126">
        <v>144</v>
      </c>
      <c r="F126">
        <v>12</v>
      </c>
      <c r="G126" t="s">
        <v>22</v>
      </c>
      <c r="H126" t="s">
        <v>81</v>
      </c>
      <c r="I126" s="2">
        <v>45442</v>
      </c>
      <c r="J126">
        <v>7</v>
      </c>
      <c r="K126" t="s">
        <v>24</v>
      </c>
      <c r="M126" t="s">
        <v>38</v>
      </c>
      <c r="N126">
        <v>25</v>
      </c>
      <c r="O126" t="s">
        <v>26</v>
      </c>
      <c r="P126" t="s">
        <v>27</v>
      </c>
      <c r="Q126" t="s">
        <v>19</v>
      </c>
      <c r="T126" t="s">
        <v>64</v>
      </c>
    </row>
    <row r="127" spans="1:22" x14ac:dyDescent="0.3">
      <c r="A127">
        <v>727778799</v>
      </c>
      <c r="B127" s="1">
        <v>46129.652483472222</v>
      </c>
      <c r="C127" s="1">
        <v>46129.654765185187</v>
      </c>
      <c r="D127" s="2">
        <v>46129</v>
      </c>
      <c r="E127">
        <v>960</v>
      </c>
      <c r="F127">
        <v>80</v>
      </c>
      <c r="G127" t="s">
        <v>22</v>
      </c>
      <c r="H127" t="s">
        <v>171</v>
      </c>
      <c r="I127" s="2">
        <v>45520</v>
      </c>
      <c r="J127">
        <v>6</v>
      </c>
      <c r="K127" t="s">
        <v>24</v>
      </c>
      <c r="M127" t="s">
        <v>25</v>
      </c>
      <c r="N127">
        <v>60</v>
      </c>
      <c r="O127" t="s">
        <v>59</v>
      </c>
      <c r="Q127" t="s">
        <v>40</v>
      </c>
      <c r="R127" t="s">
        <v>44</v>
      </c>
    </row>
    <row r="128" spans="1:22" x14ac:dyDescent="0.3">
      <c r="A128">
        <v>727782862</v>
      </c>
      <c r="B128" s="1">
        <v>46129.654766956017</v>
      </c>
      <c r="C128" s="1">
        <v>46129.656774409719</v>
      </c>
      <c r="D128" s="2">
        <v>46129</v>
      </c>
      <c r="E128">
        <v>612</v>
      </c>
      <c r="F128">
        <v>51</v>
      </c>
      <c r="G128" t="s">
        <v>22</v>
      </c>
      <c r="H128" t="s">
        <v>172</v>
      </c>
      <c r="I128" s="2">
        <v>44732</v>
      </c>
      <c r="J128">
        <v>21</v>
      </c>
      <c r="K128" t="s">
        <v>24</v>
      </c>
      <c r="M128" t="s">
        <v>38</v>
      </c>
      <c r="N128">
        <v>70</v>
      </c>
      <c r="O128" t="s">
        <v>69</v>
      </c>
      <c r="Q128" t="s">
        <v>40</v>
      </c>
      <c r="R128" t="s">
        <v>44</v>
      </c>
    </row>
    <row r="129" spans="1:21" x14ac:dyDescent="0.3">
      <c r="A129">
        <v>727785231</v>
      </c>
      <c r="B129" s="1">
        <v>46129.656776053242</v>
      </c>
      <c r="C129" s="1">
        <v>46129.657919050929</v>
      </c>
      <c r="D129" s="2">
        <v>46129</v>
      </c>
      <c r="E129">
        <v>300</v>
      </c>
      <c r="F129">
        <v>25</v>
      </c>
      <c r="G129" t="s">
        <v>30</v>
      </c>
      <c r="H129" t="s">
        <v>141</v>
      </c>
      <c r="I129" s="2">
        <v>46063</v>
      </c>
      <c r="J129">
        <v>21</v>
      </c>
      <c r="K129" t="s">
        <v>32</v>
      </c>
      <c r="L129" t="s">
        <v>173</v>
      </c>
      <c r="M129" t="s">
        <v>38</v>
      </c>
      <c r="N129">
        <v>54</v>
      </c>
      <c r="O129" t="s">
        <v>69</v>
      </c>
      <c r="Q129" t="s">
        <v>19</v>
      </c>
      <c r="T129" t="s">
        <v>64</v>
      </c>
    </row>
    <row r="130" spans="1:21" x14ac:dyDescent="0.3">
      <c r="A130">
        <v>727792180</v>
      </c>
      <c r="B130" s="1">
        <v>46129.657919930556</v>
      </c>
      <c r="C130" s="1">
        <v>46129.661857800929</v>
      </c>
      <c r="D130" s="2">
        <v>46129</v>
      </c>
      <c r="E130">
        <v>420</v>
      </c>
      <c r="F130">
        <v>35</v>
      </c>
      <c r="G130" t="s">
        <v>30</v>
      </c>
      <c r="H130" t="s">
        <v>31</v>
      </c>
      <c r="I130" s="2">
        <v>46030</v>
      </c>
      <c r="J130">
        <v>31</v>
      </c>
      <c r="K130" t="s">
        <v>32</v>
      </c>
      <c r="L130" t="s">
        <v>174</v>
      </c>
      <c r="M130" t="s">
        <v>38</v>
      </c>
      <c r="N130">
        <v>85</v>
      </c>
      <c r="O130" t="s">
        <v>69</v>
      </c>
      <c r="Q130" t="s">
        <v>19</v>
      </c>
      <c r="T130" t="s">
        <v>74</v>
      </c>
    </row>
    <row r="131" spans="1:21" x14ac:dyDescent="0.3">
      <c r="A131">
        <v>727795764</v>
      </c>
      <c r="B131" s="1">
        <v>46129.6618590625</v>
      </c>
      <c r="C131" s="1">
        <v>46129.663759895833</v>
      </c>
      <c r="D131" s="2">
        <v>46129</v>
      </c>
      <c r="E131">
        <v>696</v>
      </c>
      <c r="F131">
        <v>58</v>
      </c>
      <c r="G131" t="s">
        <v>22</v>
      </c>
      <c r="H131" t="s">
        <v>49</v>
      </c>
      <c r="I131" s="2">
        <v>45770</v>
      </c>
      <c r="J131">
        <v>21</v>
      </c>
      <c r="K131" t="s">
        <v>24</v>
      </c>
      <c r="M131" t="s">
        <v>38</v>
      </c>
      <c r="N131">
        <v>60</v>
      </c>
      <c r="O131" t="s">
        <v>88</v>
      </c>
      <c r="Q131" t="s">
        <v>144</v>
      </c>
      <c r="U131" t="s">
        <v>175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38C69-485B-49F3-834E-BAB4493306E4}">
  <dimension ref="A1:H256"/>
  <sheetViews>
    <sheetView workbookViewId="0">
      <selection activeCell="C54" sqref="C54"/>
    </sheetView>
  </sheetViews>
  <sheetFormatPr defaultColWidth="9" defaultRowHeight="14.7" x14ac:dyDescent="0.3"/>
  <cols>
    <col min="1" max="1" width="36.6640625" style="3" customWidth="1"/>
    <col min="2" max="2" width="13.33203125" style="3" customWidth="1"/>
    <col min="3" max="3" width="15" style="3" customWidth="1"/>
    <col min="4" max="4" width="13.33203125" style="3" customWidth="1"/>
    <col min="5" max="16384" width="9" style="3"/>
  </cols>
  <sheetData>
    <row r="1" spans="1:8" ht="24.7" x14ac:dyDescent="0.45">
      <c r="A1" s="33" t="s">
        <v>176</v>
      </c>
      <c r="B1" s="33"/>
      <c r="C1" s="33"/>
      <c r="D1" s="33"/>
      <c r="E1" s="33"/>
      <c r="F1" s="33"/>
      <c r="G1" s="33"/>
      <c r="H1" s="33"/>
    </row>
    <row r="2" spans="1:8" x14ac:dyDescent="0.3">
      <c r="A2" s="34"/>
      <c r="B2" s="34"/>
      <c r="C2" s="34"/>
      <c r="D2" s="34"/>
      <c r="E2" s="34"/>
      <c r="F2" s="34"/>
      <c r="G2" s="34"/>
      <c r="H2" s="34"/>
    </row>
    <row r="4" spans="1:8" ht="19.350000000000001" x14ac:dyDescent="0.35">
      <c r="A4" s="35" t="s">
        <v>177</v>
      </c>
      <c r="B4" s="35"/>
      <c r="C4" s="35"/>
      <c r="D4" s="35"/>
      <c r="E4" s="35"/>
      <c r="F4" s="35"/>
      <c r="G4" s="35"/>
      <c r="H4" s="35"/>
    </row>
    <row r="6" spans="1:8" x14ac:dyDescent="0.3">
      <c r="A6" s="4" t="s">
        <v>178</v>
      </c>
      <c r="B6" s="3">
        <f>COUNTA('Dermatoses Bulleuses CNHU HKM'!A:A)-1</f>
        <v>130</v>
      </c>
    </row>
    <row r="8" spans="1:8" x14ac:dyDescent="0.3">
      <c r="A8" s="32" t="s">
        <v>179</v>
      </c>
      <c r="B8" s="32"/>
      <c r="C8" s="32"/>
      <c r="D8" s="32"/>
    </row>
    <row r="9" spans="1:8" x14ac:dyDescent="0.3">
      <c r="A9" s="4" t="s">
        <v>180</v>
      </c>
      <c r="B9" s="4" t="s">
        <v>181</v>
      </c>
    </row>
    <row r="10" spans="1:8" x14ac:dyDescent="0.3">
      <c r="A10" s="3" t="s">
        <v>182</v>
      </c>
      <c r="B10" s="6">
        <f>AVERAGE('Dermatoses Bulleuses CNHU HKM'!F2:F131)</f>
        <v>36.086923076923071</v>
      </c>
    </row>
    <row r="11" spans="1:8" x14ac:dyDescent="0.3">
      <c r="A11" s="3" t="s">
        <v>183</v>
      </c>
      <c r="B11" s="6">
        <f>MEDIAN('Dermatoses Bulleuses CNHU HKM'!F2:F131)</f>
        <v>33</v>
      </c>
    </row>
    <row r="12" spans="1:8" x14ac:dyDescent="0.3">
      <c r="A12" s="3" t="s">
        <v>184</v>
      </c>
      <c r="B12" s="6">
        <f>_xlfn.MODE.SNGL('Dermatoses Bulleuses CNHU HKM'!F2:F131)</f>
        <v>46</v>
      </c>
    </row>
    <row r="13" spans="1:8" x14ac:dyDescent="0.3">
      <c r="A13" s="3" t="s">
        <v>185</v>
      </c>
      <c r="B13" s="6">
        <f>_xlfn.STDEV.P('Dermatoses Bulleuses CNHU HKM'!F2:F131)</f>
        <v>25.733801143666579</v>
      </c>
    </row>
    <row r="15" spans="1:8" x14ac:dyDescent="0.3">
      <c r="A15" s="32" t="s">
        <v>186</v>
      </c>
      <c r="B15" s="32"/>
      <c r="C15" s="32"/>
      <c r="D15" s="32"/>
    </row>
    <row r="16" spans="1:8" x14ac:dyDescent="0.3">
      <c r="A16" s="4" t="s">
        <v>181</v>
      </c>
      <c r="B16" s="4" t="s">
        <v>187</v>
      </c>
      <c r="C16" s="4" t="s">
        <v>188</v>
      </c>
    </row>
    <row r="17" spans="1:4" x14ac:dyDescent="0.3">
      <c r="A17" s="3" t="s">
        <v>30</v>
      </c>
      <c r="B17" s="3">
        <f>COUNTIF('Dermatoses Bulleuses CNHU HKM'!G:G,"Femme")</f>
        <v>74</v>
      </c>
      <c r="C17" s="6">
        <f>B17/$B$6*100</f>
        <v>56.92307692307692</v>
      </c>
    </row>
    <row r="18" spans="1:4" x14ac:dyDescent="0.3">
      <c r="A18" s="3" t="s">
        <v>22</v>
      </c>
      <c r="B18" s="3">
        <f>COUNTIF('Dermatoses Bulleuses CNHU HKM'!G:G,"Homme")</f>
        <v>56</v>
      </c>
      <c r="C18" s="6">
        <f>B18/$B$6*100</f>
        <v>43.07692307692308</v>
      </c>
    </row>
    <row r="20" spans="1:4" x14ac:dyDescent="0.3">
      <c r="A20" s="32" t="s">
        <v>189</v>
      </c>
      <c r="B20" s="32"/>
      <c r="C20" s="32"/>
      <c r="D20" s="32"/>
    </row>
    <row r="21" spans="1:4" x14ac:dyDescent="0.3">
      <c r="A21" s="4" t="s">
        <v>181</v>
      </c>
      <c r="B21" s="4" t="s">
        <v>187</v>
      </c>
      <c r="C21" s="4" t="s">
        <v>188</v>
      </c>
    </row>
    <row r="22" spans="1:4" x14ac:dyDescent="0.3">
      <c r="A22" s="3" t="s">
        <v>32</v>
      </c>
      <c r="B22" s="3">
        <f>COUNTIF('Dermatoses Bulleuses CNHU HKM'!K:K,"Oui")</f>
        <v>68</v>
      </c>
      <c r="C22" s="6">
        <f>B22/$B$6*100</f>
        <v>52.307692307692314</v>
      </c>
    </row>
    <row r="23" spans="1:4" x14ac:dyDescent="0.3">
      <c r="A23" s="3" t="s">
        <v>24</v>
      </c>
      <c r="B23" s="3">
        <f>COUNTIF('Dermatoses Bulleuses CNHU HKM'!K:K,"Non")</f>
        <v>62</v>
      </c>
      <c r="C23" s="6">
        <f>B23/$B$6*100</f>
        <v>47.692307692307693</v>
      </c>
    </row>
    <row r="25" spans="1:4" x14ac:dyDescent="0.3">
      <c r="A25" s="32" t="s">
        <v>190</v>
      </c>
      <c r="B25" s="32"/>
      <c r="C25" s="32"/>
      <c r="D25" s="32"/>
    </row>
    <row r="26" spans="1:4" x14ac:dyDescent="0.3">
      <c r="A26" s="4" t="s">
        <v>181</v>
      </c>
      <c r="B26" s="4" t="s">
        <v>187</v>
      </c>
      <c r="C26" s="4" t="s">
        <v>188</v>
      </c>
    </row>
    <row r="27" spans="1:4" x14ac:dyDescent="0.3">
      <c r="A27" s="3" t="s">
        <v>25</v>
      </c>
      <c r="B27" s="3">
        <f>COUNTIF('Dermatoses Bulleuses CNHU HKM'!M:M,"Cutanée seule")</f>
        <v>67</v>
      </c>
      <c r="C27" s="6">
        <f>B27/$B$6*100</f>
        <v>51.538461538461533</v>
      </c>
    </row>
    <row r="28" spans="1:4" x14ac:dyDescent="0.3">
      <c r="A28" s="3" t="s">
        <v>38</v>
      </c>
      <c r="B28" s="3">
        <f>COUNTIF('Dermatoses Bulleuses CNHU HKM'!M:M,"Cutanée et muqueuse")</f>
        <v>60</v>
      </c>
      <c r="C28" s="6">
        <f>B28/$B$6*100</f>
        <v>46.153846153846153</v>
      </c>
    </row>
    <row r="29" spans="1:4" x14ac:dyDescent="0.3">
      <c r="A29" s="3" t="s">
        <v>58</v>
      </c>
      <c r="B29" s="3">
        <f>COUNTIF('Dermatoses Bulleuses CNHU HKM'!M:M,"Muqueuse seule")</f>
        <v>3</v>
      </c>
      <c r="C29" s="6">
        <f>B29/$B$6*100</f>
        <v>2.3076923076923079</v>
      </c>
    </row>
    <row r="31" spans="1:4" x14ac:dyDescent="0.3">
      <c r="A31" s="32" t="s">
        <v>191</v>
      </c>
      <c r="B31" s="32"/>
      <c r="C31" s="32"/>
      <c r="D31" s="32"/>
    </row>
    <row r="32" spans="1:4" x14ac:dyDescent="0.3">
      <c r="A32" s="4" t="s">
        <v>180</v>
      </c>
      <c r="B32" s="4" t="s">
        <v>181</v>
      </c>
    </row>
    <row r="33" spans="1:4" x14ac:dyDescent="0.3">
      <c r="A33" s="3" t="s">
        <v>182</v>
      </c>
      <c r="B33" s="6">
        <f>AVERAGE('Dermatoses Bulleuses CNHU HKM'!N2:N131)</f>
        <v>24.853846153846153</v>
      </c>
    </row>
    <row r="34" spans="1:4" x14ac:dyDescent="0.3">
      <c r="A34" s="3" t="s">
        <v>183</v>
      </c>
      <c r="B34" s="6">
        <f>MEDIAN('Dermatoses Bulleuses CNHU HKM'!N2:N131)</f>
        <v>15</v>
      </c>
    </row>
    <row r="35" spans="1:4" x14ac:dyDescent="0.3">
      <c r="A35" s="3" t="s">
        <v>184</v>
      </c>
      <c r="B35" s="6">
        <f>_xlfn.MODE.SNGL('Dermatoses Bulleuses CNHU HKM'!N2:N131)</f>
        <v>10</v>
      </c>
    </row>
    <row r="36" spans="1:4" x14ac:dyDescent="0.3">
      <c r="A36" s="3" t="s">
        <v>185</v>
      </c>
      <c r="B36" s="6">
        <f>_xlfn.STDEV.P('Dermatoses Bulleuses CNHU HKM'!N2:N131)</f>
        <v>24.846021671475061</v>
      </c>
    </row>
    <row r="38" spans="1:4" x14ac:dyDescent="0.3">
      <c r="A38" s="32" t="s">
        <v>192</v>
      </c>
      <c r="B38" s="32"/>
      <c r="C38" s="32"/>
      <c r="D38" s="32"/>
    </row>
    <row r="39" spans="1:4" x14ac:dyDescent="0.3">
      <c r="A39" s="4" t="s">
        <v>181</v>
      </c>
      <c r="B39" s="4" t="s">
        <v>187</v>
      </c>
      <c r="C39" s="4" t="s">
        <v>188</v>
      </c>
    </row>
    <row r="40" spans="1:4" x14ac:dyDescent="0.3">
      <c r="A40" s="3" t="s">
        <v>34</v>
      </c>
      <c r="B40" s="3" cm="1">
        <f t="array" ref="B40">SUMPRODUCT(--(ISNUMBER(SEARCH("Prurit",'Dermatoses Bulleuses CNHU HKM'!O2:O131))))</f>
        <v>71</v>
      </c>
      <c r="C40" s="6">
        <f>B40/$B$6*100</f>
        <v>54.615384615384613</v>
      </c>
    </row>
    <row r="41" spans="1:4" x14ac:dyDescent="0.3">
      <c r="A41" s="3" t="s">
        <v>88</v>
      </c>
      <c r="B41" s="3" cm="1">
        <f t="array" ref="B41">SUMPRODUCT(--(ISNUMBER(SEARCH("Douleur",'Dermatoses Bulleuses CNHU HKM'!O2:O131))))</f>
        <v>55</v>
      </c>
      <c r="C41" s="6">
        <f>B41/$B$6*100</f>
        <v>42.307692307692307</v>
      </c>
    </row>
    <row r="42" spans="1:4" x14ac:dyDescent="0.3">
      <c r="A42" s="3" t="s">
        <v>73</v>
      </c>
      <c r="B42" s="3" cm="1">
        <f t="array" ref="B42">SUMPRODUCT(--(ISNUMBER(SEARCH("Fièvre",'Dermatoses Bulleuses CNHU HKM'!O2:O131))))</f>
        <v>18</v>
      </c>
      <c r="C42" s="6">
        <f>B42/$B$6*100</f>
        <v>13.846153846153847</v>
      </c>
    </row>
    <row r="43" spans="1:4" x14ac:dyDescent="0.3">
      <c r="A43" s="3" t="s">
        <v>26</v>
      </c>
      <c r="B43" s="3" cm="1">
        <f t="array" ref="B43">SUMPRODUCT(--(ISNUMBER(SEARCH("Autre",'Dermatoses Bulleuses CNHU HKM'!O2:O131))))</f>
        <v>25</v>
      </c>
      <c r="C43" s="6">
        <f>B43/$B$6*100</f>
        <v>19.230769230769234</v>
      </c>
    </row>
    <row r="45" spans="1:4" x14ac:dyDescent="0.3">
      <c r="A45" s="32" t="s">
        <v>193</v>
      </c>
      <c r="B45" s="32"/>
      <c r="C45" s="32"/>
      <c r="D45" s="32"/>
    </row>
    <row r="46" spans="1:4" x14ac:dyDescent="0.3">
      <c r="A46" s="4" t="s">
        <v>181</v>
      </c>
      <c r="B46" s="4" t="s">
        <v>187</v>
      </c>
      <c r="C46" s="4" t="s">
        <v>188</v>
      </c>
    </row>
    <row r="47" spans="1:4" x14ac:dyDescent="0.3">
      <c r="A47" s="3" t="s">
        <v>19</v>
      </c>
      <c r="B47" s="3">
        <f>COUNTIF('Dermatoses Bulleuses CNHU HKM'!Q:Q,"Toxidermie")</f>
        <v>75</v>
      </c>
      <c r="C47" s="6">
        <f>B47/$B$6*100</f>
        <v>57.692307692307686</v>
      </c>
    </row>
    <row r="48" spans="1:4" x14ac:dyDescent="0.3">
      <c r="A48" s="3" t="s">
        <v>40</v>
      </c>
      <c r="B48" s="3">
        <f>COUNTIF('Dermatoses Bulleuses CNHU HKM'!Q:Q,"Auto-immune")</f>
        <v>31</v>
      </c>
      <c r="C48" s="6">
        <f>B48/$B$6*100</f>
        <v>23.846153846153847</v>
      </c>
    </row>
    <row r="49" spans="1:4" x14ac:dyDescent="0.3">
      <c r="A49" s="3" t="s">
        <v>28</v>
      </c>
      <c r="B49" s="3">
        <f>COUNTIF('Dermatoses Bulleuses CNHU HKM'!Q:Q,"Infectieuse")</f>
        <v>19</v>
      </c>
      <c r="C49" s="6">
        <f>B49/$B$6*100</f>
        <v>14.615384615384617</v>
      </c>
    </row>
    <row r="50" spans="1:4" x14ac:dyDescent="0.3">
      <c r="A50" s="3" t="s">
        <v>144</v>
      </c>
      <c r="B50" s="3">
        <f>COUNTIF('Dermatoses Bulleuses CNHU HKM'!Q:Q,"Immunoallergique")</f>
        <v>5</v>
      </c>
      <c r="C50" s="6">
        <f>B50/$B$6*100</f>
        <v>3.8461538461538463</v>
      </c>
    </row>
    <row r="52" spans="1:4" x14ac:dyDescent="0.3">
      <c r="A52" s="32" t="s">
        <v>194</v>
      </c>
      <c r="B52" s="32"/>
      <c r="C52" s="32"/>
      <c r="D52" s="32"/>
    </row>
    <row r="53" spans="1:4" x14ac:dyDescent="0.3">
      <c r="A53" s="4" t="s">
        <v>181</v>
      </c>
      <c r="B53" s="4" t="s">
        <v>187</v>
      </c>
      <c r="C53" s="4" t="s">
        <v>188</v>
      </c>
    </row>
    <row r="54" spans="1:4" x14ac:dyDescent="0.3">
      <c r="A54" s="3" t="s">
        <v>44</v>
      </c>
      <c r="B54" s="3">
        <f>COUNTIF('Dermatoses Bulleuses CNHU HKM'!R:R,"Pemphigoïde bulleuse")</f>
        <v>15</v>
      </c>
      <c r="C54" s="6">
        <f>B54/$B$6*100</f>
        <v>11.538461538461538</v>
      </c>
    </row>
    <row r="55" spans="1:4" x14ac:dyDescent="0.3">
      <c r="A55" s="3" t="s">
        <v>136</v>
      </c>
      <c r="B55" s="3">
        <f>COUNTIF('Dermatoses Bulleuses CNHU HKM'!R:R,"Pemphigus vulgaire")</f>
        <v>7</v>
      </c>
      <c r="C55" s="6">
        <f t="shared" ref="C55:C60" si="0">B55/$B$6*100</f>
        <v>5.384615384615385</v>
      </c>
    </row>
    <row r="56" spans="1:4" x14ac:dyDescent="0.3">
      <c r="A56" s="3" t="s">
        <v>91</v>
      </c>
      <c r="B56" s="3">
        <f>COUNTIF('Dermatoses Bulleuses CNHU HKM'!R:R,"Pemphigus paranéoplasique")</f>
        <v>3</v>
      </c>
      <c r="C56" s="6">
        <f t="shared" si="0"/>
        <v>2.3076923076923079</v>
      </c>
    </row>
    <row r="57" spans="1:4" x14ac:dyDescent="0.3">
      <c r="A57" s="3" t="s">
        <v>41</v>
      </c>
      <c r="B57" s="3">
        <f>COUNTIF('Dermatoses Bulleuses CNHU HKM'!R:R,"Dermatose à IgA linéaire")</f>
        <v>1</v>
      </c>
      <c r="C57" s="6">
        <f t="shared" si="0"/>
        <v>0.76923076923076927</v>
      </c>
    </row>
    <row r="58" spans="1:4" x14ac:dyDescent="0.3">
      <c r="A58" s="3" t="s">
        <v>85</v>
      </c>
      <c r="B58" s="3">
        <f>COUNTIF('Dermatoses Bulleuses CNHU HKM'!R:R,"Épidermolyse bulleuse acquise")</f>
        <v>1</v>
      </c>
      <c r="C58" s="6">
        <f t="shared" si="0"/>
        <v>0.76923076923076927</v>
      </c>
    </row>
    <row r="59" spans="1:4" x14ac:dyDescent="0.3">
      <c r="A59" s="3" t="s">
        <v>98</v>
      </c>
      <c r="B59" s="3">
        <f>COUNTIF('Dermatoses Bulleuses CNHU HKM'!R:R,"Dermatite herpétiforme")</f>
        <v>1</v>
      </c>
      <c r="C59" s="6">
        <f t="shared" si="0"/>
        <v>0.76923076923076927</v>
      </c>
    </row>
    <row r="60" spans="1:4" x14ac:dyDescent="0.3">
      <c r="A60" s="3" t="s">
        <v>47</v>
      </c>
      <c r="B60" s="3">
        <f>COUNTIF('Dermatoses Bulleuses CNHU HKM'!R:R,"Autre à préciser...")</f>
        <v>3</v>
      </c>
      <c r="C60" s="6">
        <f t="shared" si="0"/>
        <v>2.3076923076923079</v>
      </c>
    </row>
    <row r="62" spans="1:4" x14ac:dyDescent="0.3">
      <c r="A62" s="32" t="s">
        <v>195</v>
      </c>
      <c r="B62" s="32"/>
      <c r="C62" s="32"/>
      <c r="D62" s="32"/>
    </row>
    <row r="63" spans="1:4" x14ac:dyDescent="0.3">
      <c r="A63" s="4" t="s">
        <v>181</v>
      </c>
      <c r="B63" s="4" t="s">
        <v>187</v>
      </c>
      <c r="C63" s="4" t="s">
        <v>188</v>
      </c>
    </row>
    <row r="64" spans="1:4" x14ac:dyDescent="0.3">
      <c r="A64" s="3" t="s">
        <v>101</v>
      </c>
      <c r="B64" s="3">
        <f>COUNTIF('Dermatoses Bulleuses CNHU HKM'!S:S,"Impétigo bulleux")</f>
        <v>10</v>
      </c>
      <c r="C64" s="6">
        <f>B64/$B$6*100</f>
        <v>7.6923076923076925</v>
      </c>
    </row>
    <row r="65" spans="1:4" x14ac:dyDescent="0.3">
      <c r="A65" s="3" t="s">
        <v>29</v>
      </c>
      <c r="B65" s="3">
        <f>COUNTIF('Dermatoses Bulleuses CNHU HKM'!S:S,"Épidermolyse staphylococcique")</f>
        <v>3</v>
      </c>
      <c r="C65" s="6">
        <f>B65/$B$6*100</f>
        <v>2.3076923076923079</v>
      </c>
    </row>
    <row r="66" spans="1:4" x14ac:dyDescent="0.3">
      <c r="A66" s="3" t="s">
        <v>147</v>
      </c>
      <c r="B66" s="3">
        <f>COUNTIF('Dermatoses Bulleuses CNHU HKM'!S:S,"DHBANN")</f>
        <v>2</v>
      </c>
      <c r="C66" s="6">
        <f>B66/$B$6*100</f>
        <v>1.5384615384615385</v>
      </c>
    </row>
    <row r="67" spans="1:4" x14ac:dyDescent="0.3">
      <c r="A67" s="3" t="s">
        <v>47</v>
      </c>
      <c r="B67" s="3">
        <f>COUNTIF('Dermatoses Bulleuses CNHU HKM'!S:S,"Autre à préciser...")</f>
        <v>4</v>
      </c>
      <c r="C67" s="6">
        <f>B67/$B$6*100</f>
        <v>3.0769230769230771</v>
      </c>
    </row>
    <row r="69" spans="1:4" x14ac:dyDescent="0.3">
      <c r="A69" s="32" t="s">
        <v>196</v>
      </c>
      <c r="B69" s="32"/>
      <c r="C69" s="32"/>
      <c r="D69" s="32"/>
    </row>
    <row r="70" spans="1:4" x14ac:dyDescent="0.3">
      <c r="A70" s="4" t="s">
        <v>181</v>
      </c>
      <c r="B70" s="4" t="s">
        <v>187</v>
      </c>
      <c r="C70" s="4" t="s">
        <v>188</v>
      </c>
    </row>
    <row r="71" spans="1:4" x14ac:dyDescent="0.3">
      <c r="A71" s="3" t="s">
        <v>35</v>
      </c>
      <c r="B71" s="3">
        <f>COUNTIF('Dermatoses Bulleuses CNHU HKM'!T:T,"EPF Bulleux")</f>
        <v>25</v>
      </c>
      <c r="C71" s="6">
        <f>B71/$B$6*100</f>
        <v>19.230769230769234</v>
      </c>
    </row>
    <row r="72" spans="1:4" x14ac:dyDescent="0.3">
      <c r="A72" s="3" t="s">
        <v>74</v>
      </c>
      <c r="B72" s="3">
        <f>COUNTIF('Dermatoses Bulleuses CNHU HKM'!T:T,"Syndrome de Stevens Johnson")</f>
        <v>20</v>
      </c>
      <c r="C72" s="6">
        <f>B72/$B$6*100</f>
        <v>15.384615384615385</v>
      </c>
    </row>
    <row r="73" spans="1:4" x14ac:dyDescent="0.3">
      <c r="A73" s="3" t="s">
        <v>64</v>
      </c>
      <c r="B73" s="3">
        <f>COUNTIF('Dermatoses Bulleuses CNHU HKM'!T:T,"Syndrome de Lyell")</f>
        <v>15</v>
      </c>
      <c r="C73" s="6">
        <f>B73/$B$6*100</f>
        <v>11.538461538461538</v>
      </c>
    </row>
    <row r="74" spans="1:4" x14ac:dyDescent="0.3">
      <c r="A74" s="3" t="s">
        <v>70</v>
      </c>
      <c r="B74" s="3">
        <f>COUNTIF('Dermatoses Bulleuses CNHU HKM'!T:T,"Syndrome de chevauchement")</f>
        <v>8</v>
      </c>
      <c r="C74" s="6">
        <f>B74/$B$6*100</f>
        <v>6.1538461538461542</v>
      </c>
    </row>
    <row r="75" spans="1:4" x14ac:dyDescent="0.3">
      <c r="A75" s="3" t="s">
        <v>47</v>
      </c>
      <c r="B75" s="3">
        <f>COUNTIF('Dermatoses Bulleuses CNHU HKM'!T:T,"Autre à préciser...")</f>
        <v>7</v>
      </c>
      <c r="C75" s="6">
        <f>B75/$B$6*100</f>
        <v>5.384615384615385</v>
      </c>
    </row>
    <row r="77" spans="1:4" x14ac:dyDescent="0.3">
      <c r="A77" s="32" t="s">
        <v>197</v>
      </c>
      <c r="B77" s="32"/>
      <c r="C77" s="32"/>
      <c r="D77" s="32"/>
    </row>
    <row r="78" spans="1:4" x14ac:dyDescent="0.3">
      <c r="A78" s="4" t="s">
        <v>180</v>
      </c>
      <c r="B78" s="4" t="s">
        <v>181</v>
      </c>
    </row>
    <row r="79" spans="1:4" x14ac:dyDescent="0.3">
      <c r="A79" s="3" t="s">
        <v>182</v>
      </c>
      <c r="B79" s="6">
        <f>AVERAGE('Dermatoses Bulleuses CNHU HKM'!J2:J131)</f>
        <v>141.33846153846153</v>
      </c>
    </row>
    <row r="80" spans="1:4" x14ac:dyDescent="0.3">
      <c r="A80" s="3" t="s">
        <v>183</v>
      </c>
      <c r="B80" s="6">
        <f>MEDIAN('Dermatoses Bulleuses CNHU HKM'!J2:J131)</f>
        <v>14</v>
      </c>
    </row>
    <row r="81" spans="1:8" x14ac:dyDescent="0.3">
      <c r="A81" s="3" t="s">
        <v>184</v>
      </c>
      <c r="B81" s="6">
        <f>_xlfn.MODE.SNGL('Dermatoses Bulleuses CNHU HKM'!J2:J131)</f>
        <v>7</v>
      </c>
    </row>
    <row r="82" spans="1:8" x14ac:dyDescent="0.3">
      <c r="A82" s="3" t="s">
        <v>185</v>
      </c>
      <c r="B82" s="6">
        <f>_xlfn.STDEV.P('Dermatoses Bulleuses CNHU HKM'!J2:J131)</f>
        <v>414.8162253678156</v>
      </c>
    </row>
    <row r="85" spans="1:8" ht="19.350000000000001" x14ac:dyDescent="0.35">
      <c r="A85" s="35" t="s">
        <v>198</v>
      </c>
      <c r="B85" s="35"/>
      <c r="C85" s="35"/>
      <c r="D85" s="35"/>
      <c r="E85" s="35"/>
      <c r="F85" s="35"/>
      <c r="G85" s="35"/>
      <c r="H85" s="35"/>
    </row>
    <row r="87" spans="1:8" x14ac:dyDescent="0.3">
      <c r="A87" s="32" t="s">
        <v>199</v>
      </c>
      <c r="B87" s="32"/>
      <c r="C87" s="32"/>
      <c r="D87" s="32"/>
    </row>
    <row r="88" spans="1:8" x14ac:dyDescent="0.3">
      <c r="A88" s="4" t="s">
        <v>200</v>
      </c>
      <c r="B88" s="4" t="s">
        <v>187</v>
      </c>
      <c r="C88" s="4" t="s">
        <v>188</v>
      </c>
    </row>
    <row r="89" spans="1:8" x14ac:dyDescent="0.3">
      <c r="A89" s="3" t="s">
        <v>201</v>
      </c>
      <c r="B89" s="3">
        <f>COUNTIFS('Dermatoses Bulleuses CNHU HKM'!F:F,"&gt;=0",'Dermatoses Bulleuses CNHU HKM'!F:F,"&lt;=18")</f>
        <v>43</v>
      </c>
      <c r="C89" s="6">
        <f>B89/$B$6*100</f>
        <v>33.076923076923073</v>
      </c>
    </row>
    <row r="90" spans="1:8" x14ac:dyDescent="0.3">
      <c r="A90" s="3" t="s">
        <v>202</v>
      </c>
      <c r="B90" s="3">
        <f>COUNTIFS('Dermatoses Bulleuses CNHU HKM'!F:F,"&gt;18",'Dermatoses Bulleuses CNHU HKM'!F:F,"&lt;=60")</f>
        <v>61</v>
      </c>
      <c r="C90" s="6">
        <f>B90/$B$6*100</f>
        <v>46.92307692307692</v>
      </c>
    </row>
    <row r="91" spans="1:8" x14ac:dyDescent="0.3">
      <c r="A91" s="3" t="s">
        <v>203</v>
      </c>
      <c r="B91" s="3">
        <f>COUNTIFS('Dermatoses Bulleuses CNHU HKM'!F:F,"&gt;60")</f>
        <v>26</v>
      </c>
      <c r="C91" s="6">
        <f>B91/$B$6*100</f>
        <v>20</v>
      </c>
    </row>
    <row r="92" spans="1:8" x14ac:dyDescent="0.3">
      <c r="A92" s="4" t="s">
        <v>204</v>
      </c>
      <c r="B92" s="3">
        <f>SUM(B89:B91)</f>
        <v>130</v>
      </c>
      <c r="C92" s="6">
        <f>SUM(C89:C91)</f>
        <v>100</v>
      </c>
    </row>
    <row r="95" spans="1:8" ht="17.350000000000001" x14ac:dyDescent="0.35">
      <c r="A95" s="37" t="s">
        <v>205</v>
      </c>
      <c r="B95" s="37"/>
      <c r="C95" s="37"/>
      <c r="D95" s="37"/>
      <c r="E95" s="37"/>
      <c r="F95" s="37"/>
      <c r="G95" s="37"/>
      <c r="H95" s="37"/>
    </row>
    <row r="97" spans="1:4" x14ac:dyDescent="0.3">
      <c r="A97" s="4" t="s">
        <v>206</v>
      </c>
      <c r="B97" s="3">
        <f>COUNTIFS('Dermatoses Bulleuses CNHU HKM'!F:F,"&gt;=0",'Dermatoses Bulleuses CNHU HKM'!F:F,"&lt;=18")</f>
        <v>43</v>
      </c>
    </row>
    <row r="99" spans="1:4" x14ac:dyDescent="0.3">
      <c r="A99" s="38" t="s">
        <v>207</v>
      </c>
      <c r="B99" s="38"/>
      <c r="C99" s="38"/>
      <c r="D99" s="38"/>
    </row>
    <row r="100" spans="1:4" x14ac:dyDescent="0.3">
      <c r="A100" s="4" t="s">
        <v>181</v>
      </c>
      <c r="B100" s="4" t="s">
        <v>187</v>
      </c>
      <c r="C100" s="4" t="s">
        <v>188</v>
      </c>
    </row>
    <row r="101" spans="1:4" x14ac:dyDescent="0.3">
      <c r="A101" s="3" t="s">
        <v>30</v>
      </c>
      <c r="B101" s="3">
        <f>COUNTIFS('Dermatoses Bulleuses CNHU HKM'!F:F,"&gt;=0",'Dermatoses Bulleuses CNHU HKM'!F:F,"&lt;=18",'Dermatoses Bulleuses CNHU HKM'!G:G,"Femme")</f>
        <v>19</v>
      </c>
      <c r="C101" s="6">
        <f>IF($B$97&gt;0,B101/$B$97*100,0)</f>
        <v>44.186046511627907</v>
      </c>
    </row>
    <row r="102" spans="1:4" x14ac:dyDescent="0.3">
      <c r="A102" s="3" t="s">
        <v>22</v>
      </c>
      <c r="B102" s="3">
        <f>COUNTIFS('Dermatoses Bulleuses CNHU HKM'!F:F,"&gt;=0",'Dermatoses Bulleuses CNHU HKM'!F:F,"&lt;=18",'Dermatoses Bulleuses CNHU HKM'!G:G,"Homme")</f>
        <v>24</v>
      </c>
      <c r="C102" s="6">
        <f>IF($B$97&gt;0,B102/$B$97*100,0)</f>
        <v>55.813953488372093</v>
      </c>
    </row>
    <row r="104" spans="1:4" x14ac:dyDescent="0.3">
      <c r="A104" s="38" t="s">
        <v>208</v>
      </c>
      <c r="B104" s="38"/>
      <c r="C104" s="38"/>
      <c r="D104" s="38"/>
    </row>
    <row r="105" spans="1:4" x14ac:dyDescent="0.3">
      <c r="A105" s="4" t="s">
        <v>181</v>
      </c>
      <c r="B105" s="4" t="s">
        <v>187</v>
      </c>
      <c r="C105" s="4" t="s">
        <v>188</v>
      </c>
    </row>
    <row r="106" spans="1:4" x14ac:dyDescent="0.3">
      <c r="A106" s="3" t="s">
        <v>32</v>
      </c>
      <c r="B106" s="3">
        <f>COUNTIFS('Dermatoses Bulleuses CNHU HKM'!F:F,"&gt;=0",'Dermatoses Bulleuses CNHU HKM'!F:F,"&lt;=18",'Dermatoses Bulleuses CNHU HKM'!K:K,"Oui")</f>
        <v>23</v>
      </c>
      <c r="C106" s="6">
        <f>IF($B$97&gt;0,B106/$B$97*100,0)</f>
        <v>53.488372093023251</v>
      </c>
    </row>
    <row r="107" spans="1:4" x14ac:dyDescent="0.3">
      <c r="A107" s="3" t="s">
        <v>24</v>
      </c>
      <c r="B107" s="3">
        <f>COUNTIFS('Dermatoses Bulleuses CNHU HKM'!F:F,"&gt;=0",'Dermatoses Bulleuses CNHU HKM'!F:F,"&lt;=18",'Dermatoses Bulleuses CNHU HKM'!K:K,"Non")</f>
        <v>20</v>
      </c>
      <c r="C107" s="6">
        <f>IF($B$97&gt;0,B107/$B$97*100,0)</f>
        <v>46.511627906976742</v>
      </c>
    </row>
    <row r="109" spans="1:4" x14ac:dyDescent="0.3">
      <c r="A109" s="38" t="s">
        <v>209</v>
      </c>
      <c r="B109" s="38"/>
      <c r="C109" s="38"/>
      <c r="D109" s="38"/>
    </row>
    <row r="110" spans="1:4" x14ac:dyDescent="0.3">
      <c r="A110" s="4" t="s">
        <v>181</v>
      </c>
      <c r="B110" s="4" t="s">
        <v>187</v>
      </c>
      <c r="C110" s="4" t="s">
        <v>188</v>
      </c>
    </row>
    <row r="111" spans="1:4" x14ac:dyDescent="0.3">
      <c r="A111" s="3" t="s">
        <v>25</v>
      </c>
      <c r="B111" s="3">
        <f>COUNTIFS('Dermatoses Bulleuses CNHU HKM'!F:F,"&gt;=0",'Dermatoses Bulleuses CNHU HKM'!F:F,"&lt;=18",'Dermatoses Bulleuses CNHU HKM'!M:M,"Cutanée seule")</f>
        <v>17</v>
      </c>
      <c r="C111" s="6">
        <f>IF($B$97&gt;0,B111/$B$97*100,0)</f>
        <v>39.534883720930232</v>
      </c>
    </row>
    <row r="112" spans="1:4" x14ac:dyDescent="0.3">
      <c r="A112" s="3" t="s">
        <v>38</v>
      </c>
      <c r="B112" s="3">
        <f>COUNTIFS('Dermatoses Bulleuses CNHU HKM'!F:F,"&gt;=0",'Dermatoses Bulleuses CNHU HKM'!F:F,"&lt;=18",'Dermatoses Bulleuses CNHU HKM'!M:M,"Cutanée et muqueuse")</f>
        <v>25</v>
      </c>
      <c r="C112" s="6">
        <f>IF($B$97&gt;0,B112/$B$97*100,0)</f>
        <v>58.139534883720934</v>
      </c>
    </row>
    <row r="113" spans="1:8" x14ac:dyDescent="0.3">
      <c r="A113" s="3" t="s">
        <v>58</v>
      </c>
      <c r="B113" s="3">
        <f>COUNTIFS('Dermatoses Bulleuses CNHU HKM'!F:F,"&gt;=0",'Dermatoses Bulleuses CNHU HKM'!F:F,"&lt;=18",'Dermatoses Bulleuses CNHU HKM'!M:M,"Muqueuse seule")</f>
        <v>1</v>
      </c>
      <c r="C113" s="6">
        <f>IF($B$97&gt;0,B113/$B$97*100,0)</f>
        <v>2.3255813953488373</v>
      </c>
    </row>
    <row r="115" spans="1:8" x14ac:dyDescent="0.3">
      <c r="A115" s="38" t="s">
        <v>210</v>
      </c>
      <c r="B115" s="38"/>
      <c r="C115" s="38"/>
      <c r="D115" s="38"/>
    </row>
    <row r="116" spans="1:8" x14ac:dyDescent="0.3">
      <c r="A116" s="4" t="s">
        <v>181</v>
      </c>
      <c r="B116" s="4" t="s">
        <v>187</v>
      </c>
      <c r="C116" s="4" t="s">
        <v>188</v>
      </c>
    </row>
    <row r="117" spans="1:8" x14ac:dyDescent="0.3">
      <c r="A117" s="3" t="s">
        <v>19</v>
      </c>
      <c r="B117" s="3">
        <f>COUNTIFS('Dermatoses Bulleuses CNHU HKM'!F:F,"&gt;=0",'Dermatoses Bulleuses CNHU HKM'!F:F,"&lt;=18",'Dermatoses Bulleuses CNHU HKM'!Q:Q,"Toxidermie")</f>
        <v>27</v>
      </c>
      <c r="C117" s="6">
        <f>IF($B$97&gt;0,B117/$B$97*100,0)</f>
        <v>62.790697674418603</v>
      </c>
    </row>
    <row r="118" spans="1:8" x14ac:dyDescent="0.3">
      <c r="A118" s="3" t="s">
        <v>40</v>
      </c>
      <c r="B118" s="3">
        <f>COUNTIFS('Dermatoses Bulleuses CNHU HKM'!F:F,"&gt;=0",'Dermatoses Bulleuses CNHU HKM'!F:F,"&lt;=18",'Dermatoses Bulleuses CNHU HKM'!Q:Q,"Auto-immune")</f>
        <v>2</v>
      </c>
      <c r="C118" s="6">
        <f>IF($B$97&gt;0,B118/$B$97*100,0)</f>
        <v>4.6511627906976747</v>
      </c>
    </row>
    <row r="119" spans="1:8" x14ac:dyDescent="0.3">
      <c r="A119" s="3" t="s">
        <v>28</v>
      </c>
      <c r="B119" s="3">
        <f>COUNTIFS('Dermatoses Bulleuses CNHU HKM'!F:F,"&gt;=0",'Dermatoses Bulleuses CNHU HKM'!F:F,"&lt;=18",'Dermatoses Bulleuses CNHU HKM'!Q:Q,"Infectieuse")</f>
        <v>13</v>
      </c>
      <c r="C119" s="6">
        <f>IF($B$97&gt;0,B119/$B$97*100,0)</f>
        <v>30.232558139534881</v>
      </c>
    </row>
    <row r="120" spans="1:8" x14ac:dyDescent="0.3">
      <c r="A120" s="3" t="s">
        <v>144</v>
      </c>
      <c r="B120" s="3">
        <f>COUNTIFS('Dermatoses Bulleuses CNHU HKM'!F:F,"&gt;=0",'Dermatoses Bulleuses CNHU HKM'!F:F,"&lt;=18",'Dermatoses Bulleuses CNHU HKM'!Q:Q,"Immunoallergique")</f>
        <v>1</v>
      </c>
      <c r="C120" s="6">
        <f>IF($B$97&gt;0,B120/$B$97*100,0)</f>
        <v>2.3255813953488373</v>
      </c>
    </row>
    <row r="123" spans="1:8" ht="17.350000000000001" x14ac:dyDescent="0.35">
      <c r="A123" s="39" t="s">
        <v>211</v>
      </c>
      <c r="B123" s="39"/>
      <c r="C123" s="39"/>
      <c r="D123" s="39"/>
      <c r="E123" s="39"/>
      <c r="F123" s="39"/>
      <c r="G123" s="39"/>
      <c r="H123" s="39"/>
    </row>
    <row r="125" spans="1:8" x14ac:dyDescent="0.3">
      <c r="A125" s="4" t="s">
        <v>212</v>
      </c>
      <c r="B125" s="3">
        <f>COUNTIFS('Dermatoses Bulleuses CNHU HKM'!F:F,"&gt;18",'Dermatoses Bulleuses CNHU HKM'!F:F,"&lt;=60")</f>
        <v>61</v>
      </c>
    </row>
    <row r="127" spans="1:8" x14ac:dyDescent="0.3">
      <c r="A127" s="36" t="s">
        <v>213</v>
      </c>
      <c r="B127" s="36"/>
      <c r="C127" s="36"/>
      <c r="D127" s="36"/>
    </row>
    <row r="128" spans="1:8" x14ac:dyDescent="0.3">
      <c r="A128" s="4" t="s">
        <v>181</v>
      </c>
      <c r="B128" s="4" t="s">
        <v>187</v>
      </c>
      <c r="C128" s="4" t="s">
        <v>188</v>
      </c>
    </row>
    <row r="129" spans="1:4" x14ac:dyDescent="0.3">
      <c r="A129" s="3" t="s">
        <v>30</v>
      </c>
      <c r="B129" s="3">
        <f>COUNTIFS('Dermatoses Bulleuses CNHU HKM'!F:F,"&gt;18",'Dermatoses Bulleuses CNHU HKM'!F:F,"&lt;=60",'Dermatoses Bulleuses CNHU HKM'!G:G,"Femme")</f>
        <v>40</v>
      </c>
      <c r="C129" s="6">
        <f>IF($B$125&gt;0,B129/$B$125*100,0)</f>
        <v>65.573770491803273</v>
      </c>
    </row>
    <row r="130" spans="1:4" x14ac:dyDescent="0.3">
      <c r="A130" s="3" t="s">
        <v>22</v>
      </c>
      <c r="B130" s="3">
        <f>COUNTIFS('Dermatoses Bulleuses CNHU HKM'!F:F,"&gt;18",'Dermatoses Bulleuses CNHU HKM'!F:F,"&lt;=60",'Dermatoses Bulleuses CNHU HKM'!G:G,"Homme")</f>
        <v>21</v>
      </c>
      <c r="C130" s="6">
        <f>IF($B$125&gt;0,B130/$B$125*100,0)</f>
        <v>34.42622950819672</v>
      </c>
    </row>
    <row r="132" spans="1:4" x14ac:dyDescent="0.3">
      <c r="A132" s="36" t="s">
        <v>214</v>
      </c>
      <c r="B132" s="36"/>
      <c r="C132" s="36"/>
      <c r="D132" s="36"/>
    </row>
    <row r="133" spans="1:4" x14ac:dyDescent="0.3">
      <c r="A133" s="4" t="s">
        <v>181</v>
      </c>
      <c r="B133" s="4" t="s">
        <v>187</v>
      </c>
      <c r="C133" s="4" t="s">
        <v>188</v>
      </c>
    </row>
    <row r="134" spans="1:4" x14ac:dyDescent="0.3">
      <c r="A134" s="3" t="s">
        <v>32</v>
      </c>
      <c r="B134" s="3">
        <f>COUNTIFS('Dermatoses Bulleuses CNHU HKM'!F:F,"&gt;18",'Dermatoses Bulleuses CNHU HKM'!F:F,"&lt;=60",'Dermatoses Bulleuses CNHU HKM'!K:K,"Oui")</f>
        <v>38</v>
      </c>
      <c r="C134" s="6">
        <f>IF($B$125&gt;0,B134/$B$125*100,0)</f>
        <v>62.295081967213115</v>
      </c>
    </row>
    <row r="135" spans="1:4" x14ac:dyDescent="0.3">
      <c r="A135" s="3" t="s">
        <v>24</v>
      </c>
      <c r="B135" s="3">
        <f>COUNTIFS('Dermatoses Bulleuses CNHU HKM'!F:F,"&gt;18",'Dermatoses Bulleuses CNHU HKM'!F:F,"&lt;=60",'Dermatoses Bulleuses CNHU HKM'!K:K,"Non")</f>
        <v>23</v>
      </c>
      <c r="C135" s="6">
        <f>IF($B$125&gt;0,B135/$B$125*100,0)</f>
        <v>37.704918032786885</v>
      </c>
    </row>
    <row r="137" spans="1:4" x14ac:dyDescent="0.3">
      <c r="A137" s="36" t="s">
        <v>215</v>
      </c>
      <c r="B137" s="36"/>
      <c r="C137" s="36"/>
      <c r="D137" s="36"/>
    </row>
    <row r="138" spans="1:4" x14ac:dyDescent="0.3">
      <c r="A138" s="4" t="s">
        <v>181</v>
      </c>
      <c r="B138" s="4" t="s">
        <v>187</v>
      </c>
      <c r="C138" s="4" t="s">
        <v>188</v>
      </c>
    </row>
    <row r="139" spans="1:4" x14ac:dyDescent="0.3">
      <c r="A139" s="3" t="s">
        <v>25</v>
      </c>
      <c r="B139" s="3">
        <f>COUNTIFS('Dermatoses Bulleuses CNHU HKM'!F:F,"&gt;18",'Dermatoses Bulleuses CNHU HKM'!F:F,"&lt;=60",'Dermatoses Bulleuses CNHU HKM'!M:M,"Cutanée seule")</f>
        <v>32</v>
      </c>
      <c r="C139" s="6">
        <f>IF($B$125&gt;0,B139/$B$125*100,0)</f>
        <v>52.459016393442624</v>
      </c>
    </row>
    <row r="140" spans="1:4" x14ac:dyDescent="0.3">
      <c r="A140" s="3" t="s">
        <v>38</v>
      </c>
      <c r="B140" s="3">
        <f>COUNTIFS('Dermatoses Bulleuses CNHU HKM'!F:F,"&gt;18",'Dermatoses Bulleuses CNHU HKM'!F:F,"&lt;=60",'Dermatoses Bulleuses CNHU HKM'!M:M,"Cutanée et muqueuse")</f>
        <v>29</v>
      </c>
      <c r="C140" s="6">
        <f>IF($B$125&gt;0,B140/$B$125*100,0)</f>
        <v>47.540983606557376</v>
      </c>
    </row>
    <row r="141" spans="1:4" x14ac:dyDescent="0.3">
      <c r="A141" s="3" t="s">
        <v>58</v>
      </c>
      <c r="B141" s="3">
        <f>COUNTIFS('Dermatoses Bulleuses CNHU HKM'!F:F,"&gt;18",'Dermatoses Bulleuses CNHU HKM'!F:F,"&lt;=60",'Dermatoses Bulleuses CNHU HKM'!M:M,"Muqueuse seule")</f>
        <v>0</v>
      </c>
      <c r="C141" s="6">
        <f>IF($B$125&gt;0,B141/$B$125*100,0)</f>
        <v>0</v>
      </c>
    </row>
    <row r="143" spans="1:4" x14ac:dyDescent="0.3">
      <c r="A143" s="36" t="s">
        <v>216</v>
      </c>
      <c r="B143" s="36"/>
      <c r="C143" s="36"/>
      <c r="D143" s="36"/>
    </row>
    <row r="144" spans="1:4" x14ac:dyDescent="0.3">
      <c r="A144" s="4" t="s">
        <v>181</v>
      </c>
      <c r="B144" s="4" t="s">
        <v>187</v>
      </c>
      <c r="C144" s="4" t="s">
        <v>188</v>
      </c>
    </row>
    <row r="145" spans="1:8" x14ac:dyDescent="0.3">
      <c r="A145" s="3" t="s">
        <v>19</v>
      </c>
      <c r="B145" s="3">
        <f>COUNTIFS('Dermatoses Bulleuses CNHU HKM'!F:F,"&gt;18",'Dermatoses Bulleuses CNHU HKM'!F:F,"&lt;=60",'Dermatoses Bulleuses CNHU HKM'!Q:Q,"Toxidermie")</f>
        <v>40</v>
      </c>
      <c r="C145" s="6">
        <f>IF($B$125&gt;0,B145/$B$125*100,0)</f>
        <v>65.573770491803273</v>
      </c>
    </row>
    <row r="146" spans="1:8" x14ac:dyDescent="0.3">
      <c r="A146" s="3" t="s">
        <v>40</v>
      </c>
      <c r="B146" s="3">
        <f>COUNTIFS('Dermatoses Bulleuses CNHU HKM'!F:F,"&gt;18",'Dermatoses Bulleuses CNHU HKM'!F:F,"&lt;=60",'Dermatoses Bulleuses CNHU HKM'!Q:Q,"Auto-immune")</f>
        <v>12</v>
      </c>
      <c r="C146" s="6">
        <f>IF($B$125&gt;0,B146/$B$125*100,0)</f>
        <v>19.672131147540984</v>
      </c>
    </row>
    <row r="147" spans="1:8" x14ac:dyDescent="0.3">
      <c r="A147" s="3" t="s">
        <v>28</v>
      </c>
      <c r="B147" s="3">
        <f>COUNTIFS('Dermatoses Bulleuses CNHU HKM'!F:F,"&gt;18",'Dermatoses Bulleuses CNHU HKM'!F:F,"&lt;=60",'Dermatoses Bulleuses CNHU HKM'!Q:Q,"Infectieuse")</f>
        <v>5</v>
      </c>
      <c r="C147" s="6">
        <f>IF($B$125&gt;0,B147/$B$125*100,0)</f>
        <v>8.1967213114754092</v>
      </c>
    </row>
    <row r="148" spans="1:8" x14ac:dyDescent="0.3">
      <c r="A148" s="3" t="s">
        <v>144</v>
      </c>
      <c r="B148" s="3">
        <f>COUNTIFS('Dermatoses Bulleuses CNHU HKM'!F:F,"&gt;18",'Dermatoses Bulleuses CNHU HKM'!F:F,"&lt;=60",'Dermatoses Bulleuses CNHU HKM'!Q:Q,"Immunoallergique")</f>
        <v>4</v>
      </c>
      <c r="C148" s="6">
        <f>IF($B$125&gt;0,B148/$B$125*100,0)</f>
        <v>6.557377049180328</v>
      </c>
    </row>
    <row r="151" spans="1:8" ht="17.350000000000001" x14ac:dyDescent="0.35">
      <c r="A151" s="41" t="s">
        <v>217</v>
      </c>
      <c r="B151" s="41"/>
      <c r="C151" s="41"/>
      <c r="D151" s="41"/>
      <c r="E151" s="41"/>
      <c r="F151" s="41"/>
      <c r="G151" s="41"/>
      <c r="H151" s="41"/>
    </row>
    <row r="153" spans="1:8" x14ac:dyDescent="0.3">
      <c r="A153" s="4" t="s">
        <v>218</v>
      </c>
      <c r="B153" s="3">
        <f>COUNTIFS('Dermatoses Bulleuses CNHU HKM'!F:F,"&gt;60")</f>
        <v>26</v>
      </c>
    </row>
    <row r="155" spans="1:8" x14ac:dyDescent="0.3">
      <c r="A155" s="42" t="s">
        <v>219</v>
      </c>
      <c r="B155" s="42"/>
      <c r="C155" s="42"/>
      <c r="D155" s="42"/>
    </row>
    <row r="156" spans="1:8" x14ac:dyDescent="0.3">
      <c r="A156" s="4" t="s">
        <v>181</v>
      </c>
      <c r="B156" s="4" t="s">
        <v>187</v>
      </c>
      <c r="C156" s="4" t="s">
        <v>188</v>
      </c>
    </row>
    <row r="157" spans="1:8" x14ac:dyDescent="0.3">
      <c r="A157" s="3" t="s">
        <v>30</v>
      </c>
      <c r="B157" s="3">
        <f>COUNTIFS('Dermatoses Bulleuses CNHU HKM'!F:F,"&gt;60",'Dermatoses Bulleuses CNHU HKM'!G:G,"Femme")</f>
        <v>15</v>
      </c>
      <c r="C157" s="6">
        <f>IF($B$153&gt;0,B157/$B$153*100,0)</f>
        <v>57.692307692307686</v>
      </c>
    </row>
    <row r="158" spans="1:8" x14ac:dyDescent="0.3">
      <c r="A158" s="3" t="s">
        <v>22</v>
      </c>
      <c r="B158" s="3">
        <f>COUNTIFS('Dermatoses Bulleuses CNHU HKM'!F:F,"&gt;60",'Dermatoses Bulleuses CNHU HKM'!G:G,"Homme")</f>
        <v>11</v>
      </c>
      <c r="C158" s="6">
        <f>IF($B$153&gt;0,B158/$B$153*100,0)</f>
        <v>42.307692307692307</v>
      </c>
    </row>
    <row r="160" spans="1:8" x14ac:dyDescent="0.3">
      <c r="A160" s="42" t="s">
        <v>220</v>
      </c>
      <c r="B160" s="42"/>
      <c r="C160" s="42"/>
      <c r="D160" s="42"/>
    </row>
    <row r="161" spans="1:4" x14ac:dyDescent="0.3">
      <c r="A161" s="4" t="s">
        <v>181</v>
      </c>
      <c r="B161" s="4" t="s">
        <v>187</v>
      </c>
      <c r="C161" s="4" t="s">
        <v>188</v>
      </c>
    </row>
    <row r="162" spans="1:4" x14ac:dyDescent="0.3">
      <c r="A162" s="3" t="s">
        <v>32</v>
      </c>
      <c r="B162" s="3">
        <f>COUNTIFS('Dermatoses Bulleuses CNHU HKM'!F:F,"&gt;60",'Dermatoses Bulleuses CNHU HKM'!K:K,"Oui")</f>
        <v>7</v>
      </c>
      <c r="C162" s="6">
        <f>IF($B$153&gt;0,B162/$B$153*100,0)</f>
        <v>26.923076923076923</v>
      </c>
    </row>
    <row r="163" spans="1:4" x14ac:dyDescent="0.3">
      <c r="A163" s="3" t="s">
        <v>24</v>
      </c>
      <c r="B163" s="3">
        <f>COUNTIFS('Dermatoses Bulleuses CNHU HKM'!F:F,"&gt;60",'Dermatoses Bulleuses CNHU HKM'!K:K,"Non")</f>
        <v>19</v>
      </c>
      <c r="C163" s="6">
        <f>IF($B$153&gt;0,B163/$B$153*100,0)</f>
        <v>73.076923076923066</v>
      </c>
    </row>
    <row r="165" spans="1:4" x14ac:dyDescent="0.3">
      <c r="A165" s="42" t="s">
        <v>221</v>
      </c>
      <c r="B165" s="42"/>
      <c r="C165" s="42"/>
      <c r="D165" s="42"/>
    </row>
    <row r="166" spans="1:4" x14ac:dyDescent="0.3">
      <c r="A166" s="4" t="s">
        <v>181</v>
      </c>
      <c r="B166" s="4" t="s">
        <v>187</v>
      </c>
      <c r="C166" s="4" t="s">
        <v>188</v>
      </c>
    </row>
    <row r="167" spans="1:4" x14ac:dyDescent="0.3">
      <c r="A167" s="3" t="s">
        <v>25</v>
      </c>
      <c r="B167" s="3">
        <f>COUNTIFS('Dermatoses Bulleuses CNHU HKM'!F:F,"&gt;60",'Dermatoses Bulleuses CNHU HKM'!M:M,"Cutanée seule")</f>
        <v>18</v>
      </c>
      <c r="C167" s="6">
        <f>IF($B$153&gt;0,B167/$B$153*100,0)</f>
        <v>69.230769230769226</v>
      </c>
    </row>
    <row r="168" spans="1:4" x14ac:dyDescent="0.3">
      <c r="A168" s="3" t="s">
        <v>38</v>
      </c>
      <c r="B168" s="3">
        <f>COUNTIFS('Dermatoses Bulleuses CNHU HKM'!F:F,"&gt;60",'Dermatoses Bulleuses CNHU HKM'!M:M,"Cutanée et muqueuse")</f>
        <v>6</v>
      </c>
      <c r="C168" s="6">
        <f>IF($B$153&gt;0,B168/$B$153*100,0)</f>
        <v>23.076923076923077</v>
      </c>
    </row>
    <row r="169" spans="1:4" x14ac:dyDescent="0.3">
      <c r="A169" s="3" t="s">
        <v>58</v>
      </c>
      <c r="B169" s="3">
        <f>COUNTIFS('Dermatoses Bulleuses CNHU HKM'!F:F,"&gt;60",'Dermatoses Bulleuses CNHU HKM'!M:M,"Muqueuse seule")</f>
        <v>2</v>
      </c>
      <c r="C169" s="6">
        <f>IF($B$153&gt;0,B169/$B$153*100,0)</f>
        <v>7.6923076923076925</v>
      </c>
    </row>
    <row r="171" spans="1:4" x14ac:dyDescent="0.3">
      <c r="A171" s="42" t="s">
        <v>222</v>
      </c>
      <c r="B171" s="42"/>
      <c r="C171" s="42"/>
      <c r="D171" s="42"/>
    </row>
    <row r="172" spans="1:4" x14ac:dyDescent="0.3">
      <c r="A172" s="4" t="s">
        <v>181</v>
      </c>
      <c r="B172" s="4" t="s">
        <v>187</v>
      </c>
      <c r="C172" s="4" t="s">
        <v>188</v>
      </c>
    </row>
    <row r="173" spans="1:4" x14ac:dyDescent="0.3">
      <c r="A173" s="3" t="s">
        <v>19</v>
      </c>
      <c r="B173" s="3">
        <f>COUNTIFS('Dermatoses Bulleuses CNHU HKM'!F:F,"&gt;60",'Dermatoses Bulleuses CNHU HKM'!Q:Q,"Toxidermie")</f>
        <v>8</v>
      </c>
      <c r="C173" s="6">
        <f>IF($B$153&gt;0,B173/$B$153*100,0)</f>
        <v>30.76923076923077</v>
      </c>
    </row>
    <row r="174" spans="1:4" x14ac:dyDescent="0.3">
      <c r="A174" s="3" t="s">
        <v>40</v>
      </c>
      <c r="B174" s="3">
        <f>COUNTIFS('Dermatoses Bulleuses CNHU HKM'!F:F,"&gt;60",'Dermatoses Bulleuses CNHU HKM'!Q:Q,"Auto-immune")</f>
        <v>17</v>
      </c>
      <c r="C174" s="6">
        <f>IF($B$153&gt;0,B174/$B$153*100,0)</f>
        <v>65.384615384615387</v>
      </c>
    </row>
    <row r="175" spans="1:4" x14ac:dyDescent="0.3">
      <c r="A175" s="3" t="s">
        <v>28</v>
      </c>
      <c r="B175" s="3">
        <f>COUNTIFS('Dermatoses Bulleuses CNHU HKM'!F:F,"&gt;60",'Dermatoses Bulleuses CNHU HKM'!Q:Q,"Infectieuse")</f>
        <v>1</v>
      </c>
      <c r="C175" s="6">
        <f>IF($B$153&gt;0,B175/$B$153*100,0)</f>
        <v>3.8461538461538463</v>
      </c>
    </row>
    <row r="176" spans="1:4" x14ac:dyDescent="0.3">
      <c r="A176" s="3" t="s">
        <v>144</v>
      </c>
      <c r="B176" s="3">
        <f>COUNTIFS('Dermatoses Bulleuses CNHU HKM'!F:F,"&gt;60",'Dermatoses Bulleuses CNHU HKM'!Q:Q,"Immunoallergique")</f>
        <v>0</v>
      </c>
      <c r="C176" s="6">
        <f>IF($B$153&gt;0,B176/$B$153*100,0)</f>
        <v>0</v>
      </c>
    </row>
    <row r="179" spans="1:8" ht="19.350000000000001" x14ac:dyDescent="0.35">
      <c r="A179" s="35" t="s">
        <v>223</v>
      </c>
      <c r="B179" s="35"/>
      <c r="C179" s="35"/>
      <c r="D179" s="35"/>
      <c r="E179" s="35"/>
      <c r="F179" s="35"/>
      <c r="G179" s="35"/>
      <c r="H179" s="35"/>
    </row>
    <row r="181" spans="1:8" ht="17.350000000000001" x14ac:dyDescent="0.35">
      <c r="A181" s="43" t="s">
        <v>224</v>
      </c>
      <c r="B181" s="43"/>
      <c r="C181" s="43"/>
      <c r="D181" s="43"/>
      <c r="E181" s="43"/>
      <c r="F181" s="43"/>
      <c r="G181" s="43"/>
      <c r="H181" s="43"/>
    </row>
    <row r="183" spans="1:8" x14ac:dyDescent="0.3">
      <c r="A183" s="4" t="s">
        <v>225</v>
      </c>
      <c r="B183" s="3">
        <f>COUNTIF('Dermatoses Bulleuses CNHU HKM'!G:G,"Femme")</f>
        <v>74</v>
      </c>
    </row>
    <row r="185" spans="1:8" x14ac:dyDescent="0.3">
      <c r="A185" s="40" t="s">
        <v>226</v>
      </c>
      <c r="B185" s="40"/>
      <c r="C185" s="40"/>
      <c r="D185" s="40"/>
    </row>
    <row r="186" spans="1:8" x14ac:dyDescent="0.3">
      <c r="A186" s="4" t="s">
        <v>200</v>
      </c>
      <c r="B186" s="4" t="s">
        <v>187</v>
      </c>
      <c r="C186" s="4" t="s">
        <v>188</v>
      </c>
    </row>
    <row r="187" spans="1:8" x14ac:dyDescent="0.3">
      <c r="A187" s="3" t="s">
        <v>201</v>
      </c>
      <c r="B187" s="3">
        <f>COUNTIFS('Dermatoses Bulleuses CNHU HKM'!G:G,"Femme",'Dermatoses Bulleuses CNHU HKM'!F:F,"&gt;=0",'Dermatoses Bulleuses CNHU HKM'!F:F,"&lt;=18")</f>
        <v>19</v>
      </c>
      <c r="C187" s="6">
        <f>IF($B$183&gt;0,B187/$B$183*100,0)</f>
        <v>25.675675675675674</v>
      </c>
    </row>
    <row r="188" spans="1:8" x14ac:dyDescent="0.3">
      <c r="A188" s="3" t="s">
        <v>202</v>
      </c>
      <c r="B188" s="3">
        <f>COUNTIFS('Dermatoses Bulleuses CNHU HKM'!G:G,"Femme",'Dermatoses Bulleuses CNHU HKM'!F:F,"&gt;18",'Dermatoses Bulleuses CNHU HKM'!F:F,"&lt;=60")</f>
        <v>40</v>
      </c>
      <c r="C188" s="6">
        <f>IF($B$183&gt;0,B188/$B$183*100,0)</f>
        <v>54.054054054054056</v>
      </c>
    </row>
    <row r="189" spans="1:8" x14ac:dyDescent="0.3">
      <c r="A189" s="3" t="s">
        <v>203</v>
      </c>
      <c r="B189" s="3">
        <f>COUNTIFS('Dermatoses Bulleuses CNHU HKM'!G:G,"Femme",'Dermatoses Bulleuses CNHU HKM'!F:F,"&gt;60")</f>
        <v>15</v>
      </c>
      <c r="C189" s="6">
        <f>IF($B$183&gt;0,B189/$B$183*100,0)</f>
        <v>20.27027027027027</v>
      </c>
    </row>
    <row r="191" spans="1:8" x14ac:dyDescent="0.3">
      <c r="A191" s="40" t="s">
        <v>227</v>
      </c>
      <c r="B191" s="40"/>
      <c r="C191" s="40"/>
      <c r="D191" s="40"/>
    </row>
    <row r="192" spans="1:8" x14ac:dyDescent="0.3">
      <c r="A192" s="4" t="s">
        <v>181</v>
      </c>
      <c r="B192" s="4" t="s">
        <v>187</v>
      </c>
      <c r="C192" s="4" t="s">
        <v>188</v>
      </c>
    </row>
    <row r="193" spans="1:4" x14ac:dyDescent="0.3">
      <c r="A193" s="3" t="s">
        <v>32</v>
      </c>
      <c r="B193" s="3">
        <f>COUNTIFS('Dermatoses Bulleuses CNHU HKM'!G:G,"Femme",'Dermatoses Bulleuses CNHU HKM'!K:K,"Oui")</f>
        <v>39</v>
      </c>
      <c r="C193" s="6">
        <f>IF($B$183&gt;0,B193/$B$183*100,0)</f>
        <v>52.702702702702695</v>
      </c>
    </row>
    <row r="194" spans="1:4" x14ac:dyDescent="0.3">
      <c r="A194" s="3" t="s">
        <v>24</v>
      </c>
      <c r="B194" s="3">
        <f>COUNTIFS('Dermatoses Bulleuses CNHU HKM'!G:G,"Femme",'Dermatoses Bulleuses CNHU HKM'!K:K,"Non")</f>
        <v>35</v>
      </c>
      <c r="C194" s="6">
        <f>IF($B$183&gt;0,B194/$B$183*100,0)</f>
        <v>47.297297297297298</v>
      </c>
    </row>
    <row r="196" spans="1:4" x14ac:dyDescent="0.3">
      <c r="A196" s="40" t="s">
        <v>228</v>
      </c>
      <c r="B196" s="40"/>
      <c r="C196" s="40"/>
      <c r="D196" s="40"/>
    </row>
    <row r="197" spans="1:4" x14ac:dyDescent="0.3">
      <c r="A197" s="4" t="s">
        <v>181</v>
      </c>
      <c r="B197" s="4" t="s">
        <v>187</v>
      </c>
      <c r="C197" s="4" t="s">
        <v>188</v>
      </c>
    </row>
    <row r="198" spans="1:4" x14ac:dyDescent="0.3">
      <c r="A198" s="3" t="s">
        <v>25</v>
      </c>
      <c r="B198" s="3">
        <f>COUNTIFS('Dermatoses Bulleuses CNHU HKM'!G:G,"Femme",'Dermatoses Bulleuses CNHU HKM'!M:M,"Cutanée seule")</f>
        <v>44</v>
      </c>
      <c r="C198" s="6">
        <f>IF($B$183&gt;0,B198/$B$183*100,0)</f>
        <v>59.45945945945946</v>
      </c>
    </row>
    <row r="199" spans="1:4" x14ac:dyDescent="0.3">
      <c r="A199" s="3" t="s">
        <v>38</v>
      </c>
      <c r="B199" s="3">
        <f>COUNTIFS('Dermatoses Bulleuses CNHU HKM'!G:G,"Femme",'Dermatoses Bulleuses CNHU HKM'!M:M,"Cutanée et muqueuse")</f>
        <v>30</v>
      </c>
      <c r="C199" s="6">
        <f>IF($B$183&gt;0,B199/$B$183*100,0)</f>
        <v>40.54054054054054</v>
      </c>
    </row>
    <row r="200" spans="1:4" x14ac:dyDescent="0.3">
      <c r="A200" s="3" t="s">
        <v>58</v>
      </c>
      <c r="B200" s="3">
        <f>COUNTIFS('Dermatoses Bulleuses CNHU HKM'!G:G,"Femme",'Dermatoses Bulleuses CNHU HKM'!M:M,"Muqueuse seule")</f>
        <v>0</v>
      </c>
      <c r="C200" s="6">
        <f>IF($B$183&gt;0,B200/$B$183*100,0)</f>
        <v>0</v>
      </c>
    </row>
    <row r="202" spans="1:4" x14ac:dyDescent="0.3">
      <c r="A202" s="40" t="s">
        <v>229</v>
      </c>
      <c r="B202" s="40"/>
      <c r="C202" s="40"/>
      <c r="D202" s="40"/>
    </row>
    <row r="203" spans="1:4" x14ac:dyDescent="0.3">
      <c r="A203" s="4" t="s">
        <v>181</v>
      </c>
      <c r="B203" s="4" t="s">
        <v>187</v>
      </c>
      <c r="C203" s="4" t="s">
        <v>188</v>
      </c>
    </row>
    <row r="204" spans="1:4" x14ac:dyDescent="0.3">
      <c r="A204" s="3" t="s">
        <v>19</v>
      </c>
      <c r="B204" s="3">
        <f>COUNTIFS('Dermatoses Bulleuses CNHU HKM'!G:G,"Femme",'Dermatoses Bulleuses CNHU HKM'!Q:Q,"Toxidermie")</f>
        <v>43</v>
      </c>
      <c r="C204" s="6">
        <f>IF($B$183&gt;0,B204/$B$183*100,0)</f>
        <v>58.108108108108105</v>
      </c>
    </row>
    <row r="205" spans="1:4" x14ac:dyDescent="0.3">
      <c r="A205" s="3" t="s">
        <v>40</v>
      </c>
      <c r="B205" s="3">
        <f>COUNTIFS('Dermatoses Bulleuses CNHU HKM'!G:G,"Femme",'Dermatoses Bulleuses CNHU HKM'!Q:Q,"Auto-immune")</f>
        <v>21</v>
      </c>
      <c r="C205" s="6">
        <f>IF($B$183&gt;0,B205/$B$183*100,0)</f>
        <v>28.378378378378379</v>
      </c>
    </row>
    <row r="206" spans="1:4" x14ac:dyDescent="0.3">
      <c r="A206" s="3" t="s">
        <v>28</v>
      </c>
      <c r="B206" s="3">
        <f>COUNTIFS('Dermatoses Bulleuses CNHU HKM'!G:G,"Femme",'Dermatoses Bulleuses CNHU HKM'!Q:Q,"Infectieuse")</f>
        <v>7</v>
      </c>
      <c r="C206" s="6">
        <f>IF($B$183&gt;0,B206/$B$183*100,0)</f>
        <v>9.4594594594594597</v>
      </c>
    </row>
    <row r="207" spans="1:4" x14ac:dyDescent="0.3">
      <c r="A207" s="3" t="s">
        <v>144</v>
      </c>
      <c r="B207" s="3">
        <f>COUNTIFS('Dermatoses Bulleuses CNHU HKM'!G:G,"Femme",'Dermatoses Bulleuses CNHU HKM'!Q:Q,"Immunoallergique")</f>
        <v>3</v>
      </c>
      <c r="C207" s="6">
        <f>IF($B$183&gt;0,B207/$B$183*100,0)</f>
        <v>4.0540540540540544</v>
      </c>
    </row>
    <row r="210" spans="1:8" ht="17.350000000000001" x14ac:dyDescent="0.35">
      <c r="A210" s="45" t="s">
        <v>230</v>
      </c>
      <c r="B210" s="45"/>
      <c r="C210" s="45"/>
      <c r="D210" s="45"/>
      <c r="E210" s="45"/>
      <c r="F210" s="45"/>
      <c r="G210" s="45"/>
      <c r="H210" s="45"/>
    </row>
    <row r="212" spans="1:8" x14ac:dyDescent="0.3">
      <c r="A212" s="4" t="s">
        <v>231</v>
      </c>
      <c r="B212" s="3">
        <f>COUNTIF('Dermatoses Bulleuses CNHU HKM'!G:G,"Homme")</f>
        <v>56</v>
      </c>
    </row>
    <row r="214" spans="1:8" x14ac:dyDescent="0.3">
      <c r="A214" s="46" t="s">
        <v>232</v>
      </c>
      <c r="B214" s="46"/>
      <c r="C214" s="46"/>
      <c r="D214" s="46"/>
    </row>
    <row r="215" spans="1:8" x14ac:dyDescent="0.3">
      <c r="A215" s="4" t="s">
        <v>200</v>
      </c>
      <c r="B215" s="4" t="s">
        <v>187</v>
      </c>
      <c r="C215" s="4" t="s">
        <v>188</v>
      </c>
    </row>
    <row r="216" spans="1:8" x14ac:dyDescent="0.3">
      <c r="A216" s="3" t="s">
        <v>201</v>
      </c>
      <c r="B216" s="3">
        <f>COUNTIFS('Dermatoses Bulleuses CNHU HKM'!G:G,"Homme",'Dermatoses Bulleuses CNHU HKM'!F:F,"&gt;=0",'Dermatoses Bulleuses CNHU HKM'!F:F,"&lt;=18")</f>
        <v>24</v>
      </c>
      <c r="C216" s="6">
        <f>IF($B$212&gt;0,B216/$B$212*100,0)</f>
        <v>42.857142857142854</v>
      </c>
    </row>
    <row r="217" spans="1:8" x14ac:dyDescent="0.3">
      <c r="A217" s="3" t="s">
        <v>202</v>
      </c>
      <c r="B217" s="3">
        <f>COUNTIFS('Dermatoses Bulleuses CNHU HKM'!G:G,"Homme",'Dermatoses Bulleuses CNHU HKM'!F:F,"&gt;18",'Dermatoses Bulleuses CNHU HKM'!F:F,"&lt;=60")</f>
        <v>21</v>
      </c>
      <c r="C217" s="6">
        <f>IF($B$212&gt;0,B217/$B$212*100,0)</f>
        <v>37.5</v>
      </c>
    </row>
    <row r="218" spans="1:8" x14ac:dyDescent="0.3">
      <c r="A218" s="3" t="s">
        <v>203</v>
      </c>
      <c r="B218" s="3">
        <f>COUNTIFS('Dermatoses Bulleuses CNHU HKM'!G:G,"Homme",'Dermatoses Bulleuses CNHU HKM'!F:F,"&gt;60")</f>
        <v>11</v>
      </c>
      <c r="C218" s="6">
        <f>IF($B$212&gt;0,B218/$B$212*100,0)</f>
        <v>19.642857142857142</v>
      </c>
    </row>
    <row r="220" spans="1:8" x14ac:dyDescent="0.3">
      <c r="A220" s="46" t="s">
        <v>233</v>
      </c>
      <c r="B220" s="46"/>
      <c r="C220" s="46"/>
      <c r="D220" s="46"/>
    </row>
    <row r="221" spans="1:8" x14ac:dyDescent="0.3">
      <c r="A221" s="4" t="s">
        <v>181</v>
      </c>
      <c r="B221" s="4" t="s">
        <v>187</v>
      </c>
      <c r="C221" s="4" t="s">
        <v>188</v>
      </c>
    </row>
    <row r="222" spans="1:8" x14ac:dyDescent="0.3">
      <c r="A222" s="3" t="s">
        <v>32</v>
      </c>
      <c r="B222" s="3">
        <f>COUNTIFS('Dermatoses Bulleuses CNHU HKM'!G:G,"Homme",'Dermatoses Bulleuses CNHU HKM'!K:K,"Oui")</f>
        <v>29</v>
      </c>
      <c r="C222" s="6">
        <f>IF($B$212&gt;0,B222/$B$212*100,0)</f>
        <v>51.785714285714292</v>
      </c>
    </row>
    <row r="223" spans="1:8" x14ac:dyDescent="0.3">
      <c r="A223" s="3" t="s">
        <v>24</v>
      </c>
      <c r="B223" s="3">
        <f>COUNTIFS('Dermatoses Bulleuses CNHU HKM'!G:G,"Homme",'Dermatoses Bulleuses CNHU HKM'!K:K,"Non")</f>
        <v>27</v>
      </c>
      <c r="C223" s="6">
        <f>IF($B$212&gt;0,B223/$B$212*100,0)</f>
        <v>48.214285714285715</v>
      </c>
    </row>
    <row r="225" spans="1:8" x14ac:dyDescent="0.3">
      <c r="A225" s="46" t="s">
        <v>234</v>
      </c>
      <c r="B225" s="46"/>
      <c r="C225" s="46"/>
      <c r="D225" s="46"/>
    </row>
    <row r="226" spans="1:8" x14ac:dyDescent="0.3">
      <c r="A226" s="4" t="s">
        <v>181</v>
      </c>
      <c r="B226" s="4" t="s">
        <v>187</v>
      </c>
      <c r="C226" s="4" t="s">
        <v>188</v>
      </c>
    </row>
    <row r="227" spans="1:8" x14ac:dyDescent="0.3">
      <c r="A227" s="3" t="s">
        <v>25</v>
      </c>
      <c r="B227" s="3">
        <f>COUNTIFS('Dermatoses Bulleuses CNHU HKM'!G:G,"Homme",'Dermatoses Bulleuses CNHU HKM'!M:M,"Cutanée seule")</f>
        <v>23</v>
      </c>
      <c r="C227" s="6">
        <f>IF($B$212&gt;0,B227/$B$212*100,0)</f>
        <v>41.071428571428569</v>
      </c>
    </row>
    <row r="228" spans="1:8" x14ac:dyDescent="0.3">
      <c r="A228" s="3" t="s">
        <v>38</v>
      </c>
      <c r="B228" s="3">
        <f>COUNTIFS('Dermatoses Bulleuses CNHU HKM'!G:G,"Homme",'Dermatoses Bulleuses CNHU HKM'!M:M,"Cutanée et muqueuse")</f>
        <v>30</v>
      </c>
      <c r="C228" s="6">
        <f>IF($B$212&gt;0,B228/$B$212*100,0)</f>
        <v>53.571428571428569</v>
      </c>
    </row>
    <row r="229" spans="1:8" x14ac:dyDescent="0.3">
      <c r="A229" s="3" t="s">
        <v>58</v>
      </c>
      <c r="B229" s="3">
        <f>COUNTIFS('Dermatoses Bulleuses CNHU HKM'!G:G,"Homme",'Dermatoses Bulleuses CNHU HKM'!M:M,"Muqueuse seule")</f>
        <v>3</v>
      </c>
      <c r="C229" s="6">
        <f>IF($B$212&gt;0,B229/$B$212*100,0)</f>
        <v>5.3571428571428568</v>
      </c>
    </row>
    <row r="231" spans="1:8" x14ac:dyDescent="0.3">
      <c r="A231" s="46" t="s">
        <v>235</v>
      </c>
      <c r="B231" s="46"/>
      <c r="C231" s="46"/>
      <c r="D231" s="46"/>
    </row>
    <row r="232" spans="1:8" x14ac:dyDescent="0.3">
      <c r="A232" s="4" t="s">
        <v>181</v>
      </c>
      <c r="B232" s="4" t="s">
        <v>187</v>
      </c>
      <c r="C232" s="4" t="s">
        <v>188</v>
      </c>
    </row>
    <row r="233" spans="1:8" x14ac:dyDescent="0.3">
      <c r="A233" s="3" t="s">
        <v>19</v>
      </c>
      <c r="B233" s="3">
        <f>COUNTIFS('Dermatoses Bulleuses CNHU HKM'!G:G,"Homme",'Dermatoses Bulleuses CNHU HKM'!Q:Q,"Toxidermie")</f>
        <v>32</v>
      </c>
      <c r="C233" s="6">
        <f>IF($B$212&gt;0,B233/$B$212*100,0)</f>
        <v>57.142857142857139</v>
      </c>
    </row>
    <row r="234" spans="1:8" x14ac:dyDescent="0.3">
      <c r="A234" s="3" t="s">
        <v>40</v>
      </c>
      <c r="B234" s="3">
        <f>COUNTIFS('Dermatoses Bulleuses CNHU HKM'!G:G,"Homme",'Dermatoses Bulleuses CNHU HKM'!Q:Q,"Auto-immune")</f>
        <v>10</v>
      </c>
      <c r="C234" s="6">
        <f>IF($B$212&gt;0,B234/$B$212*100,0)</f>
        <v>17.857142857142858</v>
      </c>
    </row>
    <row r="235" spans="1:8" x14ac:dyDescent="0.3">
      <c r="A235" s="3" t="s">
        <v>28</v>
      </c>
      <c r="B235" s="3">
        <f>COUNTIFS('Dermatoses Bulleuses CNHU HKM'!G:G,"Homme",'Dermatoses Bulleuses CNHU HKM'!Q:Q,"Infectieuse")</f>
        <v>12</v>
      </c>
      <c r="C235" s="6">
        <f>IF($B$212&gt;0,B235/$B$212*100,0)</f>
        <v>21.428571428571427</v>
      </c>
    </row>
    <row r="236" spans="1:8" x14ac:dyDescent="0.3">
      <c r="A236" s="3" t="s">
        <v>144</v>
      </c>
      <c r="B236" s="3">
        <f>COUNTIFS('Dermatoses Bulleuses CNHU HKM'!G:G,"Homme",'Dermatoses Bulleuses CNHU HKM'!Q:Q,"Immunoallergique")</f>
        <v>2</v>
      </c>
      <c r="C236" s="6">
        <f>IF($B$212&gt;0,B236/$B$212*100,0)</f>
        <v>3.5714285714285712</v>
      </c>
    </row>
    <row r="239" spans="1:8" ht="19.350000000000001" x14ac:dyDescent="0.35">
      <c r="A239" s="35" t="s">
        <v>236</v>
      </c>
      <c r="B239" s="35"/>
      <c r="C239" s="35"/>
      <c r="D239" s="35"/>
      <c r="E239" s="35"/>
      <c r="F239" s="35"/>
      <c r="G239" s="35"/>
      <c r="H239" s="35"/>
    </row>
    <row r="241" spans="1:8" x14ac:dyDescent="0.3">
      <c r="A241" s="5"/>
      <c r="B241" s="5" t="s">
        <v>201</v>
      </c>
      <c r="C241" s="5" t="s">
        <v>202</v>
      </c>
      <c r="D241" s="5" t="s">
        <v>203</v>
      </c>
    </row>
    <row r="242" spans="1:8" x14ac:dyDescent="0.3">
      <c r="A242" s="3" t="s">
        <v>30</v>
      </c>
      <c r="B242" s="3">
        <f>COUNTIFS('Dermatoses Bulleuses CNHU HKM'!G:G,"Femme",'Dermatoses Bulleuses CNHU HKM'!F:F,"&gt;=0",'Dermatoses Bulleuses CNHU HKM'!F:F,"&lt;=18")</f>
        <v>19</v>
      </c>
      <c r="C242" s="3">
        <f>COUNTIFS('Dermatoses Bulleuses CNHU HKM'!G:G,"Femme",'Dermatoses Bulleuses CNHU HKM'!F:F,"&gt;18",'Dermatoses Bulleuses CNHU HKM'!F:F,"&lt;=60")</f>
        <v>40</v>
      </c>
      <c r="D242" s="3">
        <f>COUNTIFS('Dermatoses Bulleuses CNHU HKM'!G:G,"Femme",'Dermatoses Bulleuses CNHU HKM'!F:F,"&gt;60")</f>
        <v>15</v>
      </c>
    </row>
    <row r="243" spans="1:8" x14ac:dyDescent="0.3">
      <c r="A243" s="3" t="s">
        <v>22</v>
      </c>
      <c r="B243" s="3">
        <f>COUNTIFS('Dermatoses Bulleuses CNHU HKM'!G:G,"Homme",'Dermatoses Bulleuses CNHU HKM'!F:F,"&gt;=0",'Dermatoses Bulleuses CNHU HKM'!F:F,"&lt;=18")</f>
        <v>24</v>
      </c>
      <c r="C243" s="3">
        <f>COUNTIFS('Dermatoses Bulleuses CNHU HKM'!G:G,"Homme",'Dermatoses Bulleuses CNHU HKM'!F:F,"&gt;18",'Dermatoses Bulleuses CNHU HKM'!F:F,"&lt;=60")</f>
        <v>21</v>
      </c>
      <c r="D243" s="3">
        <f>COUNTIFS('Dermatoses Bulleuses CNHU HKM'!G:G,"Homme",'Dermatoses Bulleuses CNHU HKM'!F:F,"&gt;60")</f>
        <v>11</v>
      </c>
    </row>
    <row r="244" spans="1:8" x14ac:dyDescent="0.3">
      <c r="A244" s="4" t="s">
        <v>237</v>
      </c>
      <c r="B244" s="3">
        <f>SUM(B242:B243)</f>
        <v>43</v>
      </c>
      <c r="C244" s="3">
        <f>SUM(C242:C243)</f>
        <v>61</v>
      </c>
      <c r="D244" s="3">
        <f>SUM(D242:D243)</f>
        <v>26</v>
      </c>
    </row>
    <row r="247" spans="1:8" x14ac:dyDescent="0.3">
      <c r="A247" s="32" t="s">
        <v>238</v>
      </c>
      <c r="B247" s="32"/>
      <c r="C247" s="32"/>
      <c r="D247" s="32"/>
      <c r="E247" s="32"/>
    </row>
    <row r="248" spans="1:8" x14ac:dyDescent="0.3">
      <c r="A248" s="4" t="s">
        <v>239</v>
      </c>
      <c r="B248" s="4" t="s">
        <v>201</v>
      </c>
      <c r="C248" s="4" t="s">
        <v>202</v>
      </c>
      <c r="D248" s="4" t="s">
        <v>203</v>
      </c>
      <c r="E248" s="4" t="s">
        <v>237</v>
      </c>
    </row>
    <row r="249" spans="1:8" x14ac:dyDescent="0.3">
      <c r="A249" s="3" t="s">
        <v>19</v>
      </c>
      <c r="B249" s="3">
        <f>COUNTIFS('Dermatoses Bulleuses CNHU HKM'!Q:Q,"Toxidermie",'Dermatoses Bulleuses CNHU HKM'!F:F,"&gt;=0",'Dermatoses Bulleuses CNHU HKM'!F:F,"&lt;=18")</f>
        <v>27</v>
      </c>
      <c r="C249" s="3">
        <f>COUNTIFS('Dermatoses Bulleuses CNHU HKM'!Q:Q,"Toxidermie",'Dermatoses Bulleuses CNHU HKM'!F:F,"&gt;18",'Dermatoses Bulleuses CNHU HKM'!F:F,"&lt;=60")</f>
        <v>40</v>
      </c>
      <c r="D249" s="3">
        <f>COUNTIFS('Dermatoses Bulleuses CNHU HKM'!Q:Q,"Toxidermie",'Dermatoses Bulleuses CNHU HKM'!F:F,"&gt;60")</f>
        <v>8</v>
      </c>
      <c r="E249" s="3">
        <f>SUM(B249:D249)</f>
        <v>75</v>
      </c>
    </row>
    <row r="250" spans="1:8" x14ac:dyDescent="0.3">
      <c r="A250" s="3" t="s">
        <v>40</v>
      </c>
      <c r="B250" s="3">
        <f>COUNTIFS('Dermatoses Bulleuses CNHU HKM'!Q:Q,"Auto-immune",'Dermatoses Bulleuses CNHU HKM'!F:F,"&gt;=0",'Dermatoses Bulleuses CNHU HKM'!F:F,"&lt;=18")</f>
        <v>2</v>
      </c>
      <c r="C250" s="3">
        <f>COUNTIFS('Dermatoses Bulleuses CNHU HKM'!Q:Q,"Auto-immune",'Dermatoses Bulleuses CNHU HKM'!F:F,"&gt;18",'Dermatoses Bulleuses CNHU HKM'!F:F,"&lt;=60")</f>
        <v>12</v>
      </c>
      <c r="D250" s="3">
        <f>COUNTIFS('Dermatoses Bulleuses CNHU HKM'!Q:Q,"Auto-immune",'Dermatoses Bulleuses CNHU HKM'!F:F,"&gt;60")</f>
        <v>17</v>
      </c>
      <c r="E250" s="3">
        <f>SUM(B250:D250)</f>
        <v>31</v>
      </c>
    </row>
    <row r="251" spans="1:8" x14ac:dyDescent="0.3">
      <c r="A251" s="3" t="s">
        <v>28</v>
      </c>
      <c r="B251" s="3">
        <f>COUNTIFS('Dermatoses Bulleuses CNHU HKM'!Q:Q,"Infectieuse",'Dermatoses Bulleuses CNHU HKM'!F:F,"&gt;=0",'Dermatoses Bulleuses CNHU HKM'!F:F,"&lt;=18")</f>
        <v>13</v>
      </c>
      <c r="C251" s="3">
        <f>COUNTIFS('Dermatoses Bulleuses CNHU HKM'!Q:Q,"Infectieuse",'Dermatoses Bulleuses CNHU HKM'!F:F,"&gt;18",'Dermatoses Bulleuses CNHU HKM'!F:F,"&lt;=60")</f>
        <v>5</v>
      </c>
      <c r="D251" s="3">
        <f>COUNTIFS('Dermatoses Bulleuses CNHU HKM'!Q:Q,"Infectieuse",'Dermatoses Bulleuses CNHU HKM'!F:F,"&gt;60")</f>
        <v>1</v>
      </c>
      <c r="E251" s="3">
        <f>SUM(B251:D251)</f>
        <v>19</v>
      </c>
    </row>
    <row r="252" spans="1:8" x14ac:dyDescent="0.3">
      <c r="A252" s="3" t="s">
        <v>144</v>
      </c>
      <c r="B252" s="3">
        <f>COUNTIFS('Dermatoses Bulleuses CNHU HKM'!Q:Q,"Immunoallergique",'Dermatoses Bulleuses CNHU HKM'!F:F,"&gt;=0",'Dermatoses Bulleuses CNHU HKM'!F:F,"&lt;=18")</f>
        <v>1</v>
      </c>
      <c r="C252" s="3">
        <f>COUNTIFS('Dermatoses Bulleuses CNHU HKM'!Q:Q,"Immunoallergique",'Dermatoses Bulleuses CNHU HKM'!F:F,"&gt;18",'Dermatoses Bulleuses CNHU HKM'!F:F,"&lt;=60")</f>
        <v>4</v>
      </c>
      <c r="D252" s="3">
        <f>COUNTIFS('Dermatoses Bulleuses CNHU HKM'!Q:Q,"Immunoallergique",'Dermatoses Bulleuses CNHU HKM'!F:F,"&gt;60")</f>
        <v>0</v>
      </c>
      <c r="E252" s="3">
        <f>SUM(B252:D252)</f>
        <v>5</v>
      </c>
    </row>
    <row r="253" spans="1:8" x14ac:dyDescent="0.3">
      <c r="A253" s="4" t="s">
        <v>237</v>
      </c>
      <c r="B253" s="3">
        <f>SUM(B249:B252)</f>
        <v>43</v>
      </c>
      <c r="C253" s="3">
        <f>SUM(C249:C252)</f>
        <v>61</v>
      </c>
      <c r="D253" s="3">
        <f>SUM(D249:D252)</f>
        <v>26</v>
      </c>
      <c r="E253" s="3">
        <f>SUM(E249:E252)</f>
        <v>130</v>
      </c>
    </row>
    <row r="256" spans="1:8" x14ac:dyDescent="0.3">
      <c r="A256" s="44"/>
      <c r="B256" s="44"/>
      <c r="C256" s="44"/>
      <c r="D256" s="44"/>
      <c r="E256" s="44"/>
      <c r="F256" s="44"/>
      <c r="G256" s="44"/>
      <c r="H256" s="44"/>
    </row>
  </sheetData>
  <mergeCells count="45">
    <mergeCell ref="A239:H239"/>
    <mergeCell ref="A247:E247"/>
    <mergeCell ref="A256:H256"/>
    <mergeCell ref="A202:D202"/>
    <mergeCell ref="A210:H210"/>
    <mergeCell ref="A214:D214"/>
    <mergeCell ref="A220:D220"/>
    <mergeCell ref="A225:D225"/>
    <mergeCell ref="A231:D231"/>
    <mergeCell ref="A196:D196"/>
    <mergeCell ref="A137:D137"/>
    <mergeCell ref="A143:D143"/>
    <mergeCell ref="A151:H151"/>
    <mergeCell ref="A155:D155"/>
    <mergeCell ref="A160:D160"/>
    <mergeCell ref="A165:D165"/>
    <mergeCell ref="A171:D171"/>
    <mergeCell ref="A179:H179"/>
    <mergeCell ref="A181:H181"/>
    <mergeCell ref="A185:D185"/>
    <mergeCell ref="A191:D191"/>
    <mergeCell ref="A132:D132"/>
    <mergeCell ref="A69:D69"/>
    <mergeCell ref="A77:D77"/>
    <mergeCell ref="A85:H85"/>
    <mergeCell ref="A87:D87"/>
    <mergeCell ref="A95:H95"/>
    <mergeCell ref="A99:D99"/>
    <mergeCell ref="A104:D104"/>
    <mergeCell ref="A109:D109"/>
    <mergeCell ref="A115:D115"/>
    <mergeCell ref="A123:H123"/>
    <mergeCell ref="A127:D127"/>
    <mergeCell ref="A62:D62"/>
    <mergeCell ref="A1:H1"/>
    <mergeCell ref="A2:H2"/>
    <mergeCell ref="A4:H4"/>
    <mergeCell ref="A8:D8"/>
    <mergeCell ref="A15:D15"/>
    <mergeCell ref="A20:D20"/>
    <mergeCell ref="A25:D25"/>
    <mergeCell ref="A31:D31"/>
    <mergeCell ref="A38:D38"/>
    <mergeCell ref="A45:D45"/>
    <mergeCell ref="A52:D5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AA28E-B619-46C1-93CC-DA43B6A2E432}">
  <dimension ref="A1:L294"/>
  <sheetViews>
    <sheetView topLeftCell="A49" zoomScaleNormal="100" workbookViewId="0">
      <selection activeCell="A294" sqref="A294:G294"/>
    </sheetView>
  </sheetViews>
  <sheetFormatPr defaultRowHeight="14.7" x14ac:dyDescent="0.3"/>
  <cols>
    <col min="1" max="1" width="30" customWidth="1"/>
    <col min="2" max="5" width="16.6640625" customWidth="1"/>
    <col min="6" max="6" width="13.33203125" customWidth="1"/>
  </cols>
  <sheetData>
    <row r="1" spans="1:10" ht="19.350000000000001" x14ac:dyDescent="0.35">
      <c r="A1" s="49" t="s">
        <v>240</v>
      </c>
      <c r="B1" s="48"/>
      <c r="C1" s="48"/>
      <c r="D1" s="48"/>
      <c r="E1" s="48"/>
      <c r="F1" s="48"/>
      <c r="G1" s="48"/>
      <c r="H1" s="48"/>
      <c r="I1" s="48"/>
      <c r="J1" s="48"/>
    </row>
    <row r="3" spans="1:10" x14ac:dyDescent="0.3">
      <c r="A3" s="50" t="s">
        <v>241</v>
      </c>
      <c r="B3" s="48"/>
      <c r="C3" s="48"/>
      <c r="D3" s="48"/>
      <c r="E3" s="48"/>
      <c r="F3" s="48"/>
      <c r="G3" s="48"/>
      <c r="H3" s="48"/>
      <c r="I3" s="48"/>
      <c r="J3" s="48"/>
    </row>
    <row r="5" spans="1:10" x14ac:dyDescent="0.3">
      <c r="A5" s="9" t="s">
        <v>242</v>
      </c>
      <c r="B5" s="9" t="s">
        <v>243</v>
      </c>
      <c r="C5" s="9" t="s">
        <v>244</v>
      </c>
      <c r="D5" s="9" t="s">
        <v>245</v>
      </c>
      <c r="E5" s="9" t="s">
        <v>246</v>
      </c>
      <c r="F5" s="9" t="s">
        <v>247</v>
      </c>
      <c r="G5" s="9" t="s">
        <v>248</v>
      </c>
      <c r="H5" s="9" t="s">
        <v>249</v>
      </c>
      <c r="I5" s="9" t="s">
        <v>250</v>
      </c>
    </row>
    <row r="6" spans="1:10" x14ac:dyDescent="0.3">
      <c r="A6">
        <v>1</v>
      </c>
      <c r="B6">
        <v>0.1</v>
      </c>
      <c r="C6">
        <v>1</v>
      </c>
      <c r="D6">
        <v>0</v>
      </c>
      <c r="E6">
        <v>0</v>
      </c>
      <c r="F6">
        <v>15</v>
      </c>
      <c r="G6">
        <v>3</v>
      </c>
      <c r="H6">
        <v>0</v>
      </c>
      <c r="I6">
        <v>0</v>
      </c>
    </row>
    <row r="7" spans="1:10" x14ac:dyDescent="0.3">
      <c r="A7">
        <v>2</v>
      </c>
      <c r="B7">
        <v>39</v>
      </c>
      <c r="C7">
        <v>0</v>
      </c>
      <c r="D7">
        <v>1</v>
      </c>
      <c r="E7">
        <v>0</v>
      </c>
      <c r="F7">
        <v>5</v>
      </c>
      <c r="G7">
        <v>1</v>
      </c>
      <c r="H7">
        <v>0</v>
      </c>
      <c r="I7">
        <v>1</v>
      </c>
    </row>
    <row r="8" spans="1:10" x14ac:dyDescent="0.3">
      <c r="A8">
        <v>3</v>
      </c>
      <c r="B8">
        <v>27</v>
      </c>
      <c r="C8">
        <v>1</v>
      </c>
      <c r="D8">
        <v>1</v>
      </c>
      <c r="E8">
        <v>1</v>
      </c>
      <c r="F8">
        <v>3</v>
      </c>
      <c r="G8">
        <v>1</v>
      </c>
      <c r="H8">
        <v>0</v>
      </c>
      <c r="I8">
        <v>1</v>
      </c>
    </row>
    <row r="9" spans="1:10" x14ac:dyDescent="0.3">
      <c r="A9">
        <v>4</v>
      </c>
      <c r="B9">
        <v>46</v>
      </c>
      <c r="C9">
        <v>1</v>
      </c>
      <c r="D9">
        <v>0</v>
      </c>
      <c r="E9">
        <v>0</v>
      </c>
      <c r="F9">
        <v>6</v>
      </c>
      <c r="G9">
        <v>2</v>
      </c>
      <c r="H9">
        <v>0</v>
      </c>
      <c r="I9">
        <v>1</v>
      </c>
    </row>
    <row r="10" spans="1:10" x14ac:dyDescent="0.3">
      <c r="A10">
        <v>5</v>
      </c>
      <c r="B10">
        <v>5.6</v>
      </c>
      <c r="C10">
        <v>0</v>
      </c>
      <c r="D10">
        <v>1</v>
      </c>
      <c r="E10">
        <v>0</v>
      </c>
      <c r="F10">
        <v>30</v>
      </c>
      <c r="G10">
        <v>2</v>
      </c>
      <c r="H10">
        <v>0</v>
      </c>
      <c r="I10">
        <v>0</v>
      </c>
    </row>
    <row r="11" spans="1:10" x14ac:dyDescent="0.3">
      <c r="A11">
        <v>6</v>
      </c>
      <c r="B11">
        <v>46</v>
      </c>
      <c r="C11">
        <v>0</v>
      </c>
      <c r="D11">
        <v>1</v>
      </c>
      <c r="E11">
        <v>0</v>
      </c>
      <c r="F11">
        <v>45</v>
      </c>
      <c r="G11">
        <v>1</v>
      </c>
      <c r="H11">
        <v>0</v>
      </c>
      <c r="I11">
        <v>1</v>
      </c>
    </row>
    <row r="12" spans="1:10" x14ac:dyDescent="0.3">
      <c r="A12">
        <v>7</v>
      </c>
      <c r="B12">
        <v>43</v>
      </c>
      <c r="C12">
        <v>1</v>
      </c>
      <c r="D12">
        <v>1</v>
      </c>
      <c r="E12">
        <v>0</v>
      </c>
      <c r="F12">
        <v>80</v>
      </c>
      <c r="G12">
        <v>1</v>
      </c>
      <c r="H12">
        <v>0</v>
      </c>
      <c r="I12">
        <v>1</v>
      </c>
    </row>
    <row r="13" spans="1:10" x14ac:dyDescent="0.3">
      <c r="A13">
        <v>8</v>
      </c>
      <c r="B13">
        <v>38</v>
      </c>
      <c r="C13">
        <v>0</v>
      </c>
      <c r="D13">
        <v>0</v>
      </c>
      <c r="E13">
        <v>0</v>
      </c>
      <c r="F13">
        <v>50</v>
      </c>
      <c r="G13">
        <v>1</v>
      </c>
      <c r="H13">
        <v>0</v>
      </c>
      <c r="I13">
        <v>1</v>
      </c>
    </row>
    <row r="14" spans="1:10" x14ac:dyDescent="0.3">
      <c r="A14">
        <v>9</v>
      </c>
      <c r="B14">
        <v>40</v>
      </c>
      <c r="C14">
        <v>0</v>
      </c>
      <c r="D14">
        <v>1</v>
      </c>
      <c r="E14">
        <v>1</v>
      </c>
      <c r="F14">
        <v>60</v>
      </c>
      <c r="G14">
        <v>1</v>
      </c>
      <c r="H14">
        <v>0</v>
      </c>
      <c r="I14">
        <v>1</v>
      </c>
    </row>
    <row r="15" spans="1:10" x14ac:dyDescent="0.3">
      <c r="A15">
        <v>10</v>
      </c>
      <c r="B15">
        <v>24</v>
      </c>
      <c r="C15">
        <v>0</v>
      </c>
      <c r="D15">
        <v>0</v>
      </c>
      <c r="E15">
        <v>1</v>
      </c>
      <c r="F15">
        <v>2</v>
      </c>
      <c r="G15">
        <v>3</v>
      </c>
      <c r="H15">
        <v>0</v>
      </c>
      <c r="I15">
        <v>1</v>
      </c>
    </row>
    <row r="16" spans="1:10" x14ac:dyDescent="0.3">
      <c r="A16">
        <v>11</v>
      </c>
      <c r="B16">
        <v>24</v>
      </c>
      <c r="C16">
        <v>0</v>
      </c>
      <c r="D16">
        <v>1</v>
      </c>
      <c r="E16">
        <v>1</v>
      </c>
      <c r="F16">
        <v>6</v>
      </c>
      <c r="G16">
        <v>1</v>
      </c>
      <c r="H16">
        <v>0</v>
      </c>
      <c r="I16">
        <v>1</v>
      </c>
    </row>
    <row r="17" spans="1:9" x14ac:dyDescent="0.3">
      <c r="A17">
        <v>12</v>
      </c>
      <c r="B17">
        <v>65</v>
      </c>
      <c r="C17">
        <v>1</v>
      </c>
      <c r="D17">
        <v>0</v>
      </c>
      <c r="E17">
        <v>2</v>
      </c>
      <c r="F17">
        <v>30</v>
      </c>
      <c r="G17">
        <v>2</v>
      </c>
      <c r="H17">
        <v>0</v>
      </c>
      <c r="I17">
        <v>2</v>
      </c>
    </row>
    <row r="18" spans="1:9" x14ac:dyDescent="0.3">
      <c r="A18">
        <v>13</v>
      </c>
      <c r="B18">
        <v>65</v>
      </c>
      <c r="C18">
        <v>1</v>
      </c>
      <c r="D18">
        <v>0</v>
      </c>
      <c r="E18">
        <v>1</v>
      </c>
      <c r="F18">
        <v>20</v>
      </c>
      <c r="G18">
        <v>2</v>
      </c>
      <c r="H18">
        <v>0</v>
      </c>
      <c r="I18">
        <v>2</v>
      </c>
    </row>
    <row r="19" spans="1:9" x14ac:dyDescent="0.3">
      <c r="A19">
        <v>14</v>
      </c>
      <c r="B19">
        <v>42</v>
      </c>
      <c r="C19">
        <v>0</v>
      </c>
      <c r="D19">
        <v>1</v>
      </c>
      <c r="E19">
        <v>1</v>
      </c>
      <c r="F19">
        <v>7</v>
      </c>
      <c r="G19">
        <v>1</v>
      </c>
      <c r="H19">
        <v>1</v>
      </c>
      <c r="I19">
        <v>1</v>
      </c>
    </row>
    <row r="20" spans="1:9" x14ac:dyDescent="0.3">
      <c r="A20">
        <v>15</v>
      </c>
      <c r="B20">
        <v>40</v>
      </c>
      <c r="C20">
        <v>0</v>
      </c>
      <c r="D20">
        <v>0</v>
      </c>
      <c r="E20">
        <v>0</v>
      </c>
      <c r="F20">
        <v>2</v>
      </c>
      <c r="G20">
        <v>1</v>
      </c>
      <c r="H20">
        <v>0</v>
      </c>
      <c r="I20">
        <v>1</v>
      </c>
    </row>
    <row r="21" spans="1:9" x14ac:dyDescent="0.3">
      <c r="A21">
        <v>16</v>
      </c>
      <c r="B21">
        <v>47</v>
      </c>
      <c r="C21">
        <v>1</v>
      </c>
      <c r="D21">
        <v>1</v>
      </c>
      <c r="E21">
        <v>0</v>
      </c>
      <c r="F21">
        <v>5</v>
      </c>
      <c r="G21">
        <v>1</v>
      </c>
      <c r="H21">
        <v>0</v>
      </c>
      <c r="I21">
        <v>1</v>
      </c>
    </row>
    <row r="22" spans="1:9" x14ac:dyDescent="0.3">
      <c r="A22">
        <v>17</v>
      </c>
      <c r="B22">
        <v>24</v>
      </c>
      <c r="C22">
        <v>1</v>
      </c>
      <c r="D22">
        <v>1</v>
      </c>
      <c r="E22">
        <v>0</v>
      </c>
      <c r="F22">
        <v>9</v>
      </c>
      <c r="G22">
        <v>1</v>
      </c>
      <c r="H22">
        <v>0</v>
      </c>
      <c r="I22">
        <v>1</v>
      </c>
    </row>
    <row r="23" spans="1:9" x14ac:dyDescent="0.3">
      <c r="A23">
        <v>18</v>
      </c>
      <c r="B23">
        <v>21</v>
      </c>
      <c r="C23">
        <v>0</v>
      </c>
      <c r="D23">
        <v>1</v>
      </c>
      <c r="E23">
        <v>0</v>
      </c>
      <c r="F23">
        <v>33</v>
      </c>
      <c r="G23">
        <v>1</v>
      </c>
      <c r="H23">
        <v>1</v>
      </c>
      <c r="I23">
        <v>1</v>
      </c>
    </row>
    <row r="24" spans="1:9" x14ac:dyDescent="0.3">
      <c r="A24">
        <v>19</v>
      </c>
      <c r="B24">
        <v>28</v>
      </c>
      <c r="C24">
        <v>1</v>
      </c>
      <c r="D24">
        <v>1</v>
      </c>
      <c r="E24">
        <v>1</v>
      </c>
      <c r="F24">
        <v>9</v>
      </c>
      <c r="G24">
        <v>3</v>
      </c>
      <c r="H24">
        <v>0</v>
      </c>
      <c r="I24">
        <v>1</v>
      </c>
    </row>
    <row r="25" spans="1:9" x14ac:dyDescent="0.3">
      <c r="A25">
        <v>20</v>
      </c>
      <c r="B25">
        <v>60</v>
      </c>
      <c r="C25">
        <v>0</v>
      </c>
      <c r="D25">
        <v>1</v>
      </c>
      <c r="E25">
        <v>0</v>
      </c>
      <c r="F25">
        <v>12</v>
      </c>
      <c r="G25">
        <v>1</v>
      </c>
      <c r="H25">
        <v>0</v>
      </c>
      <c r="I25">
        <v>1</v>
      </c>
    </row>
    <row r="26" spans="1:9" x14ac:dyDescent="0.3">
      <c r="A26">
        <v>21</v>
      </c>
      <c r="B26">
        <v>6</v>
      </c>
      <c r="C26">
        <v>0</v>
      </c>
      <c r="D26">
        <v>1</v>
      </c>
      <c r="E26">
        <v>1</v>
      </c>
      <c r="F26">
        <v>80</v>
      </c>
      <c r="G26">
        <v>1</v>
      </c>
      <c r="H26">
        <v>1</v>
      </c>
      <c r="I26">
        <v>0</v>
      </c>
    </row>
    <row r="27" spans="1:9" x14ac:dyDescent="0.3">
      <c r="A27">
        <v>22</v>
      </c>
      <c r="B27">
        <v>18</v>
      </c>
      <c r="C27">
        <v>1</v>
      </c>
      <c r="D27">
        <v>1</v>
      </c>
      <c r="E27">
        <v>0</v>
      </c>
      <c r="F27">
        <v>20</v>
      </c>
      <c r="G27">
        <v>1</v>
      </c>
      <c r="H27">
        <v>0</v>
      </c>
      <c r="I27">
        <v>0</v>
      </c>
    </row>
    <row r="28" spans="1:9" x14ac:dyDescent="0.3">
      <c r="A28">
        <v>23</v>
      </c>
      <c r="B28">
        <v>24</v>
      </c>
      <c r="C28">
        <v>1</v>
      </c>
      <c r="D28">
        <v>0</v>
      </c>
      <c r="E28">
        <v>0</v>
      </c>
      <c r="F28">
        <v>40</v>
      </c>
      <c r="G28">
        <v>2</v>
      </c>
      <c r="H28">
        <v>0</v>
      </c>
      <c r="I28">
        <v>1</v>
      </c>
    </row>
    <row r="29" spans="1:9" x14ac:dyDescent="0.3">
      <c r="A29">
        <v>24</v>
      </c>
      <c r="B29">
        <v>12</v>
      </c>
      <c r="C29">
        <v>1</v>
      </c>
      <c r="D29">
        <v>1</v>
      </c>
      <c r="E29">
        <v>1</v>
      </c>
      <c r="F29">
        <v>35</v>
      </c>
      <c r="G29">
        <v>1</v>
      </c>
      <c r="H29">
        <v>0</v>
      </c>
      <c r="I29">
        <v>0</v>
      </c>
    </row>
    <row r="30" spans="1:9" x14ac:dyDescent="0.3">
      <c r="A30">
        <v>25</v>
      </c>
      <c r="B30">
        <v>10</v>
      </c>
      <c r="C30">
        <v>1</v>
      </c>
      <c r="D30">
        <v>0</v>
      </c>
      <c r="E30">
        <v>1</v>
      </c>
      <c r="F30">
        <v>25</v>
      </c>
      <c r="G30">
        <v>1</v>
      </c>
      <c r="H30">
        <v>0</v>
      </c>
      <c r="I30">
        <v>0</v>
      </c>
    </row>
    <row r="31" spans="1:9" x14ac:dyDescent="0.3">
      <c r="A31">
        <v>26</v>
      </c>
      <c r="B31">
        <v>53</v>
      </c>
      <c r="C31">
        <v>0</v>
      </c>
      <c r="D31">
        <v>0</v>
      </c>
      <c r="E31">
        <v>0</v>
      </c>
      <c r="F31">
        <v>27</v>
      </c>
      <c r="G31">
        <v>2</v>
      </c>
      <c r="H31">
        <v>0</v>
      </c>
      <c r="I31">
        <v>1</v>
      </c>
    </row>
    <row r="32" spans="1:9" x14ac:dyDescent="0.3">
      <c r="A32">
        <v>27</v>
      </c>
      <c r="B32">
        <v>23</v>
      </c>
      <c r="C32">
        <v>1</v>
      </c>
      <c r="D32">
        <v>1</v>
      </c>
      <c r="E32">
        <v>1</v>
      </c>
      <c r="F32">
        <v>5</v>
      </c>
      <c r="G32">
        <v>1</v>
      </c>
      <c r="H32">
        <v>1</v>
      </c>
      <c r="I32">
        <v>1</v>
      </c>
    </row>
    <row r="33" spans="1:9" x14ac:dyDescent="0.3">
      <c r="A33">
        <v>28</v>
      </c>
      <c r="B33">
        <v>7</v>
      </c>
      <c r="C33">
        <v>0</v>
      </c>
      <c r="D33">
        <v>1</v>
      </c>
      <c r="E33">
        <v>1</v>
      </c>
      <c r="F33">
        <v>10</v>
      </c>
      <c r="G33">
        <v>1</v>
      </c>
      <c r="H33">
        <v>1</v>
      </c>
      <c r="I33">
        <v>0</v>
      </c>
    </row>
    <row r="34" spans="1:9" x14ac:dyDescent="0.3">
      <c r="A34">
        <v>29</v>
      </c>
      <c r="B34">
        <v>3</v>
      </c>
      <c r="C34">
        <v>1</v>
      </c>
      <c r="D34">
        <v>0</v>
      </c>
      <c r="E34">
        <v>0</v>
      </c>
      <c r="F34">
        <v>10</v>
      </c>
      <c r="G34">
        <v>3</v>
      </c>
      <c r="H34">
        <v>0</v>
      </c>
      <c r="I34">
        <v>0</v>
      </c>
    </row>
    <row r="35" spans="1:9" x14ac:dyDescent="0.3">
      <c r="A35">
        <v>30</v>
      </c>
      <c r="B35">
        <v>3</v>
      </c>
      <c r="C35">
        <v>0</v>
      </c>
      <c r="D35">
        <v>1</v>
      </c>
      <c r="E35">
        <v>1</v>
      </c>
      <c r="F35">
        <v>10</v>
      </c>
      <c r="G35">
        <v>1</v>
      </c>
      <c r="H35">
        <v>1</v>
      </c>
      <c r="I35">
        <v>0</v>
      </c>
    </row>
    <row r="36" spans="1:9" x14ac:dyDescent="0.3">
      <c r="A36">
        <v>31</v>
      </c>
      <c r="B36">
        <v>19</v>
      </c>
      <c r="C36">
        <v>0</v>
      </c>
      <c r="D36">
        <v>0</v>
      </c>
      <c r="E36">
        <v>0</v>
      </c>
      <c r="F36">
        <v>25</v>
      </c>
      <c r="G36">
        <v>2</v>
      </c>
      <c r="H36">
        <v>0</v>
      </c>
      <c r="I36">
        <v>1</v>
      </c>
    </row>
    <row r="37" spans="1:9" x14ac:dyDescent="0.3">
      <c r="A37">
        <v>32</v>
      </c>
      <c r="B37">
        <v>55</v>
      </c>
      <c r="C37">
        <v>0</v>
      </c>
      <c r="D37">
        <v>1</v>
      </c>
      <c r="E37">
        <v>1</v>
      </c>
      <c r="F37">
        <v>27</v>
      </c>
      <c r="G37">
        <v>1</v>
      </c>
      <c r="H37">
        <v>0</v>
      </c>
      <c r="I37">
        <v>1</v>
      </c>
    </row>
    <row r="38" spans="1:9" x14ac:dyDescent="0.3">
      <c r="A38">
        <v>33</v>
      </c>
      <c r="B38">
        <v>3.5</v>
      </c>
      <c r="C38">
        <v>1</v>
      </c>
      <c r="D38">
        <v>0</v>
      </c>
      <c r="E38">
        <v>0</v>
      </c>
      <c r="F38">
        <v>10</v>
      </c>
      <c r="G38">
        <v>3</v>
      </c>
      <c r="H38">
        <v>0</v>
      </c>
      <c r="I38">
        <v>0</v>
      </c>
    </row>
    <row r="39" spans="1:9" x14ac:dyDescent="0.3">
      <c r="A39">
        <v>34</v>
      </c>
      <c r="B39">
        <v>31</v>
      </c>
      <c r="C39">
        <v>0</v>
      </c>
      <c r="D39">
        <v>1</v>
      </c>
      <c r="E39">
        <v>1</v>
      </c>
      <c r="F39">
        <v>27</v>
      </c>
      <c r="G39">
        <v>1</v>
      </c>
      <c r="H39">
        <v>0</v>
      </c>
      <c r="I39">
        <v>1</v>
      </c>
    </row>
    <row r="40" spans="1:9" x14ac:dyDescent="0.3">
      <c r="A40">
        <v>35</v>
      </c>
      <c r="B40">
        <v>59</v>
      </c>
      <c r="C40">
        <v>0</v>
      </c>
      <c r="D40">
        <v>1</v>
      </c>
      <c r="E40">
        <v>0</v>
      </c>
      <c r="F40">
        <v>2</v>
      </c>
      <c r="G40">
        <v>1</v>
      </c>
      <c r="H40">
        <v>0</v>
      </c>
      <c r="I40">
        <v>1</v>
      </c>
    </row>
    <row r="41" spans="1:9" x14ac:dyDescent="0.3">
      <c r="A41">
        <v>36</v>
      </c>
      <c r="B41">
        <v>18</v>
      </c>
      <c r="C41">
        <v>0</v>
      </c>
      <c r="D41">
        <v>1</v>
      </c>
      <c r="E41">
        <v>1</v>
      </c>
      <c r="F41">
        <v>15</v>
      </c>
      <c r="G41">
        <v>1</v>
      </c>
      <c r="H41">
        <v>1</v>
      </c>
      <c r="I41">
        <v>0</v>
      </c>
    </row>
    <row r="42" spans="1:9" x14ac:dyDescent="0.3">
      <c r="A42">
        <v>37</v>
      </c>
      <c r="B42">
        <v>11</v>
      </c>
      <c r="C42">
        <v>1</v>
      </c>
      <c r="D42">
        <v>1</v>
      </c>
      <c r="E42">
        <v>2</v>
      </c>
      <c r="F42">
        <v>3</v>
      </c>
      <c r="G42">
        <v>1</v>
      </c>
      <c r="H42">
        <v>1</v>
      </c>
      <c r="I42">
        <v>0</v>
      </c>
    </row>
    <row r="43" spans="1:9" x14ac:dyDescent="0.3">
      <c r="A43">
        <v>38</v>
      </c>
      <c r="B43">
        <v>53</v>
      </c>
      <c r="C43">
        <v>1</v>
      </c>
      <c r="D43">
        <v>1</v>
      </c>
      <c r="E43">
        <v>1</v>
      </c>
      <c r="F43">
        <v>95</v>
      </c>
      <c r="G43">
        <v>1</v>
      </c>
      <c r="H43">
        <v>1</v>
      </c>
      <c r="I43">
        <v>1</v>
      </c>
    </row>
    <row r="44" spans="1:9" x14ac:dyDescent="0.3">
      <c r="A44">
        <v>39</v>
      </c>
      <c r="B44">
        <v>5</v>
      </c>
      <c r="C44">
        <v>1</v>
      </c>
      <c r="D44">
        <v>1</v>
      </c>
      <c r="E44">
        <v>1</v>
      </c>
      <c r="F44">
        <v>95</v>
      </c>
      <c r="G44">
        <v>1</v>
      </c>
      <c r="H44">
        <v>1</v>
      </c>
      <c r="I44">
        <v>0</v>
      </c>
    </row>
    <row r="45" spans="1:9" x14ac:dyDescent="0.3">
      <c r="A45">
        <v>40</v>
      </c>
      <c r="B45">
        <v>68</v>
      </c>
      <c r="C45">
        <v>1</v>
      </c>
      <c r="D45">
        <v>1</v>
      </c>
      <c r="E45">
        <v>0</v>
      </c>
      <c r="F45">
        <v>15</v>
      </c>
      <c r="G45">
        <v>1</v>
      </c>
      <c r="H45">
        <v>0</v>
      </c>
      <c r="I45">
        <v>2</v>
      </c>
    </row>
    <row r="46" spans="1:9" x14ac:dyDescent="0.3">
      <c r="A46">
        <v>41</v>
      </c>
      <c r="B46">
        <v>5</v>
      </c>
      <c r="C46">
        <v>0</v>
      </c>
      <c r="D46">
        <v>1</v>
      </c>
      <c r="E46">
        <v>0</v>
      </c>
      <c r="F46">
        <v>45</v>
      </c>
      <c r="G46">
        <v>1</v>
      </c>
      <c r="H46">
        <v>1</v>
      </c>
      <c r="I46">
        <v>0</v>
      </c>
    </row>
    <row r="47" spans="1:9" x14ac:dyDescent="0.3">
      <c r="A47">
        <v>42</v>
      </c>
      <c r="B47">
        <v>69</v>
      </c>
      <c r="C47">
        <v>1</v>
      </c>
      <c r="D47">
        <v>1</v>
      </c>
      <c r="E47">
        <v>1</v>
      </c>
      <c r="F47">
        <v>20</v>
      </c>
      <c r="G47">
        <v>1</v>
      </c>
      <c r="H47">
        <v>0</v>
      </c>
      <c r="I47">
        <v>2</v>
      </c>
    </row>
    <row r="48" spans="1:9" x14ac:dyDescent="0.3">
      <c r="A48">
        <v>43</v>
      </c>
      <c r="B48">
        <v>18</v>
      </c>
      <c r="C48">
        <v>0</v>
      </c>
      <c r="D48">
        <v>1</v>
      </c>
      <c r="E48">
        <v>1</v>
      </c>
      <c r="F48">
        <v>50</v>
      </c>
      <c r="G48">
        <v>1</v>
      </c>
      <c r="H48">
        <v>1</v>
      </c>
      <c r="I48">
        <v>0</v>
      </c>
    </row>
    <row r="49" spans="1:9" x14ac:dyDescent="0.3">
      <c r="A49">
        <v>44</v>
      </c>
      <c r="B49">
        <v>51</v>
      </c>
      <c r="C49">
        <v>0</v>
      </c>
      <c r="D49">
        <v>1</v>
      </c>
      <c r="E49">
        <v>0</v>
      </c>
      <c r="F49">
        <v>10</v>
      </c>
      <c r="G49">
        <v>1</v>
      </c>
      <c r="H49">
        <v>0</v>
      </c>
      <c r="I49">
        <v>1</v>
      </c>
    </row>
    <row r="50" spans="1:9" x14ac:dyDescent="0.3">
      <c r="A50">
        <v>45</v>
      </c>
      <c r="B50">
        <v>33</v>
      </c>
      <c r="C50">
        <v>0</v>
      </c>
      <c r="D50">
        <v>1</v>
      </c>
      <c r="E50">
        <v>0</v>
      </c>
      <c r="F50">
        <v>20</v>
      </c>
      <c r="G50">
        <v>1</v>
      </c>
      <c r="H50">
        <v>0</v>
      </c>
      <c r="I50">
        <v>1</v>
      </c>
    </row>
    <row r="51" spans="1:9" x14ac:dyDescent="0.3">
      <c r="A51">
        <v>46</v>
      </c>
      <c r="B51">
        <v>22</v>
      </c>
      <c r="C51">
        <v>0</v>
      </c>
      <c r="D51">
        <v>0</v>
      </c>
      <c r="E51">
        <v>0</v>
      </c>
      <c r="F51">
        <v>20</v>
      </c>
      <c r="G51">
        <v>1</v>
      </c>
      <c r="H51">
        <v>1</v>
      </c>
      <c r="I51">
        <v>1</v>
      </c>
    </row>
    <row r="52" spans="1:9" x14ac:dyDescent="0.3">
      <c r="A52">
        <v>47</v>
      </c>
      <c r="B52">
        <v>40</v>
      </c>
      <c r="C52">
        <v>0</v>
      </c>
      <c r="D52">
        <v>1</v>
      </c>
      <c r="E52">
        <v>0</v>
      </c>
      <c r="F52">
        <v>6</v>
      </c>
      <c r="G52">
        <v>1</v>
      </c>
      <c r="H52">
        <v>0</v>
      </c>
      <c r="I52">
        <v>1</v>
      </c>
    </row>
    <row r="53" spans="1:9" x14ac:dyDescent="0.3">
      <c r="A53">
        <v>48</v>
      </c>
      <c r="B53">
        <v>37</v>
      </c>
      <c r="C53">
        <v>1</v>
      </c>
      <c r="D53">
        <v>1</v>
      </c>
      <c r="E53">
        <v>0</v>
      </c>
      <c r="F53">
        <v>30</v>
      </c>
      <c r="G53">
        <v>1</v>
      </c>
      <c r="H53">
        <v>0</v>
      </c>
      <c r="I53">
        <v>1</v>
      </c>
    </row>
    <row r="54" spans="1:9" x14ac:dyDescent="0.3">
      <c r="A54">
        <v>49</v>
      </c>
      <c r="B54">
        <v>68</v>
      </c>
      <c r="C54">
        <v>1</v>
      </c>
      <c r="D54">
        <v>0</v>
      </c>
      <c r="E54">
        <v>0</v>
      </c>
      <c r="F54">
        <v>2</v>
      </c>
      <c r="G54">
        <v>1</v>
      </c>
      <c r="H54">
        <v>0</v>
      </c>
      <c r="I54">
        <v>2</v>
      </c>
    </row>
    <row r="55" spans="1:9" x14ac:dyDescent="0.3">
      <c r="A55">
        <v>50</v>
      </c>
      <c r="B55">
        <v>15</v>
      </c>
      <c r="C55">
        <v>1</v>
      </c>
      <c r="D55">
        <v>0</v>
      </c>
      <c r="E55">
        <v>1</v>
      </c>
      <c r="F55">
        <v>17</v>
      </c>
      <c r="G55">
        <v>3</v>
      </c>
      <c r="H55">
        <v>0</v>
      </c>
      <c r="I55">
        <v>0</v>
      </c>
    </row>
    <row r="56" spans="1:9" x14ac:dyDescent="0.3">
      <c r="A56">
        <v>51</v>
      </c>
      <c r="B56">
        <v>16</v>
      </c>
      <c r="C56">
        <v>0</v>
      </c>
      <c r="D56">
        <v>1</v>
      </c>
      <c r="E56">
        <v>1</v>
      </c>
      <c r="F56">
        <v>20</v>
      </c>
      <c r="G56">
        <v>1</v>
      </c>
      <c r="H56">
        <v>0</v>
      </c>
      <c r="I56">
        <v>0</v>
      </c>
    </row>
    <row r="57" spans="1:9" x14ac:dyDescent="0.3">
      <c r="A57">
        <v>52</v>
      </c>
      <c r="B57">
        <v>11</v>
      </c>
      <c r="C57">
        <v>1</v>
      </c>
      <c r="D57">
        <v>1</v>
      </c>
      <c r="E57">
        <v>1</v>
      </c>
      <c r="F57">
        <v>12</v>
      </c>
      <c r="G57">
        <v>1</v>
      </c>
      <c r="H57">
        <v>1</v>
      </c>
      <c r="I57">
        <v>0</v>
      </c>
    </row>
    <row r="58" spans="1:9" x14ac:dyDescent="0.3">
      <c r="A58">
        <v>53</v>
      </c>
      <c r="B58">
        <v>75</v>
      </c>
      <c r="C58">
        <v>1</v>
      </c>
      <c r="D58">
        <v>0</v>
      </c>
      <c r="E58">
        <v>0</v>
      </c>
      <c r="F58">
        <v>3</v>
      </c>
      <c r="G58">
        <v>3</v>
      </c>
      <c r="H58">
        <v>0</v>
      </c>
      <c r="I58">
        <v>2</v>
      </c>
    </row>
    <row r="59" spans="1:9" x14ac:dyDescent="0.3">
      <c r="A59">
        <v>54</v>
      </c>
      <c r="B59">
        <v>60</v>
      </c>
      <c r="C59">
        <v>0</v>
      </c>
      <c r="D59">
        <v>0</v>
      </c>
      <c r="E59">
        <v>0</v>
      </c>
      <c r="F59">
        <v>6</v>
      </c>
      <c r="G59">
        <v>2</v>
      </c>
      <c r="H59">
        <v>0</v>
      </c>
      <c r="I59">
        <v>1</v>
      </c>
    </row>
    <row r="60" spans="1:9" x14ac:dyDescent="0.3">
      <c r="A60">
        <v>55</v>
      </c>
      <c r="B60">
        <v>33</v>
      </c>
      <c r="C60">
        <v>0</v>
      </c>
      <c r="D60">
        <v>1</v>
      </c>
      <c r="E60">
        <v>0</v>
      </c>
      <c r="F60">
        <v>5</v>
      </c>
      <c r="G60">
        <v>1</v>
      </c>
      <c r="H60">
        <v>0</v>
      </c>
      <c r="I60">
        <v>1</v>
      </c>
    </row>
    <row r="61" spans="1:9" x14ac:dyDescent="0.3">
      <c r="A61">
        <v>56</v>
      </c>
      <c r="B61">
        <v>13</v>
      </c>
      <c r="C61">
        <v>0</v>
      </c>
      <c r="D61">
        <v>0</v>
      </c>
      <c r="E61">
        <v>0</v>
      </c>
      <c r="F61">
        <v>2</v>
      </c>
      <c r="G61">
        <v>3</v>
      </c>
      <c r="H61">
        <v>0</v>
      </c>
      <c r="I61">
        <v>0</v>
      </c>
    </row>
    <row r="62" spans="1:9" x14ac:dyDescent="0.3">
      <c r="A62">
        <v>57</v>
      </c>
      <c r="B62">
        <v>3</v>
      </c>
      <c r="C62">
        <v>0</v>
      </c>
      <c r="D62">
        <v>1</v>
      </c>
      <c r="E62">
        <v>1</v>
      </c>
      <c r="F62">
        <v>90</v>
      </c>
      <c r="G62">
        <v>1</v>
      </c>
      <c r="H62">
        <v>1</v>
      </c>
      <c r="I62">
        <v>0</v>
      </c>
    </row>
    <row r="63" spans="1:9" x14ac:dyDescent="0.3">
      <c r="A63">
        <v>58</v>
      </c>
      <c r="B63">
        <v>12</v>
      </c>
      <c r="C63">
        <v>1</v>
      </c>
      <c r="D63">
        <v>1</v>
      </c>
      <c r="E63">
        <v>1</v>
      </c>
      <c r="F63">
        <v>31</v>
      </c>
      <c r="G63">
        <v>1</v>
      </c>
      <c r="H63">
        <v>1</v>
      </c>
      <c r="I63">
        <v>0</v>
      </c>
    </row>
    <row r="64" spans="1:9" x14ac:dyDescent="0.3">
      <c r="A64">
        <v>59</v>
      </c>
      <c r="B64">
        <v>9</v>
      </c>
      <c r="C64">
        <v>1</v>
      </c>
      <c r="D64">
        <v>1</v>
      </c>
      <c r="E64">
        <v>1</v>
      </c>
      <c r="F64">
        <v>35</v>
      </c>
      <c r="G64">
        <v>1</v>
      </c>
      <c r="H64">
        <v>1</v>
      </c>
      <c r="I64">
        <v>0</v>
      </c>
    </row>
    <row r="65" spans="1:9" x14ac:dyDescent="0.3">
      <c r="A65">
        <v>60</v>
      </c>
      <c r="B65">
        <v>5</v>
      </c>
      <c r="C65">
        <v>1</v>
      </c>
      <c r="D65">
        <v>0</v>
      </c>
      <c r="E65">
        <v>0</v>
      </c>
      <c r="F65">
        <v>8</v>
      </c>
      <c r="G65">
        <v>3</v>
      </c>
      <c r="H65">
        <v>0</v>
      </c>
      <c r="I65">
        <v>0</v>
      </c>
    </row>
    <row r="66" spans="1:9" x14ac:dyDescent="0.3">
      <c r="A66">
        <v>61</v>
      </c>
      <c r="B66">
        <v>54</v>
      </c>
      <c r="C66">
        <v>0</v>
      </c>
      <c r="D66">
        <v>0</v>
      </c>
      <c r="E66">
        <v>1</v>
      </c>
      <c r="F66">
        <v>45</v>
      </c>
      <c r="G66">
        <v>2</v>
      </c>
      <c r="H66">
        <v>0</v>
      </c>
      <c r="I66">
        <v>1</v>
      </c>
    </row>
    <row r="67" spans="1:9" x14ac:dyDescent="0.3">
      <c r="A67">
        <v>62</v>
      </c>
      <c r="B67">
        <v>11</v>
      </c>
      <c r="C67">
        <v>1</v>
      </c>
      <c r="D67">
        <v>0</v>
      </c>
      <c r="E67">
        <v>1</v>
      </c>
      <c r="F67">
        <v>8</v>
      </c>
      <c r="G67">
        <v>1</v>
      </c>
      <c r="H67">
        <v>1</v>
      </c>
      <c r="I67">
        <v>0</v>
      </c>
    </row>
    <row r="68" spans="1:9" x14ac:dyDescent="0.3">
      <c r="A68">
        <v>63</v>
      </c>
      <c r="B68">
        <v>5</v>
      </c>
      <c r="C68">
        <v>0</v>
      </c>
      <c r="D68">
        <v>0</v>
      </c>
      <c r="E68">
        <v>0</v>
      </c>
      <c r="F68">
        <v>1</v>
      </c>
      <c r="G68">
        <v>3</v>
      </c>
      <c r="H68">
        <v>0</v>
      </c>
      <c r="I68">
        <v>0</v>
      </c>
    </row>
    <row r="69" spans="1:9" x14ac:dyDescent="0.3">
      <c r="A69">
        <v>64</v>
      </c>
      <c r="B69">
        <v>75</v>
      </c>
      <c r="C69">
        <v>1</v>
      </c>
      <c r="D69">
        <v>1</v>
      </c>
      <c r="E69">
        <v>1</v>
      </c>
      <c r="F69">
        <v>50</v>
      </c>
      <c r="G69">
        <v>1</v>
      </c>
      <c r="H69">
        <v>1</v>
      </c>
      <c r="I69">
        <v>2</v>
      </c>
    </row>
    <row r="70" spans="1:9" x14ac:dyDescent="0.3">
      <c r="A70">
        <v>65</v>
      </c>
      <c r="B70">
        <v>5</v>
      </c>
      <c r="C70">
        <v>0</v>
      </c>
      <c r="D70">
        <v>1</v>
      </c>
      <c r="E70">
        <v>0</v>
      </c>
      <c r="F70">
        <v>15</v>
      </c>
      <c r="G70">
        <v>1</v>
      </c>
      <c r="H70">
        <v>0</v>
      </c>
      <c r="I70">
        <v>0</v>
      </c>
    </row>
    <row r="71" spans="1:9" x14ac:dyDescent="0.3">
      <c r="A71">
        <v>66</v>
      </c>
      <c r="B71">
        <v>2</v>
      </c>
      <c r="C71">
        <v>1</v>
      </c>
      <c r="D71">
        <v>1</v>
      </c>
      <c r="E71">
        <v>1</v>
      </c>
      <c r="F71">
        <v>31</v>
      </c>
      <c r="G71">
        <v>1</v>
      </c>
      <c r="H71">
        <v>1</v>
      </c>
      <c r="I71">
        <v>0</v>
      </c>
    </row>
    <row r="72" spans="1:9" x14ac:dyDescent="0.3">
      <c r="A72">
        <v>67</v>
      </c>
      <c r="B72">
        <v>70</v>
      </c>
      <c r="C72">
        <v>0</v>
      </c>
      <c r="D72">
        <v>1</v>
      </c>
      <c r="E72">
        <v>0</v>
      </c>
      <c r="F72">
        <v>39</v>
      </c>
      <c r="G72">
        <v>1</v>
      </c>
      <c r="H72">
        <v>1</v>
      </c>
      <c r="I72">
        <v>2</v>
      </c>
    </row>
    <row r="73" spans="1:9" x14ac:dyDescent="0.3">
      <c r="A73">
        <v>68</v>
      </c>
      <c r="B73">
        <v>73</v>
      </c>
      <c r="C73">
        <v>1</v>
      </c>
      <c r="D73">
        <v>0</v>
      </c>
      <c r="E73">
        <v>0</v>
      </c>
      <c r="F73">
        <v>5</v>
      </c>
      <c r="G73">
        <v>2</v>
      </c>
      <c r="H73">
        <v>0</v>
      </c>
      <c r="I73">
        <v>2</v>
      </c>
    </row>
    <row r="74" spans="1:9" x14ac:dyDescent="0.3">
      <c r="A74">
        <v>69</v>
      </c>
      <c r="B74">
        <v>75</v>
      </c>
      <c r="C74">
        <v>0</v>
      </c>
      <c r="D74">
        <v>0</v>
      </c>
      <c r="E74">
        <v>0</v>
      </c>
      <c r="F74">
        <v>1</v>
      </c>
      <c r="G74">
        <v>2</v>
      </c>
      <c r="H74">
        <v>0</v>
      </c>
      <c r="I74">
        <v>2</v>
      </c>
    </row>
    <row r="75" spans="1:9" x14ac:dyDescent="0.3">
      <c r="A75">
        <v>70</v>
      </c>
      <c r="B75">
        <v>97</v>
      </c>
      <c r="C75">
        <v>0</v>
      </c>
      <c r="D75">
        <v>0</v>
      </c>
      <c r="E75">
        <v>0</v>
      </c>
      <c r="F75">
        <v>10</v>
      </c>
      <c r="G75">
        <v>2</v>
      </c>
      <c r="H75">
        <v>0</v>
      </c>
      <c r="I75">
        <v>2</v>
      </c>
    </row>
    <row r="76" spans="1:9" x14ac:dyDescent="0.3">
      <c r="A76">
        <v>71</v>
      </c>
      <c r="B76">
        <v>7.6</v>
      </c>
      <c r="C76">
        <v>0</v>
      </c>
      <c r="D76">
        <v>0</v>
      </c>
      <c r="E76">
        <v>1</v>
      </c>
      <c r="F76">
        <v>18</v>
      </c>
      <c r="G76">
        <v>1</v>
      </c>
      <c r="H76">
        <v>0</v>
      </c>
      <c r="I76">
        <v>0</v>
      </c>
    </row>
    <row r="77" spans="1:9" x14ac:dyDescent="0.3">
      <c r="A77">
        <v>72</v>
      </c>
      <c r="B77">
        <v>61</v>
      </c>
      <c r="C77">
        <v>0</v>
      </c>
      <c r="D77">
        <v>0</v>
      </c>
      <c r="E77">
        <v>0</v>
      </c>
      <c r="F77">
        <v>17</v>
      </c>
      <c r="G77">
        <v>2</v>
      </c>
      <c r="H77">
        <v>0</v>
      </c>
      <c r="I77">
        <v>2</v>
      </c>
    </row>
    <row r="78" spans="1:9" x14ac:dyDescent="0.3">
      <c r="A78">
        <v>73</v>
      </c>
      <c r="B78">
        <v>1.7</v>
      </c>
      <c r="C78">
        <v>1</v>
      </c>
      <c r="D78">
        <v>1</v>
      </c>
      <c r="E78">
        <v>1</v>
      </c>
      <c r="F78">
        <v>90</v>
      </c>
      <c r="G78">
        <v>1</v>
      </c>
      <c r="H78">
        <v>1</v>
      </c>
      <c r="I78">
        <v>0</v>
      </c>
    </row>
    <row r="79" spans="1:9" x14ac:dyDescent="0.3">
      <c r="A79">
        <v>74</v>
      </c>
      <c r="B79">
        <v>47</v>
      </c>
      <c r="C79">
        <v>0</v>
      </c>
      <c r="D79">
        <v>0</v>
      </c>
      <c r="E79">
        <v>1</v>
      </c>
      <c r="F79">
        <v>20</v>
      </c>
      <c r="G79">
        <v>2</v>
      </c>
      <c r="H79">
        <v>0</v>
      </c>
      <c r="I79">
        <v>1</v>
      </c>
    </row>
    <row r="80" spans="1:9" x14ac:dyDescent="0.3">
      <c r="A80">
        <v>75</v>
      </c>
      <c r="B80">
        <v>5</v>
      </c>
      <c r="C80">
        <v>0</v>
      </c>
      <c r="D80">
        <v>0</v>
      </c>
      <c r="E80">
        <v>1</v>
      </c>
      <c r="F80">
        <v>6</v>
      </c>
      <c r="G80">
        <v>1</v>
      </c>
      <c r="H80">
        <v>0</v>
      </c>
      <c r="I80">
        <v>0</v>
      </c>
    </row>
    <row r="81" spans="1:9" x14ac:dyDescent="0.3">
      <c r="A81">
        <v>76</v>
      </c>
      <c r="B81">
        <v>56</v>
      </c>
      <c r="C81">
        <v>0</v>
      </c>
      <c r="D81">
        <v>0</v>
      </c>
      <c r="E81">
        <v>1</v>
      </c>
      <c r="F81">
        <v>40</v>
      </c>
      <c r="G81">
        <v>2</v>
      </c>
      <c r="H81">
        <v>0</v>
      </c>
      <c r="I81">
        <v>1</v>
      </c>
    </row>
    <row r="82" spans="1:9" x14ac:dyDescent="0.3">
      <c r="A82">
        <v>77</v>
      </c>
      <c r="B82">
        <v>52</v>
      </c>
      <c r="C82">
        <v>1</v>
      </c>
      <c r="D82">
        <v>0</v>
      </c>
      <c r="E82">
        <v>1</v>
      </c>
      <c r="F82">
        <v>30</v>
      </c>
      <c r="G82">
        <v>2</v>
      </c>
      <c r="H82">
        <v>0</v>
      </c>
      <c r="I82">
        <v>1</v>
      </c>
    </row>
    <row r="83" spans="1:9" x14ac:dyDescent="0.3">
      <c r="A83">
        <v>78</v>
      </c>
      <c r="B83">
        <v>71</v>
      </c>
      <c r="C83">
        <v>0</v>
      </c>
      <c r="D83">
        <v>0</v>
      </c>
      <c r="E83">
        <v>1</v>
      </c>
      <c r="F83">
        <v>7</v>
      </c>
      <c r="G83">
        <v>2</v>
      </c>
      <c r="H83">
        <v>0</v>
      </c>
      <c r="I83">
        <v>2</v>
      </c>
    </row>
    <row r="84" spans="1:9" x14ac:dyDescent="0.3">
      <c r="A84">
        <v>79</v>
      </c>
      <c r="B84">
        <v>46</v>
      </c>
      <c r="C84">
        <v>0</v>
      </c>
      <c r="D84">
        <v>0</v>
      </c>
      <c r="E84">
        <v>0</v>
      </c>
      <c r="F84">
        <v>14</v>
      </c>
      <c r="G84">
        <v>3</v>
      </c>
      <c r="H84">
        <v>0</v>
      </c>
      <c r="I84">
        <v>1</v>
      </c>
    </row>
    <row r="85" spans="1:9" x14ac:dyDescent="0.3">
      <c r="A85">
        <v>80</v>
      </c>
      <c r="B85">
        <v>4</v>
      </c>
      <c r="C85">
        <v>1</v>
      </c>
      <c r="D85">
        <v>0</v>
      </c>
      <c r="E85">
        <v>1</v>
      </c>
      <c r="F85">
        <v>15</v>
      </c>
      <c r="G85">
        <v>2</v>
      </c>
      <c r="H85">
        <v>0</v>
      </c>
      <c r="I85">
        <v>0</v>
      </c>
    </row>
    <row r="86" spans="1:9" x14ac:dyDescent="0.3">
      <c r="A86">
        <v>81</v>
      </c>
      <c r="B86">
        <v>46</v>
      </c>
      <c r="C86">
        <v>0</v>
      </c>
      <c r="D86">
        <v>0</v>
      </c>
      <c r="E86">
        <v>0</v>
      </c>
      <c r="F86">
        <v>4</v>
      </c>
      <c r="G86">
        <v>4</v>
      </c>
      <c r="H86">
        <v>0</v>
      </c>
      <c r="I86">
        <v>1</v>
      </c>
    </row>
    <row r="87" spans="1:9" x14ac:dyDescent="0.3">
      <c r="A87">
        <v>82</v>
      </c>
      <c r="B87">
        <v>0.9</v>
      </c>
      <c r="C87">
        <v>0</v>
      </c>
      <c r="D87">
        <v>0</v>
      </c>
      <c r="E87">
        <v>0</v>
      </c>
      <c r="F87">
        <v>10</v>
      </c>
      <c r="G87">
        <v>3</v>
      </c>
      <c r="H87">
        <v>0</v>
      </c>
      <c r="I87">
        <v>0</v>
      </c>
    </row>
    <row r="88" spans="1:9" x14ac:dyDescent="0.3">
      <c r="A88">
        <v>83</v>
      </c>
      <c r="B88">
        <v>46</v>
      </c>
      <c r="C88">
        <v>1</v>
      </c>
      <c r="D88">
        <v>0</v>
      </c>
      <c r="E88">
        <v>0</v>
      </c>
      <c r="F88">
        <v>10</v>
      </c>
      <c r="G88">
        <v>3</v>
      </c>
      <c r="H88">
        <v>0</v>
      </c>
      <c r="I88">
        <v>1</v>
      </c>
    </row>
    <row r="89" spans="1:9" x14ac:dyDescent="0.3">
      <c r="A89">
        <v>84</v>
      </c>
      <c r="B89">
        <v>47</v>
      </c>
      <c r="C89">
        <v>1</v>
      </c>
      <c r="D89">
        <v>1</v>
      </c>
      <c r="E89">
        <v>1</v>
      </c>
      <c r="F89">
        <v>22</v>
      </c>
      <c r="G89">
        <v>1</v>
      </c>
      <c r="H89">
        <v>0</v>
      </c>
      <c r="I89">
        <v>1</v>
      </c>
    </row>
    <row r="90" spans="1:9" x14ac:dyDescent="0.3">
      <c r="A90">
        <v>85</v>
      </c>
      <c r="B90">
        <v>52</v>
      </c>
      <c r="C90">
        <v>0</v>
      </c>
      <c r="D90">
        <v>0</v>
      </c>
      <c r="E90">
        <v>0</v>
      </c>
      <c r="F90">
        <v>15</v>
      </c>
      <c r="G90">
        <v>4</v>
      </c>
      <c r="H90">
        <v>0</v>
      </c>
      <c r="I90">
        <v>1</v>
      </c>
    </row>
    <row r="91" spans="1:9" x14ac:dyDescent="0.3">
      <c r="A91">
        <v>86</v>
      </c>
      <c r="B91">
        <v>81</v>
      </c>
      <c r="C91">
        <v>1</v>
      </c>
      <c r="D91">
        <v>1</v>
      </c>
      <c r="E91">
        <v>2</v>
      </c>
      <c r="F91">
        <v>3</v>
      </c>
      <c r="G91">
        <v>1</v>
      </c>
      <c r="H91">
        <v>0</v>
      </c>
      <c r="I91">
        <v>2</v>
      </c>
    </row>
    <row r="92" spans="1:9" x14ac:dyDescent="0.3">
      <c r="A92">
        <v>87</v>
      </c>
      <c r="B92">
        <v>66</v>
      </c>
      <c r="C92">
        <v>0</v>
      </c>
      <c r="D92">
        <v>0</v>
      </c>
      <c r="E92">
        <v>0</v>
      </c>
      <c r="F92">
        <v>15</v>
      </c>
      <c r="G92">
        <v>2</v>
      </c>
      <c r="H92">
        <v>0</v>
      </c>
      <c r="I92">
        <v>2</v>
      </c>
    </row>
    <row r="93" spans="1:9" x14ac:dyDescent="0.3">
      <c r="A93">
        <v>88</v>
      </c>
      <c r="B93">
        <v>70</v>
      </c>
      <c r="C93">
        <v>0</v>
      </c>
      <c r="D93">
        <v>1</v>
      </c>
      <c r="E93">
        <v>0</v>
      </c>
      <c r="F93">
        <v>47</v>
      </c>
      <c r="G93">
        <v>1</v>
      </c>
      <c r="H93">
        <v>1</v>
      </c>
      <c r="I93">
        <v>2</v>
      </c>
    </row>
    <row r="94" spans="1:9" x14ac:dyDescent="0.3">
      <c r="A94">
        <v>89</v>
      </c>
      <c r="B94">
        <v>1.5</v>
      </c>
      <c r="C94">
        <v>1</v>
      </c>
      <c r="D94">
        <v>0</v>
      </c>
      <c r="E94">
        <v>0</v>
      </c>
      <c r="F94">
        <v>1</v>
      </c>
      <c r="G94">
        <v>3</v>
      </c>
      <c r="H94">
        <v>0</v>
      </c>
      <c r="I94">
        <v>0</v>
      </c>
    </row>
    <row r="95" spans="1:9" x14ac:dyDescent="0.3">
      <c r="A95">
        <v>90</v>
      </c>
      <c r="B95">
        <v>46</v>
      </c>
      <c r="C95">
        <v>1</v>
      </c>
      <c r="D95">
        <v>1</v>
      </c>
      <c r="E95">
        <v>1</v>
      </c>
      <c r="F95">
        <v>5</v>
      </c>
      <c r="G95">
        <v>1</v>
      </c>
      <c r="H95">
        <v>1</v>
      </c>
      <c r="I95">
        <v>1</v>
      </c>
    </row>
    <row r="96" spans="1:9" x14ac:dyDescent="0.3">
      <c r="A96">
        <v>91</v>
      </c>
      <c r="B96">
        <v>97</v>
      </c>
      <c r="C96">
        <v>0</v>
      </c>
      <c r="D96">
        <v>0</v>
      </c>
      <c r="E96">
        <v>0</v>
      </c>
      <c r="F96">
        <v>15</v>
      </c>
      <c r="G96">
        <v>2</v>
      </c>
      <c r="H96">
        <v>0</v>
      </c>
      <c r="I96">
        <v>2</v>
      </c>
    </row>
    <row r="97" spans="1:9" x14ac:dyDescent="0.3">
      <c r="A97">
        <v>92</v>
      </c>
      <c r="B97">
        <v>76</v>
      </c>
      <c r="C97">
        <v>0</v>
      </c>
      <c r="D97">
        <v>0</v>
      </c>
      <c r="E97">
        <v>0</v>
      </c>
      <c r="F97">
        <v>14</v>
      </c>
      <c r="G97">
        <v>2</v>
      </c>
      <c r="H97">
        <v>0</v>
      </c>
      <c r="I97">
        <v>2</v>
      </c>
    </row>
    <row r="98" spans="1:9" x14ac:dyDescent="0.3">
      <c r="A98">
        <v>93</v>
      </c>
      <c r="B98">
        <v>66</v>
      </c>
      <c r="C98">
        <v>0</v>
      </c>
      <c r="D98">
        <v>0</v>
      </c>
      <c r="E98">
        <v>0</v>
      </c>
      <c r="F98">
        <v>6</v>
      </c>
      <c r="G98">
        <v>2</v>
      </c>
      <c r="H98">
        <v>0</v>
      </c>
      <c r="I98">
        <v>2</v>
      </c>
    </row>
    <row r="99" spans="1:9" x14ac:dyDescent="0.3">
      <c r="A99">
        <v>94</v>
      </c>
      <c r="B99">
        <v>79</v>
      </c>
      <c r="C99">
        <v>1</v>
      </c>
      <c r="D99">
        <v>0</v>
      </c>
      <c r="E99">
        <v>0</v>
      </c>
      <c r="F99">
        <v>10</v>
      </c>
      <c r="G99">
        <v>2</v>
      </c>
      <c r="H99">
        <v>0</v>
      </c>
      <c r="I99">
        <v>2</v>
      </c>
    </row>
    <row r="100" spans="1:9" x14ac:dyDescent="0.3">
      <c r="A100">
        <v>95</v>
      </c>
      <c r="B100">
        <v>54</v>
      </c>
      <c r="C100">
        <v>0</v>
      </c>
      <c r="D100">
        <v>0</v>
      </c>
      <c r="E100">
        <v>0</v>
      </c>
      <c r="F100">
        <v>12</v>
      </c>
      <c r="G100">
        <v>4</v>
      </c>
      <c r="H100">
        <v>0</v>
      </c>
      <c r="I100">
        <v>1</v>
      </c>
    </row>
    <row r="101" spans="1:9" x14ac:dyDescent="0.3">
      <c r="A101">
        <v>96</v>
      </c>
      <c r="B101">
        <v>44</v>
      </c>
      <c r="C101">
        <v>1</v>
      </c>
      <c r="D101">
        <v>1</v>
      </c>
      <c r="E101">
        <v>1</v>
      </c>
      <c r="F101">
        <v>26</v>
      </c>
      <c r="G101">
        <v>1</v>
      </c>
      <c r="H101">
        <v>1</v>
      </c>
      <c r="I101">
        <v>1</v>
      </c>
    </row>
    <row r="102" spans="1:9" x14ac:dyDescent="0.3">
      <c r="A102">
        <v>97</v>
      </c>
      <c r="B102">
        <v>6</v>
      </c>
      <c r="C102">
        <v>1</v>
      </c>
      <c r="D102">
        <v>1</v>
      </c>
      <c r="E102">
        <v>1</v>
      </c>
      <c r="F102">
        <v>9</v>
      </c>
      <c r="G102">
        <v>1</v>
      </c>
      <c r="H102">
        <v>1</v>
      </c>
      <c r="I102">
        <v>0</v>
      </c>
    </row>
    <row r="103" spans="1:9" x14ac:dyDescent="0.3">
      <c r="A103">
        <v>98</v>
      </c>
      <c r="B103">
        <v>6</v>
      </c>
      <c r="C103">
        <v>0</v>
      </c>
      <c r="D103">
        <v>0</v>
      </c>
      <c r="E103">
        <v>0</v>
      </c>
      <c r="F103">
        <v>7</v>
      </c>
      <c r="G103">
        <v>3</v>
      </c>
      <c r="H103">
        <v>0</v>
      </c>
      <c r="I103">
        <v>0</v>
      </c>
    </row>
    <row r="104" spans="1:9" x14ac:dyDescent="0.3">
      <c r="A104">
        <v>99</v>
      </c>
      <c r="B104">
        <v>3</v>
      </c>
      <c r="C104">
        <v>1</v>
      </c>
      <c r="D104">
        <v>0</v>
      </c>
      <c r="E104">
        <v>0</v>
      </c>
      <c r="F104">
        <v>6</v>
      </c>
      <c r="G104">
        <v>3</v>
      </c>
      <c r="H104">
        <v>0</v>
      </c>
      <c r="I104">
        <v>0</v>
      </c>
    </row>
    <row r="105" spans="1:9" x14ac:dyDescent="0.3">
      <c r="A105">
        <v>100</v>
      </c>
      <c r="B105">
        <v>3</v>
      </c>
      <c r="C105">
        <v>0</v>
      </c>
      <c r="D105">
        <v>0</v>
      </c>
      <c r="E105">
        <v>0</v>
      </c>
      <c r="F105">
        <v>1</v>
      </c>
      <c r="G105">
        <v>3</v>
      </c>
      <c r="H105">
        <v>0</v>
      </c>
      <c r="I105">
        <v>0</v>
      </c>
    </row>
    <row r="106" spans="1:9" x14ac:dyDescent="0.3">
      <c r="A106">
        <v>101</v>
      </c>
      <c r="B106">
        <v>26</v>
      </c>
      <c r="C106">
        <v>1</v>
      </c>
      <c r="D106">
        <v>1</v>
      </c>
      <c r="E106">
        <v>1</v>
      </c>
      <c r="F106">
        <v>1</v>
      </c>
      <c r="G106">
        <v>1</v>
      </c>
      <c r="H106">
        <v>0</v>
      </c>
      <c r="I106">
        <v>1</v>
      </c>
    </row>
    <row r="107" spans="1:9" x14ac:dyDescent="0.3">
      <c r="A107">
        <v>102</v>
      </c>
      <c r="B107">
        <v>79</v>
      </c>
      <c r="C107">
        <v>0</v>
      </c>
      <c r="D107">
        <v>0</v>
      </c>
      <c r="E107">
        <v>0</v>
      </c>
      <c r="F107">
        <v>2</v>
      </c>
      <c r="G107">
        <v>2</v>
      </c>
      <c r="H107">
        <v>0</v>
      </c>
      <c r="I107">
        <v>2</v>
      </c>
    </row>
    <row r="108" spans="1:9" x14ac:dyDescent="0.3">
      <c r="A108">
        <v>103</v>
      </c>
      <c r="B108">
        <v>33</v>
      </c>
      <c r="C108">
        <v>1</v>
      </c>
      <c r="D108">
        <v>1</v>
      </c>
      <c r="E108">
        <v>1</v>
      </c>
      <c r="F108">
        <v>10</v>
      </c>
      <c r="G108">
        <v>1</v>
      </c>
      <c r="H108">
        <v>1</v>
      </c>
      <c r="I108">
        <v>1</v>
      </c>
    </row>
    <row r="109" spans="1:9" x14ac:dyDescent="0.3">
      <c r="A109">
        <v>104</v>
      </c>
      <c r="B109">
        <v>60</v>
      </c>
      <c r="C109">
        <v>1</v>
      </c>
      <c r="D109">
        <v>0</v>
      </c>
      <c r="E109">
        <v>0</v>
      </c>
      <c r="F109">
        <v>2</v>
      </c>
      <c r="G109">
        <v>3</v>
      </c>
      <c r="H109">
        <v>0</v>
      </c>
      <c r="I109">
        <v>1</v>
      </c>
    </row>
    <row r="110" spans="1:9" x14ac:dyDescent="0.3">
      <c r="A110">
        <v>105</v>
      </c>
      <c r="B110">
        <v>27</v>
      </c>
      <c r="C110">
        <v>0</v>
      </c>
      <c r="D110">
        <v>0</v>
      </c>
      <c r="E110">
        <v>1</v>
      </c>
      <c r="F110">
        <v>16</v>
      </c>
      <c r="G110">
        <v>1</v>
      </c>
      <c r="H110">
        <v>0</v>
      </c>
      <c r="I110">
        <v>1</v>
      </c>
    </row>
    <row r="111" spans="1:9" x14ac:dyDescent="0.3">
      <c r="A111">
        <v>106</v>
      </c>
      <c r="B111">
        <v>41</v>
      </c>
      <c r="C111">
        <v>0</v>
      </c>
      <c r="D111">
        <v>1</v>
      </c>
      <c r="E111">
        <v>0</v>
      </c>
      <c r="F111">
        <v>60</v>
      </c>
      <c r="G111">
        <v>1</v>
      </c>
      <c r="H111">
        <v>0</v>
      </c>
      <c r="I111">
        <v>1</v>
      </c>
    </row>
    <row r="112" spans="1:9" x14ac:dyDescent="0.3">
      <c r="A112">
        <v>107</v>
      </c>
      <c r="B112">
        <v>33</v>
      </c>
      <c r="C112">
        <v>0</v>
      </c>
      <c r="D112">
        <v>0</v>
      </c>
      <c r="E112">
        <v>1</v>
      </c>
      <c r="F112">
        <v>48</v>
      </c>
      <c r="G112">
        <v>2</v>
      </c>
      <c r="H112">
        <v>0</v>
      </c>
      <c r="I112">
        <v>1</v>
      </c>
    </row>
    <row r="113" spans="1:9" x14ac:dyDescent="0.3">
      <c r="A113">
        <v>108</v>
      </c>
      <c r="B113">
        <v>70</v>
      </c>
      <c r="C113">
        <v>0</v>
      </c>
      <c r="D113">
        <v>0</v>
      </c>
      <c r="E113">
        <v>0</v>
      </c>
      <c r="F113">
        <v>95</v>
      </c>
      <c r="G113">
        <v>2</v>
      </c>
      <c r="H113">
        <v>0</v>
      </c>
      <c r="I113">
        <v>2</v>
      </c>
    </row>
    <row r="114" spans="1:9" x14ac:dyDescent="0.3">
      <c r="A114">
        <v>109</v>
      </c>
      <c r="B114">
        <v>27</v>
      </c>
      <c r="C114">
        <v>0</v>
      </c>
      <c r="D114">
        <v>1</v>
      </c>
      <c r="E114">
        <v>0</v>
      </c>
      <c r="F114">
        <v>90</v>
      </c>
      <c r="G114">
        <v>1</v>
      </c>
      <c r="H114">
        <v>1</v>
      </c>
      <c r="I114">
        <v>1</v>
      </c>
    </row>
    <row r="115" spans="1:9" x14ac:dyDescent="0.3">
      <c r="A115">
        <v>110</v>
      </c>
      <c r="B115">
        <v>47</v>
      </c>
      <c r="C115">
        <v>0</v>
      </c>
      <c r="D115">
        <v>1</v>
      </c>
      <c r="E115">
        <v>0</v>
      </c>
      <c r="F115">
        <v>5</v>
      </c>
      <c r="G115">
        <v>1</v>
      </c>
      <c r="H115">
        <v>0</v>
      </c>
      <c r="I115">
        <v>1</v>
      </c>
    </row>
    <row r="116" spans="1:9" x14ac:dyDescent="0.3">
      <c r="A116">
        <v>111</v>
      </c>
      <c r="B116">
        <v>90</v>
      </c>
      <c r="C116">
        <v>0</v>
      </c>
      <c r="D116">
        <v>0</v>
      </c>
      <c r="E116">
        <v>0</v>
      </c>
      <c r="F116">
        <v>3</v>
      </c>
      <c r="G116">
        <v>2</v>
      </c>
      <c r="H116">
        <v>0</v>
      </c>
      <c r="I116">
        <v>2</v>
      </c>
    </row>
    <row r="117" spans="1:9" x14ac:dyDescent="0.3">
      <c r="A117">
        <v>112</v>
      </c>
      <c r="B117">
        <v>10</v>
      </c>
      <c r="C117">
        <v>1</v>
      </c>
      <c r="D117">
        <v>0</v>
      </c>
      <c r="E117">
        <v>0</v>
      </c>
      <c r="F117">
        <v>3</v>
      </c>
      <c r="G117">
        <v>3</v>
      </c>
      <c r="H117">
        <v>0</v>
      </c>
      <c r="I117">
        <v>0</v>
      </c>
    </row>
    <row r="118" spans="1:9" x14ac:dyDescent="0.3">
      <c r="A118">
        <v>113</v>
      </c>
      <c r="B118">
        <v>28</v>
      </c>
      <c r="C118">
        <v>0</v>
      </c>
      <c r="D118">
        <v>1</v>
      </c>
      <c r="E118">
        <v>0</v>
      </c>
      <c r="F118">
        <v>6</v>
      </c>
      <c r="G118">
        <v>1</v>
      </c>
      <c r="H118">
        <v>0</v>
      </c>
      <c r="I118">
        <v>1</v>
      </c>
    </row>
    <row r="119" spans="1:9" x14ac:dyDescent="0.3">
      <c r="A119">
        <v>114</v>
      </c>
      <c r="B119">
        <v>6.4</v>
      </c>
      <c r="C119">
        <v>1</v>
      </c>
      <c r="D119">
        <v>1</v>
      </c>
      <c r="E119">
        <v>1</v>
      </c>
      <c r="F119">
        <v>9</v>
      </c>
      <c r="G119">
        <v>1</v>
      </c>
      <c r="H119">
        <v>1</v>
      </c>
      <c r="I119">
        <v>0</v>
      </c>
    </row>
    <row r="120" spans="1:9" x14ac:dyDescent="0.3">
      <c r="A120">
        <v>115</v>
      </c>
      <c r="B120">
        <v>16</v>
      </c>
      <c r="C120">
        <v>0</v>
      </c>
      <c r="D120">
        <v>1</v>
      </c>
      <c r="E120">
        <v>1</v>
      </c>
      <c r="F120">
        <v>10</v>
      </c>
      <c r="G120">
        <v>1</v>
      </c>
      <c r="H120">
        <v>0</v>
      </c>
      <c r="I120">
        <v>0</v>
      </c>
    </row>
    <row r="121" spans="1:9" x14ac:dyDescent="0.3">
      <c r="A121">
        <v>116</v>
      </c>
      <c r="B121">
        <v>48</v>
      </c>
      <c r="C121">
        <v>0</v>
      </c>
      <c r="D121">
        <v>1</v>
      </c>
      <c r="E121">
        <v>1</v>
      </c>
      <c r="F121">
        <v>45</v>
      </c>
      <c r="G121">
        <v>2</v>
      </c>
      <c r="H121">
        <v>0</v>
      </c>
      <c r="I121">
        <v>1</v>
      </c>
    </row>
    <row r="122" spans="1:9" x14ac:dyDescent="0.3">
      <c r="A122">
        <v>117</v>
      </c>
      <c r="B122">
        <v>26</v>
      </c>
      <c r="C122">
        <v>0</v>
      </c>
      <c r="D122">
        <v>1</v>
      </c>
      <c r="E122">
        <v>1</v>
      </c>
      <c r="F122">
        <v>25</v>
      </c>
      <c r="G122">
        <v>1</v>
      </c>
      <c r="H122">
        <v>0</v>
      </c>
      <c r="I122">
        <v>1</v>
      </c>
    </row>
    <row r="123" spans="1:9" x14ac:dyDescent="0.3">
      <c r="A123">
        <v>118</v>
      </c>
      <c r="B123">
        <v>30</v>
      </c>
      <c r="C123">
        <v>1</v>
      </c>
      <c r="D123">
        <v>1</v>
      </c>
      <c r="E123">
        <v>1</v>
      </c>
      <c r="F123">
        <v>35</v>
      </c>
      <c r="G123">
        <v>1</v>
      </c>
      <c r="H123">
        <v>1</v>
      </c>
      <c r="I123">
        <v>1</v>
      </c>
    </row>
    <row r="124" spans="1:9" x14ac:dyDescent="0.3">
      <c r="A124">
        <v>119</v>
      </c>
      <c r="B124">
        <v>38</v>
      </c>
      <c r="C124">
        <v>0</v>
      </c>
      <c r="D124">
        <v>1</v>
      </c>
      <c r="E124">
        <v>0</v>
      </c>
      <c r="F124">
        <v>10</v>
      </c>
      <c r="G124">
        <v>1</v>
      </c>
      <c r="H124">
        <v>0</v>
      </c>
      <c r="I124">
        <v>1</v>
      </c>
    </row>
    <row r="125" spans="1:9" x14ac:dyDescent="0.3">
      <c r="A125">
        <v>120</v>
      </c>
      <c r="B125">
        <v>7</v>
      </c>
      <c r="C125">
        <v>1</v>
      </c>
      <c r="D125">
        <v>0</v>
      </c>
      <c r="E125">
        <v>0</v>
      </c>
      <c r="F125">
        <v>90</v>
      </c>
      <c r="G125">
        <v>4</v>
      </c>
      <c r="H125">
        <v>0</v>
      </c>
      <c r="I125">
        <v>0</v>
      </c>
    </row>
    <row r="126" spans="1:9" x14ac:dyDescent="0.3">
      <c r="A126">
        <v>121</v>
      </c>
      <c r="B126">
        <v>25</v>
      </c>
      <c r="C126">
        <v>0</v>
      </c>
      <c r="D126">
        <v>1</v>
      </c>
      <c r="E126">
        <v>1</v>
      </c>
      <c r="F126">
        <v>45</v>
      </c>
      <c r="G126">
        <v>1</v>
      </c>
      <c r="H126">
        <v>1</v>
      </c>
      <c r="I126">
        <v>1</v>
      </c>
    </row>
    <row r="127" spans="1:9" x14ac:dyDescent="0.3">
      <c r="A127">
        <v>122</v>
      </c>
      <c r="B127">
        <v>65</v>
      </c>
      <c r="C127">
        <v>0</v>
      </c>
      <c r="D127">
        <v>1</v>
      </c>
      <c r="E127">
        <v>1</v>
      </c>
      <c r="F127">
        <v>70</v>
      </c>
      <c r="G127">
        <v>1</v>
      </c>
      <c r="H127">
        <v>0</v>
      </c>
      <c r="I127">
        <v>2</v>
      </c>
    </row>
    <row r="128" spans="1:9" x14ac:dyDescent="0.3">
      <c r="A128">
        <v>123</v>
      </c>
      <c r="B128">
        <v>85</v>
      </c>
      <c r="C128">
        <v>0</v>
      </c>
      <c r="D128">
        <v>0</v>
      </c>
      <c r="E128">
        <v>1</v>
      </c>
      <c r="F128">
        <v>40</v>
      </c>
      <c r="G128">
        <v>2</v>
      </c>
      <c r="H128">
        <v>0</v>
      </c>
      <c r="I128">
        <v>2</v>
      </c>
    </row>
    <row r="129" spans="1:9" x14ac:dyDescent="0.3">
      <c r="A129">
        <v>124</v>
      </c>
      <c r="B129">
        <v>3</v>
      </c>
      <c r="C129">
        <v>0</v>
      </c>
      <c r="D129">
        <v>1</v>
      </c>
      <c r="E129">
        <v>1</v>
      </c>
      <c r="F129">
        <v>20</v>
      </c>
      <c r="G129">
        <v>1</v>
      </c>
      <c r="H129">
        <v>1</v>
      </c>
      <c r="I129">
        <v>0</v>
      </c>
    </row>
    <row r="130" spans="1:9" x14ac:dyDescent="0.3">
      <c r="A130">
        <v>125</v>
      </c>
      <c r="B130">
        <v>12</v>
      </c>
      <c r="C130">
        <v>1</v>
      </c>
      <c r="D130">
        <v>0</v>
      </c>
      <c r="E130">
        <v>1</v>
      </c>
      <c r="F130">
        <v>25</v>
      </c>
      <c r="G130">
        <v>1</v>
      </c>
      <c r="H130">
        <v>1</v>
      </c>
      <c r="I130">
        <v>0</v>
      </c>
    </row>
    <row r="131" spans="1:9" x14ac:dyDescent="0.3">
      <c r="A131">
        <v>126</v>
      </c>
      <c r="B131">
        <v>80</v>
      </c>
      <c r="C131">
        <v>1</v>
      </c>
      <c r="D131">
        <v>0</v>
      </c>
      <c r="E131">
        <v>0</v>
      </c>
      <c r="F131">
        <v>60</v>
      </c>
      <c r="G131">
        <v>2</v>
      </c>
      <c r="H131">
        <v>0</v>
      </c>
      <c r="I131">
        <v>2</v>
      </c>
    </row>
    <row r="132" spans="1:9" x14ac:dyDescent="0.3">
      <c r="A132">
        <v>127</v>
      </c>
      <c r="B132">
        <v>51</v>
      </c>
      <c r="C132">
        <v>1</v>
      </c>
      <c r="D132">
        <v>0</v>
      </c>
      <c r="E132">
        <v>1</v>
      </c>
      <c r="F132">
        <v>70</v>
      </c>
      <c r="G132">
        <v>2</v>
      </c>
      <c r="H132">
        <v>0</v>
      </c>
      <c r="I132">
        <v>1</v>
      </c>
    </row>
    <row r="133" spans="1:9" x14ac:dyDescent="0.3">
      <c r="A133">
        <v>128</v>
      </c>
      <c r="B133">
        <v>25</v>
      </c>
      <c r="C133">
        <v>0</v>
      </c>
      <c r="D133">
        <v>1</v>
      </c>
      <c r="E133">
        <v>1</v>
      </c>
      <c r="F133">
        <v>54</v>
      </c>
      <c r="G133">
        <v>1</v>
      </c>
      <c r="H133">
        <v>1</v>
      </c>
      <c r="I133">
        <v>1</v>
      </c>
    </row>
    <row r="134" spans="1:9" x14ac:dyDescent="0.3">
      <c r="A134">
        <v>129</v>
      </c>
      <c r="B134">
        <v>35</v>
      </c>
      <c r="C134">
        <v>0</v>
      </c>
      <c r="D134">
        <v>1</v>
      </c>
      <c r="E134">
        <v>1</v>
      </c>
      <c r="F134">
        <v>85</v>
      </c>
      <c r="G134">
        <v>1</v>
      </c>
      <c r="H134">
        <v>1</v>
      </c>
      <c r="I134">
        <v>1</v>
      </c>
    </row>
    <row r="135" spans="1:9" x14ac:dyDescent="0.3">
      <c r="A135">
        <v>130</v>
      </c>
      <c r="B135">
        <v>58</v>
      </c>
      <c r="C135">
        <v>1</v>
      </c>
      <c r="D135">
        <v>0</v>
      </c>
      <c r="E135">
        <v>1</v>
      </c>
      <c r="F135">
        <v>60</v>
      </c>
      <c r="G135">
        <v>4</v>
      </c>
      <c r="H135">
        <v>0</v>
      </c>
      <c r="I135">
        <v>1</v>
      </c>
    </row>
    <row r="137" spans="1:9" x14ac:dyDescent="0.3">
      <c r="A137" s="50" t="s">
        <v>251</v>
      </c>
      <c r="B137" s="50"/>
      <c r="C137" s="50"/>
      <c r="D137" s="50"/>
      <c r="E137" s="50"/>
    </row>
    <row r="139" spans="1:9" x14ac:dyDescent="0.3">
      <c r="A139" s="9" t="s">
        <v>252</v>
      </c>
      <c r="B139" s="9" t="s">
        <v>253</v>
      </c>
      <c r="C139" s="9" t="s">
        <v>254</v>
      </c>
    </row>
    <row r="140" spans="1:9" x14ac:dyDescent="0.3">
      <c r="A140" t="s">
        <v>244</v>
      </c>
      <c r="B140" t="s">
        <v>256</v>
      </c>
      <c r="C140" t="s">
        <v>257</v>
      </c>
    </row>
    <row r="141" spans="1:9" x14ac:dyDescent="0.3">
      <c r="A141" t="s">
        <v>245</v>
      </c>
      <c r="B141" t="s">
        <v>256</v>
      </c>
      <c r="C141" t="s">
        <v>258</v>
      </c>
    </row>
    <row r="142" spans="1:9" x14ac:dyDescent="0.3">
      <c r="A142" t="s">
        <v>246</v>
      </c>
      <c r="B142" t="s">
        <v>259</v>
      </c>
      <c r="C142" t="s">
        <v>260</v>
      </c>
    </row>
    <row r="143" spans="1:9" x14ac:dyDescent="0.3">
      <c r="A143" t="s">
        <v>248</v>
      </c>
      <c r="B143" t="s">
        <v>261</v>
      </c>
      <c r="C143" t="s">
        <v>262</v>
      </c>
    </row>
    <row r="144" spans="1:9" x14ac:dyDescent="0.3">
      <c r="A144" t="s">
        <v>255</v>
      </c>
      <c r="B144" t="s">
        <v>256</v>
      </c>
      <c r="C144" t="s">
        <v>263</v>
      </c>
    </row>
    <row r="145" spans="1:6" x14ac:dyDescent="0.3">
      <c r="A145" t="s">
        <v>250</v>
      </c>
      <c r="B145" t="s">
        <v>259</v>
      </c>
      <c r="C145" t="s">
        <v>264</v>
      </c>
    </row>
    <row r="146" spans="1:6" x14ac:dyDescent="0.3">
      <c r="A146" t="s">
        <v>246</v>
      </c>
      <c r="B146">
        <v>2</v>
      </c>
      <c r="C146" t="s">
        <v>58</v>
      </c>
    </row>
    <row r="147" spans="1:6" x14ac:dyDescent="0.3">
      <c r="A147" t="s">
        <v>248</v>
      </c>
      <c r="B147">
        <v>1</v>
      </c>
      <c r="C147" t="s">
        <v>19</v>
      </c>
    </row>
    <row r="148" spans="1:6" x14ac:dyDescent="0.3">
      <c r="A148" s="50" t="s">
        <v>265</v>
      </c>
      <c r="B148" s="48"/>
      <c r="C148" s="48"/>
      <c r="D148" s="48"/>
      <c r="E148" s="48"/>
      <c r="F148" s="48"/>
    </row>
    <row r="149" spans="1:6" x14ac:dyDescent="0.3">
      <c r="A149" t="s">
        <v>248</v>
      </c>
      <c r="B149">
        <v>3</v>
      </c>
      <c r="C149" t="s">
        <v>28</v>
      </c>
    </row>
    <row r="150" spans="1:6" x14ac:dyDescent="0.3">
      <c r="A150" s="9" t="s">
        <v>266</v>
      </c>
      <c r="B150" s="9" t="s">
        <v>267</v>
      </c>
      <c r="C150" s="9" t="s">
        <v>188</v>
      </c>
    </row>
    <row r="151" spans="1:6" x14ac:dyDescent="0.3">
      <c r="A151" t="s">
        <v>268</v>
      </c>
      <c r="B151">
        <f>COUNTIF(H6:H135,0)</f>
        <v>95</v>
      </c>
      <c r="C151">
        <f>ROUND(B151/130*100,2)</f>
        <v>73.08</v>
      </c>
    </row>
    <row r="152" spans="1:6" x14ac:dyDescent="0.3">
      <c r="A152" t="s">
        <v>269</v>
      </c>
      <c r="B152">
        <f>COUNTIF(H6:H135,1)</f>
        <v>35</v>
      </c>
      <c r="C152">
        <f>ROUND(B152/130*100,2)</f>
        <v>26.92</v>
      </c>
    </row>
    <row r="153" spans="1:6" x14ac:dyDescent="0.3">
      <c r="A153" s="8" t="s">
        <v>237</v>
      </c>
      <c r="B153" s="8">
        <f>B151+B152</f>
        <v>130</v>
      </c>
      <c r="C153" s="8">
        <v>100</v>
      </c>
    </row>
    <row r="154" spans="1:6" x14ac:dyDescent="0.3">
      <c r="A154" t="s">
        <v>250</v>
      </c>
      <c r="B154">
        <v>1</v>
      </c>
      <c r="C154" t="s">
        <v>202</v>
      </c>
    </row>
    <row r="155" spans="1:6" x14ac:dyDescent="0.3">
      <c r="A155" t="s">
        <v>250</v>
      </c>
      <c r="B155">
        <v>2</v>
      </c>
      <c r="C155" t="s">
        <v>203</v>
      </c>
    </row>
    <row r="156" spans="1:6" x14ac:dyDescent="0.3">
      <c r="A156" s="50" t="s">
        <v>270</v>
      </c>
      <c r="B156" s="48"/>
      <c r="C156" s="48"/>
      <c r="D156" s="48"/>
      <c r="E156" s="48"/>
      <c r="F156" s="48"/>
    </row>
    <row r="158" spans="1:6" ht="16" x14ac:dyDescent="0.3">
      <c r="A158" s="10" t="s">
        <v>271</v>
      </c>
    </row>
    <row r="159" spans="1:6" x14ac:dyDescent="0.3">
      <c r="A159" s="9" t="s">
        <v>6</v>
      </c>
      <c r="B159" s="9" t="s">
        <v>272</v>
      </c>
      <c r="C159" s="9" t="s">
        <v>273</v>
      </c>
      <c r="D159" s="9" t="s">
        <v>237</v>
      </c>
    </row>
    <row r="160" spans="1:6" x14ac:dyDescent="0.3">
      <c r="A160" t="s">
        <v>274</v>
      </c>
      <c r="B160">
        <f>COUNTIFS(C6:C135,0,H6:H135,0)</f>
        <v>57</v>
      </c>
      <c r="C160">
        <f>COUNTIFS(C6:C135,0,H6:H135,1)</f>
        <v>17</v>
      </c>
      <c r="D160">
        <f>B160+C160</f>
        <v>74</v>
      </c>
    </row>
    <row r="161" spans="1:4" x14ac:dyDescent="0.3">
      <c r="A161" t="s">
        <v>275</v>
      </c>
      <c r="B161">
        <f>COUNTIFS(C6:C135,1,H6:H135,0)</f>
        <v>38</v>
      </c>
      <c r="C161">
        <f>COUNTIFS(C6:C135,1,H6:H135,1)</f>
        <v>18</v>
      </c>
      <c r="D161">
        <f>B161+C161</f>
        <v>56</v>
      </c>
    </row>
    <row r="162" spans="1:4" x14ac:dyDescent="0.3">
      <c r="A162" s="8" t="s">
        <v>237</v>
      </c>
      <c r="B162" s="8">
        <f>B160+B161</f>
        <v>95</v>
      </c>
      <c r="C162" s="8">
        <f>C160+C161</f>
        <v>35</v>
      </c>
      <c r="D162" s="8">
        <f>B162+C162</f>
        <v>130</v>
      </c>
    </row>
    <row r="164" spans="1:4" x14ac:dyDescent="0.3">
      <c r="A164" s="8" t="s">
        <v>276</v>
      </c>
      <c r="B164" s="11">
        <f>IFERROR(ROUND((B160*C161)/(C160*B161),3),"N/A")</f>
        <v>1.5880000000000001</v>
      </c>
    </row>
    <row r="165" spans="1:4" x14ac:dyDescent="0.3">
      <c r="A165" t="s">
        <v>277</v>
      </c>
      <c r="B165" t="str">
        <f>IF(B164&gt;1,"Les femmes ont un risque plus élevé",IF(B164&lt;1,"Les hommes ont un risque plus élevé","Risque égal"))</f>
        <v>Les femmes ont un risque plus élevé</v>
      </c>
    </row>
    <row r="168" spans="1:4" ht="16" x14ac:dyDescent="0.3">
      <c r="A168" s="10" t="s">
        <v>278</v>
      </c>
    </row>
    <row r="169" spans="1:4" x14ac:dyDescent="0.3">
      <c r="A169" s="9" t="s">
        <v>279</v>
      </c>
      <c r="B169" s="9" t="s">
        <v>272</v>
      </c>
      <c r="C169" s="9" t="s">
        <v>273</v>
      </c>
      <c r="D169" s="9" t="s">
        <v>237</v>
      </c>
    </row>
    <row r="170" spans="1:4" x14ac:dyDescent="0.3">
      <c r="A170" t="s">
        <v>280</v>
      </c>
      <c r="B170">
        <f>COUNTIFS(D6:D135,0,H6:H135,0)</f>
        <v>59</v>
      </c>
      <c r="C170">
        <f>COUNTIFS(D6:D135,0,H6:H135,1)</f>
        <v>3</v>
      </c>
      <c r="D170">
        <f>B170+C170</f>
        <v>62</v>
      </c>
    </row>
    <row r="171" spans="1:4" x14ac:dyDescent="0.3">
      <c r="A171" t="s">
        <v>280</v>
      </c>
      <c r="B171">
        <f>COUNTIFS(D6:D135,0,H6:H135,0)</f>
        <v>59</v>
      </c>
      <c r="C171">
        <f>COUNTIFS(D6:D135,0,H6:H135,1)</f>
        <v>3</v>
      </c>
      <c r="D171">
        <f>B171+C171</f>
        <v>62</v>
      </c>
    </row>
    <row r="172" spans="1:4" x14ac:dyDescent="0.3">
      <c r="A172" s="8" t="s">
        <v>281</v>
      </c>
      <c r="B172" s="8">
        <f>COUNTIFS(D6:D135,1,H6:H135,0)</f>
        <v>36</v>
      </c>
      <c r="C172" s="8">
        <f>COUNTIFS(D6:D135,1,H6:H135,1)</f>
        <v>32</v>
      </c>
      <c r="D172" s="8">
        <f>B172+C172</f>
        <v>68</v>
      </c>
    </row>
    <row r="173" spans="1:4" x14ac:dyDescent="0.3">
      <c r="A173" s="8" t="s">
        <v>237</v>
      </c>
      <c r="B173" s="8">
        <f>B171+B172</f>
        <v>95</v>
      </c>
      <c r="C173" s="8">
        <f>C171+C172</f>
        <v>35</v>
      </c>
      <c r="D173" s="8">
        <f>B173+C173</f>
        <v>130</v>
      </c>
    </row>
    <row r="174" spans="1:4" x14ac:dyDescent="0.3">
      <c r="A174" s="8" t="s">
        <v>282</v>
      </c>
      <c r="B174" s="11">
        <f>IFERROR(ROUND((B170*C171)/(C170*B171),3),"N/A")</f>
        <v>1</v>
      </c>
    </row>
    <row r="175" spans="1:4" x14ac:dyDescent="0.3">
      <c r="A175" t="s">
        <v>277</v>
      </c>
      <c r="B175" t="str">
        <f>IF(B174&gt;1,"Sans prise méd. = risque plus élevé",IF(B174&lt;1,"Avec prise méd. = risque plus élevé","Risque égal"))</f>
        <v>Risque égal</v>
      </c>
    </row>
    <row r="178" spans="1:4" ht="16" x14ac:dyDescent="0.3">
      <c r="A178" s="10" t="s">
        <v>283</v>
      </c>
    </row>
    <row r="179" spans="1:4" x14ac:dyDescent="0.3">
      <c r="A179" s="9" t="s">
        <v>284</v>
      </c>
      <c r="B179" s="9" t="s">
        <v>272</v>
      </c>
      <c r="C179" s="9" t="s">
        <v>273</v>
      </c>
      <c r="D179" s="9" t="s">
        <v>237</v>
      </c>
    </row>
    <row r="180" spans="1:4" x14ac:dyDescent="0.3">
      <c r="A180" t="s">
        <v>285</v>
      </c>
      <c r="B180">
        <f>COUNTIFS(E6:E135,0,H6:H135,0)</f>
        <v>61</v>
      </c>
      <c r="C180">
        <f>COUNTIFS(E6:E135,0,H6:H135,1)</f>
        <v>6</v>
      </c>
      <c r="D180">
        <f>B180+C180</f>
        <v>67</v>
      </c>
    </row>
    <row r="181" spans="1:4" x14ac:dyDescent="0.3">
      <c r="A181" t="s">
        <v>286</v>
      </c>
      <c r="B181">
        <f>COUNTIFS(E6:E135,1,H6:H135,0)</f>
        <v>32</v>
      </c>
      <c r="C181">
        <f>COUNTIFS(E6:E135,1,H6:H135,1)</f>
        <v>28</v>
      </c>
      <c r="D181">
        <f>B181+C181</f>
        <v>60</v>
      </c>
    </row>
    <row r="182" spans="1:4" x14ac:dyDescent="0.3">
      <c r="A182" t="s">
        <v>287</v>
      </c>
      <c r="B182">
        <f>COUNTIFS(E6:E135,2,H6:H135,0)</f>
        <v>2</v>
      </c>
      <c r="C182">
        <f>COUNTIFS(E6:E135,2,H6:H135,1)</f>
        <v>1</v>
      </c>
      <c r="D182">
        <f>B182+C182</f>
        <v>3</v>
      </c>
    </row>
    <row r="183" spans="1:4" x14ac:dyDescent="0.3">
      <c r="A183" s="8" t="s">
        <v>237</v>
      </c>
      <c r="B183" s="8">
        <f>SUM(B180:B182)</f>
        <v>95</v>
      </c>
      <c r="C183" s="8">
        <f>SUM(C180:C182)</f>
        <v>35</v>
      </c>
      <c r="D183" s="8">
        <f>B183+C183</f>
        <v>130</v>
      </c>
    </row>
    <row r="186" spans="1:4" ht="16" x14ac:dyDescent="0.3">
      <c r="A186" s="10" t="s">
        <v>288</v>
      </c>
    </row>
    <row r="187" spans="1:4" x14ac:dyDescent="0.3">
      <c r="A187" s="9" t="s">
        <v>289</v>
      </c>
      <c r="B187" s="9" t="s">
        <v>272</v>
      </c>
      <c r="C187" s="9" t="s">
        <v>273</v>
      </c>
      <c r="D187" s="9" t="s">
        <v>237</v>
      </c>
    </row>
    <row r="188" spans="1:4" x14ac:dyDescent="0.3">
      <c r="A188" t="s">
        <v>290</v>
      </c>
      <c r="B188">
        <f>COUNTIFS(I6:I135,0,H6:H135,0)</f>
        <v>24</v>
      </c>
      <c r="C188">
        <f>COUNTIFS(I6:I135,0,H6:H135,1)</f>
        <v>19</v>
      </c>
      <c r="D188">
        <f>B188+C188</f>
        <v>43</v>
      </c>
    </row>
    <row r="189" spans="1:4" x14ac:dyDescent="0.3">
      <c r="A189" t="s">
        <v>291</v>
      </c>
      <c r="B189">
        <f>COUNTIFS(I6:I135,1,H6:H135,0)</f>
        <v>48</v>
      </c>
      <c r="C189">
        <f>COUNTIFS(I6:I135,1,H6:H135,1)</f>
        <v>13</v>
      </c>
      <c r="D189">
        <f>B189+C189</f>
        <v>61</v>
      </c>
    </row>
    <row r="190" spans="1:4" x14ac:dyDescent="0.3">
      <c r="A190" t="s">
        <v>292</v>
      </c>
      <c r="B190">
        <f>COUNTIFS(I6:I135,2,H6:H135,0)</f>
        <v>23</v>
      </c>
      <c r="C190">
        <f>COUNTIFS(I6:I135,2,H6:H135,1)</f>
        <v>3</v>
      </c>
      <c r="D190">
        <f>B190+C190</f>
        <v>26</v>
      </c>
    </row>
    <row r="191" spans="1:4" x14ac:dyDescent="0.3">
      <c r="A191" s="8" t="s">
        <v>237</v>
      </c>
      <c r="B191" s="8">
        <f>SUM(B188:B190)</f>
        <v>95</v>
      </c>
      <c r="C191" s="8">
        <f>SUM(C188:C190)</f>
        <v>35</v>
      </c>
      <c r="D191" s="8">
        <f>B191+C191</f>
        <v>130</v>
      </c>
    </row>
    <row r="194" spans="1:8" x14ac:dyDescent="0.3">
      <c r="A194" s="51" t="s">
        <v>293</v>
      </c>
      <c r="B194" s="48"/>
      <c r="C194" s="48"/>
      <c r="D194" s="48"/>
      <c r="E194" s="48"/>
      <c r="F194" s="48"/>
      <c r="G194" s="48"/>
      <c r="H194" s="48"/>
    </row>
    <row r="196" spans="1:8" x14ac:dyDescent="0.3">
      <c r="A196" s="12" t="s">
        <v>294</v>
      </c>
    </row>
    <row r="198" spans="1:8" ht="16" x14ac:dyDescent="0.3">
      <c r="A198" s="10" t="s">
        <v>295</v>
      </c>
    </row>
    <row r="199" spans="1:8" x14ac:dyDescent="0.3">
      <c r="A199" s="9" t="s">
        <v>296</v>
      </c>
      <c r="B199" s="9" t="s">
        <v>297</v>
      </c>
      <c r="C199" s="9" t="s">
        <v>298</v>
      </c>
      <c r="D199" s="9" t="s">
        <v>299</v>
      </c>
      <c r="E199" s="9" t="s">
        <v>300</v>
      </c>
    </row>
    <row r="200" spans="1:8" x14ac:dyDescent="0.3">
      <c r="A200" s="9" t="s">
        <v>296</v>
      </c>
      <c r="B200" s="9" t="s">
        <v>297</v>
      </c>
      <c r="C200" s="9" t="s">
        <v>298</v>
      </c>
      <c r="D200" s="9" t="s">
        <v>299</v>
      </c>
      <c r="E200" s="9" t="s">
        <v>300</v>
      </c>
    </row>
    <row r="201" spans="1:8" x14ac:dyDescent="0.3">
      <c r="A201" t="s">
        <v>301</v>
      </c>
      <c r="B201">
        <f>IFERROR(ROUND((B160*C161)/(C160*B161),3),"N/A")</f>
        <v>1.5880000000000001</v>
      </c>
      <c r="C201">
        <f>IFERROR(ROUND(EXP(LN(B201)-1.96*SQRT(1/B160+1/C160+1/B161+1/C161)),3),"N/A")</f>
        <v>0.72799999999999998</v>
      </c>
      <c r="D201">
        <f>IFERROR(ROUND(EXP(LN(B201)+1.96*SQRT(1/B160+1/C160+1/B161+1/C161)),3),"N/A")</f>
        <v>3.4630000000000001</v>
      </c>
      <c r="E201" t="str">
        <f>IF(OR(ISERROR(C201),ISERROR(D201)),"N/A",IF(AND(C201&lt;=1,D201&gt;=1),"Non","Oui"))</f>
        <v>Non</v>
      </c>
    </row>
    <row r="202" spans="1:8" x14ac:dyDescent="0.3">
      <c r="A202" t="s">
        <v>302</v>
      </c>
      <c r="B202">
        <f>IFERROR(ROUND((B171*C172)/(C171*B172),3),"N/A")</f>
        <v>17.481000000000002</v>
      </c>
      <c r="C202">
        <f>IFERROR(ROUND(EXP(LN(B202)-1.96*SQRT(1/B171+1/C171+1/B172+1/C172)),3),"N/A")</f>
        <v>4.9889999999999999</v>
      </c>
      <c r="D202">
        <f>IFERROR(ROUND(EXP(LN(B202)+1.96*SQRT(1/B171+1/C171+1/B172+1/C172)),3),"N/A")</f>
        <v>61.256999999999998</v>
      </c>
      <c r="E202" t="str">
        <f>IF(OR(ISERROR(C202),ISERROR(D202)),"N/A",IF(AND(C202&lt;=1,D202&gt;=1),"Non","Oui"))</f>
        <v>Oui</v>
      </c>
    </row>
    <row r="203" spans="1:8" x14ac:dyDescent="0.3">
      <c r="A203" t="s">
        <v>303</v>
      </c>
      <c r="B203">
        <f>IFERROR(ROUND((B180*C181)/(C180*B181),3),"N/A")</f>
        <v>8.8960000000000008</v>
      </c>
      <c r="C203">
        <f>IFERROR(ROUND(EXP(LN(B203)-1.96*SQRT(1/B180+1/C180+1/B181+1/C181)),3),"N/A")</f>
        <v>3.339</v>
      </c>
      <c r="D203">
        <f>IFERROR(ROUND(EXP(LN(B203)+1.96*SQRT(1/B180+1/C180+1/B181+1/C181)),3),"N/A")</f>
        <v>23.704000000000001</v>
      </c>
      <c r="E203" t="str">
        <f>IF(OR(ISERROR(C203),ISERROR(D203)),"N/A",IF(AND(C203&lt;=1,D203&gt;=1),"Non","Oui"))</f>
        <v>Oui</v>
      </c>
    </row>
    <row r="204" spans="1:8" x14ac:dyDescent="0.3">
      <c r="A204" t="s">
        <v>304</v>
      </c>
      <c r="B204">
        <f>IFERROR(ROUND((B188*C189)/(C188*B189),3),"N/A")</f>
        <v>0.34200000000000003</v>
      </c>
      <c r="C204">
        <f>IFERROR(ROUND(EXP(LN(B204)-1.96*SQRT(1/B188+1/C188+1/B189+1/C189)),3),"N/A")</f>
        <v>0.14499999999999999</v>
      </c>
      <c r="D204">
        <f>IFERROR(ROUND(EXP(LN(B204)+1.96*SQRT(1/B188+1/C188+1/B189+1/C189)),3),"N/A")</f>
        <v>0.80700000000000005</v>
      </c>
      <c r="E204" t="str">
        <f>IF(OR(ISERROR(C204),ISERROR(D204)),"N/A",IF(AND(C204&lt;=1,D204&gt;=1),"Non","Oui"))</f>
        <v>Oui</v>
      </c>
    </row>
    <row r="205" spans="1:8" x14ac:dyDescent="0.3">
      <c r="A205" t="s">
        <v>305</v>
      </c>
      <c r="B205">
        <f>IFERROR(ROUND((B189*C190)/(C189*B190),3),"N/A")</f>
        <v>0.48199999999999998</v>
      </c>
      <c r="C205">
        <f>IFERROR(ROUND(EXP(LN(B205)-1.96*SQRT(1/B189+1/C189+1/B190+1/C190)),3),"N/A")</f>
        <v>0.125</v>
      </c>
      <c r="D205">
        <f>IFERROR(ROUND(EXP(LN(B205)+1.96*SQRT(1/B189+1/C189+1/B190+1/C190)),3),"N/A")</f>
        <v>1.86</v>
      </c>
      <c r="E205" t="str">
        <f>IF(OR(ISERROR(C205),ISERROR(D205)),"N/A",IF(AND(C205&lt;=1,D205&gt;=1),"Non","Oui"))</f>
        <v>Non</v>
      </c>
    </row>
    <row r="208" spans="1:8" x14ac:dyDescent="0.3">
      <c r="A208" s="50" t="s">
        <v>306</v>
      </c>
      <c r="B208" s="48"/>
      <c r="C208" s="48"/>
      <c r="D208" s="48"/>
      <c r="E208" s="48"/>
      <c r="F208" s="48"/>
      <c r="G208" s="48"/>
    </row>
    <row r="210" spans="1:12" x14ac:dyDescent="0.3">
      <c r="A210" s="9"/>
      <c r="B210" s="9" t="s">
        <v>243</v>
      </c>
      <c r="C210" s="9" t="s">
        <v>6</v>
      </c>
      <c r="D210" s="9" t="s">
        <v>307</v>
      </c>
      <c r="E210" s="9" t="s">
        <v>247</v>
      </c>
      <c r="F210" s="9" t="s">
        <v>308</v>
      </c>
      <c r="K210" s="8" t="s">
        <v>252</v>
      </c>
      <c r="L210" s="8" t="s">
        <v>369</v>
      </c>
    </row>
    <row r="211" spans="1:12" x14ac:dyDescent="0.3">
      <c r="A211" s="8" t="s">
        <v>243</v>
      </c>
      <c r="B211">
        <f>1</f>
        <v>1</v>
      </c>
      <c r="C211">
        <f>ROUND(CORREL(B6:B135,C6:C135),3)</f>
        <v>-0.12</v>
      </c>
      <c r="D211">
        <f>ROUND(CORREL(B6:B135,D6:D135),3)</f>
        <v>-0.2</v>
      </c>
      <c r="E211">
        <f>ROUND(CORREL(B6:B135,F6:F135),3)</f>
        <v>-2.1999999999999999E-2</v>
      </c>
      <c r="F211">
        <f>ROUND(CORREL(B6:B135,H6:H135),3)</f>
        <v>-0.318</v>
      </c>
      <c r="K211" t="s">
        <v>370</v>
      </c>
      <c r="L211">
        <v>-0.318</v>
      </c>
    </row>
    <row r="212" spans="1:12" x14ac:dyDescent="0.3">
      <c r="A212" s="8" t="s">
        <v>6</v>
      </c>
      <c r="B212">
        <f>C211</f>
        <v>-0.12</v>
      </c>
      <c r="C212">
        <f>1</f>
        <v>1</v>
      </c>
      <c r="D212">
        <f>ROUND(CORREL(C6:C135,D6:D135),3)</f>
        <v>-8.9999999999999993E-3</v>
      </c>
      <c r="E212">
        <f>ROUND(CORREL(C6:C135,F6:F135),3)</f>
        <v>-1.0999999999999999E-2</v>
      </c>
      <c r="F212">
        <f>ROUND(CORREL(C6:C135,H6:H135),3)</f>
        <v>0.10199999999999999</v>
      </c>
      <c r="K212" t="s">
        <v>6</v>
      </c>
      <c r="L212">
        <v>0.10199999999999999</v>
      </c>
    </row>
    <row r="213" spans="1:12" x14ac:dyDescent="0.3">
      <c r="A213" s="8" t="s">
        <v>307</v>
      </c>
      <c r="B213">
        <f>D211</f>
        <v>-0.2</v>
      </c>
      <c r="C213">
        <f>D212</f>
        <v>-8.9999999999999993E-3</v>
      </c>
      <c r="D213">
        <f>1</f>
        <v>1</v>
      </c>
      <c r="E213">
        <f>ROUND(CORREL(D6:D135,F6:F135),3)</f>
        <v>0.21299999999999999</v>
      </c>
      <c r="F213">
        <f>ROUND(CORREL(D6:D135,H6:H135),3)</f>
        <v>0.47499999999999998</v>
      </c>
      <c r="K213" t="s">
        <v>371</v>
      </c>
      <c r="L213">
        <v>0.47499999999999998</v>
      </c>
    </row>
    <row r="214" spans="1:12" x14ac:dyDescent="0.3">
      <c r="A214" s="8" t="s">
        <v>247</v>
      </c>
      <c r="B214">
        <f>E211</f>
        <v>-2.1999999999999999E-2</v>
      </c>
      <c r="C214">
        <f>E212</f>
        <v>-1.0999999999999999E-2</v>
      </c>
      <c r="D214">
        <f>E213</f>
        <v>0.21299999999999999</v>
      </c>
      <c r="E214">
        <f>1</f>
        <v>1</v>
      </c>
      <c r="F214">
        <f>ROUND(CORREL(F6:F135,H6:H135),3)</f>
        <v>0.31</v>
      </c>
      <c r="K214" t="s">
        <v>372</v>
      </c>
      <c r="L214">
        <v>0.31</v>
      </c>
    </row>
    <row r="215" spans="1:12" x14ac:dyDescent="0.3">
      <c r="A215" s="8" t="s">
        <v>308</v>
      </c>
      <c r="B215">
        <f>F211</f>
        <v>-0.318</v>
      </c>
      <c r="C215">
        <f>F212</f>
        <v>0.10199999999999999</v>
      </c>
      <c r="D215">
        <f>F213</f>
        <v>0.47499999999999998</v>
      </c>
      <c r="E215">
        <f>F214</f>
        <v>0.31</v>
      </c>
      <c r="F215">
        <f>1</f>
        <v>1</v>
      </c>
    </row>
    <row r="218" spans="1:12" x14ac:dyDescent="0.3">
      <c r="A218" s="50" t="s">
        <v>309</v>
      </c>
      <c r="B218" s="52"/>
      <c r="C218" s="52"/>
      <c r="D218" s="52"/>
      <c r="E218" s="52"/>
      <c r="F218" s="52"/>
      <c r="G218" s="52"/>
    </row>
    <row r="220" spans="1:12" x14ac:dyDescent="0.3">
      <c r="A220" s="9" t="s">
        <v>180</v>
      </c>
      <c r="B220" s="9" t="s">
        <v>272</v>
      </c>
      <c r="C220" s="9" t="s">
        <v>273</v>
      </c>
      <c r="D220" s="9" t="s">
        <v>237</v>
      </c>
    </row>
    <row r="221" spans="1:12" x14ac:dyDescent="0.3">
      <c r="A221" t="s">
        <v>182</v>
      </c>
      <c r="B221">
        <f>ROUND(AVERAGEIF(H6:H135,0,F6:F135),2)</f>
        <v>20.18</v>
      </c>
      <c r="C221">
        <f>ROUND(AVERAGEIF(H6:H135,1,F6:F135),2)</f>
        <v>37.54</v>
      </c>
      <c r="D221">
        <f>ROUND(AVERAGE(F6:F135),2)</f>
        <v>24.85</v>
      </c>
    </row>
    <row r="222" spans="1:12" x14ac:dyDescent="0.3">
      <c r="A222" t="s">
        <v>185</v>
      </c>
      <c r="B222" cm="1">
        <f t="array" ref="B222">ROUND(_xlfn.STDEV.S(IF(H6:H135=0,F6:F135)),2)</f>
        <v>21.05</v>
      </c>
      <c r="C222" cm="1">
        <f t="array" ref="C222">ROUND(_xlfn.STDEV.S(IF(H6:H135=1,F6:F135)),2)</f>
        <v>30.15</v>
      </c>
      <c r="D222">
        <f>ROUND(_xlfn.STDEV.S(F6:F135),2)</f>
        <v>24.94</v>
      </c>
    </row>
    <row r="223" spans="1:12" x14ac:dyDescent="0.3">
      <c r="A223" t="s">
        <v>310</v>
      </c>
      <c r="B223">
        <f>_xlfn.MINIFS(F6:F135,H6:H135,0)</f>
        <v>1</v>
      </c>
      <c r="C223">
        <f>_xlfn.MINIFS(F6:F135,H6:H135,1)</f>
        <v>3</v>
      </c>
      <c r="D223">
        <f>MIN(F6:F135)</f>
        <v>1</v>
      </c>
    </row>
    <row r="224" spans="1:12" x14ac:dyDescent="0.3">
      <c r="A224" t="s">
        <v>311</v>
      </c>
      <c r="B224">
        <f>_xlfn.MAXIFS(F6:F135,H6:H135,0)</f>
        <v>95</v>
      </c>
      <c r="C224">
        <f>_xlfn.MAXIFS(F6:F135,H6:H135,1)</f>
        <v>95</v>
      </c>
      <c r="D224">
        <f>MAX(F6:F135)</f>
        <v>95</v>
      </c>
    </row>
    <row r="225" spans="1:8" x14ac:dyDescent="0.3">
      <c r="A225" t="s">
        <v>267</v>
      </c>
      <c r="B225">
        <f>COUNTIF(H6:H135,0)</f>
        <v>95</v>
      </c>
      <c r="C225">
        <f>COUNTIF(H6:H135,1)</f>
        <v>35</v>
      </c>
      <c r="D225">
        <f>COUNT(F6:F135)</f>
        <v>130</v>
      </c>
    </row>
    <row r="228" spans="1:8" x14ac:dyDescent="0.3">
      <c r="A228" s="51" t="s">
        <v>312</v>
      </c>
      <c r="B228" s="48"/>
      <c r="C228" s="48"/>
      <c r="D228" s="48"/>
      <c r="E228" s="48"/>
      <c r="F228" s="48"/>
      <c r="G228" s="48"/>
      <c r="H228" s="48"/>
    </row>
    <row r="230" spans="1:8" x14ac:dyDescent="0.3">
      <c r="A230" s="12" t="s">
        <v>313</v>
      </c>
    </row>
    <row r="232" spans="1:8" x14ac:dyDescent="0.3">
      <c r="A232" t="s">
        <v>314</v>
      </c>
    </row>
    <row r="233" spans="1:8" x14ac:dyDescent="0.3">
      <c r="A233" t="s">
        <v>315</v>
      </c>
    </row>
    <row r="235" spans="1:8" x14ac:dyDescent="0.3">
      <c r="A235" s="9" t="s">
        <v>252</v>
      </c>
      <c r="B235" s="9" t="s">
        <v>316</v>
      </c>
      <c r="C235" s="9" t="s">
        <v>317</v>
      </c>
      <c r="D235" s="9" t="s">
        <v>318</v>
      </c>
      <c r="E235" s="9" t="s">
        <v>319</v>
      </c>
      <c r="F235" s="9" t="s">
        <v>320</v>
      </c>
    </row>
    <row r="236" spans="1:8" x14ac:dyDescent="0.3">
      <c r="A236" t="s">
        <v>321</v>
      </c>
      <c r="B236">
        <f>ROUND(LN(COUNTIF(H6:H135,1)/(COUNTIF(H6:H135,0))),3)</f>
        <v>-0.999</v>
      </c>
      <c r="C236">
        <f>ROUND(EXP(B236),3)</f>
        <v>0.36799999999999999</v>
      </c>
      <c r="D236" t="s">
        <v>322</v>
      </c>
      <c r="E236" t="s">
        <v>322</v>
      </c>
      <c r="F236" t="s">
        <v>322</v>
      </c>
    </row>
    <row r="237" spans="1:8" x14ac:dyDescent="0.3">
      <c r="A237" t="s">
        <v>323</v>
      </c>
      <c r="B237">
        <f>IFERROR(ROUND(LN((B179*C180)/(C179*B180)),3),0)</f>
        <v>0</v>
      </c>
      <c r="C237">
        <f>ROUND(EXP(B237),3)</f>
        <v>1</v>
      </c>
      <c r="D237" t="str">
        <f>IFERROR(ROUND(SQRT(1/B179+1/C179+1/B180+1/C180),3),"-")</f>
        <v>-</v>
      </c>
      <c r="E237" t="str">
        <f>IFERROR(ROUND(B237/D237,2),"-")</f>
        <v>-</v>
      </c>
      <c r="F237" t="str">
        <f>IFERROR(IF(ABS(E237)&gt;1.96,"&lt;0.05",IF(ABS(E237)&gt;1.645,"&lt;0.10","&gt;0.10")),"-")</f>
        <v>-</v>
      </c>
    </row>
    <row r="238" spans="1:8" x14ac:dyDescent="0.3">
      <c r="A238" t="s">
        <v>324</v>
      </c>
      <c r="B238">
        <f>IFERROR(ROUND(LN((B188*C189)/(C188*B189)),3),0)</f>
        <v>-1.073</v>
      </c>
      <c r="C238">
        <f>ROUND(EXP(B238),3)</f>
        <v>0.34200000000000003</v>
      </c>
      <c r="D238">
        <f>IFERROR(ROUND(SQRT(1/B188+1/C188+1/B189+1/C189),3),"-")</f>
        <v>0.438</v>
      </c>
      <c r="E238">
        <f>IFERROR(ROUND(B238/D238,2),"-")</f>
        <v>-2.4500000000000002</v>
      </c>
      <c r="F238" t="str">
        <f>IFERROR(IF(ABS(E238)&gt;1.96,"&lt;0.05",IF(ABS(E238)&gt;1.645,"&lt;0.10","&gt;0.10")),"-")</f>
        <v>&lt;0.05</v>
      </c>
    </row>
    <row r="239" spans="1:8" x14ac:dyDescent="0.3">
      <c r="A239" t="s">
        <v>325</v>
      </c>
      <c r="B239">
        <f>ROUND(CORREL(F6:F135,H6:H135)*SQRT(COUNTIF(H6:H135,1)*COUNTIF(H6:H135,0)/130/130)*4,3)</f>
        <v>0.55000000000000004</v>
      </c>
      <c r="C239">
        <f>ROUND(EXP(B239),3)</f>
        <v>1.7330000000000001</v>
      </c>
      <c r="D239">
        <f>ROUND(1/SQRT(130),3)</f>
        <v>8.7999999999999995E-2</v>
      </c>
      <c r="E239">
        <f>IFERROR(ROUND(B239/D239,2),"-")</f>
        <v>6.25</v>
      </c>
      <c r="F239" t="str">
        <f>IFERROR(IF(ABS(E239)&gt;1.96,"&lt;0.05",IF(ABS(E239)&gt;1.645,"&lt;0.10","&gt;0.10")),"-")</f>
        <v>&lt;0.05</v>
      </c>
    </row>
    <row r="242" spans="1:8" x14ac:dyDescent="0.3">
      <c r="A242" s="53" t="s">
        <v>326</v>
      </c>
      <c r="B242" s="48"/>
      <c r="C242" s="48"/>
      <c r="D242" s="48"/>
    </row>
    <row r="244" spans="1:8" x14ac:dyDescent="0.3">
      <c r="A244" s="9" t="s">
        <v>180</v>
      </c>
      <c r="B244" s="9" t="s">
        <v>181</v>
      </c>
    </row>
    <row r="245" spans="1:8" x14ac:dyDescent="0.3">
      <c r="A245" t="s">
        <v>327</v>
      </c>
      <c r="B245">
        <f>ROUND(COUNTIF(H6:H135,1)/130,4)</f>
        <v>0.26919999999999999</v>
      </c>
    </row>
    <row r="246" spans="1:8" x14ac:dyDescent="0.3">
      <c r="A246" t="s">
        <v>328</v>
      </c>
      <c r="B246">
        <f>ROUND(COUNTIF(H6:H135,1)*LN(COUNTIF(H6:H135,1)/130)+COUNTIF(H6:H135,0)*LN(COUNTIF(H6:H135,0)/130),2)</f>
        <v>-75.72</v>
      </c>
    </row>
    <row r="247" spans="1:8" x14ac:dyDescent="0.3">
      <c r="A247" t="s">
        <v>329</v>
      </c>
      <c r="B247">
        <f>ROUND(-2*B246,2)</f>
        <v>151.44</v>
      </c>
    </row>
    <row r="248" spans="1:8" x14ac:dyDescent="0.3">
      <c r="A248" t="s">
        <v>330</v>
      </c>
      <c r="B248">
        <f>ROUND(POWER(CORREL(H6:H135,E6:E135),2)+POWER(CORREL(H6:H135,F6:F135),2),4)</f>
        <v>0.248</v>
      </c>
    </row>
    <row r="249" spans="1:8" x14ac:dyDescent="0.3">
      <c r="A249" t="s">
        <v>331</v>
      </c>
      <c r="B249">
        <f>ROUND(-2*B245+2*4,2)</f>
        <v>7.46</v>
      </c>
    </row>
    <row r="252" spans="1:8" x14ac:dyDescent="0.3">
      <c r="A252" s="54" t="s">
        <v>332</v>
      </c>
      <c r="B252" s="48"/>
      <c r="C252" s="48"/>
      <c r="D252" s="48"/>
      <c r="E252" s="48"/>
      <c r="F252" s="48"/>
      <c r="G252" s="48"/>
      <c r="H252" s="48"/>
    </row>
    <row r="254" spans="1:8" ht="16" x14ac:dyDescent="0.3">
      <c r="A254" s="10" t="s">
        <v>333</v>
      </c>
    </row>
    <row r="256" spans="1:8" x14ac:dyDescent="0.3">
      <c r="A256" s="9" t="s">
        <v>334</v>
      </c>
      <c r="B256" s="9" t="s">
        <v>297</v>
      </c>
      <c r="C256" s="9" t="s">
        <v>335</v>
      </c>
      <c r="D256" s="9" t="s">
        <v>336</v>
      </c>
    </row>
    <row r="257" spans="1:6" x14ac:dyDescent="0.3">
      <c r="A257" t="s">
        <v>12</v>
      </c>
      <c r="B257">
        <f>B203</f>
        <v>8.8960000000000008</v>
      </c>
      <c r="C257" t="str">
        <f>IF(B257&gt;1,"Facteur de risque",IF(B257&lt;1,"Facteur protecteur","Neutre"))</f>
        <v>Facteur de risque</v>
      </c>
      <c r="D257" t="str">
        <f>IF(B257&gt;1,"Atteinte cutanée+muqueuse augmente le risque de toxidermie sévère","Atteinte cutanée+muqueuse diminue le risque")</f>
        <v>Atteinte cutanée+muqueuse augmente le risque de toxidermie sévère</v>
      </c>
    </row>
    <row r="258" spans="1:6" x14ac:dyDescent="0.3">
      <c r="A258" t="s">
        <v>337</v>
      </c>
      <c r="B258">
        <f>B204</f>
        <v>0.34200000000000003</v>
      </c>
      <c r="C258" t="str">
        <f>IF(B258&gt;1,"Facteur de risque",IF(B258&lt;1,"Facteur protecteur","Neutre"))</f>
        <v>Facteur protecteur</v>
      </c>
      <c r="D258" t="str">
        <f>IF(B258&lt;1,"Les 0-18 ans ont MOINS de risque que 19-60 ans","Les 0-18 ans ont PLUS de risque")</f>
        <v>Les 0-18 ans ont MOINS de risque que 19-60 ans</v>
      </c>
    </row>
    <row r="259" spans="1:6" x14ac:dyDescent="0.3">
      <c r="A259" t="s">
        <v>338</v>
      </c>
      <c r="B259">
        <f>B202</f>
        <v>17.481000000000002</v>
      </c>
      <c r="C259" t="str">
        <f>IF(B259&gt;1,"Facteur de risque MAJEUR",IF(B259&lt;1,"Facteur protecteur","Neutre"))</f>
        <v>Facteur de risque MAJEUR</v>
      </c>
      <c r="D259" t="str">
        <f>IF(B259&gt;1,"La prise médicamenteuse AUGMENTE fortement le risque (OR="&amp;B259&amp;")","La prise médicamenteuse diminue le risque")</f>
        <v>La prise médicamenteuse AUGMENTE fortement le risque (OR=17.481)</v>
      </c>
    </row>
    <row r="260" spans="1:6" x14ac:dyDescent="0.3">
      <c r="A260" t="s">
        <v>339</v>
      </c>
      <c r="B260">
        <f>B201</f>
        <v>1.5880000000000001</v>
      </c>
      <c r="C260" t="str">
        <f>IF(B260&gt;1,"Hommes légèrement plus à risque",IF(B260&lt;1,"Femmes plus à risque","Risque égal"))</f>
        <v>Hommes légèrement plus à risque</v>
      </c>
      <c r="D260" t="str">
        <f>IF(E201="Non","Association NON significative (p&gt;0.05)","Association significative")</f>
        <v>Association NON significative (p&gt;0.05)</v>
      </c>
    </row>
    <row r="263" spans="1:6" ht="16" x14ac:dyDescent="0.3">
      <c r="A263" s="10" t="s">
        <v>340</v>
      </c>
    </row>
    <row r="265" spans="1:6" x14ac:dyDescent="0.3">
      <c r="A265" s="8">
        <v>1</v>
      </c>
      <c r="B265" t="s">
        <v>341</v>
      </c>
      <c r="C265" t="s">
        <v>342</v>
      </c>
    </row>
    <row r="266" spans="1:6" x14ac:dyDescent="0.3">
      <c r="A266" s="8">
        <v>2</v>
      </c>
      <c r="B266" t="s">
        <v>343</v>
      </c>
      <c r="C266" t="s">
        <v>344</v>
      </c>
    </row>
    <row r="267" spans="1:6" x14ac:dyDescent="0.3">
      <c r="A267" s="8">
        <v>3</v>
      </c>
      <c r="B267" t="s">
        <v>345</v>
      </c>
      <c r="C267" t="s">
        <v>346</v>
      </c>
    </row>
    <row r="268" spans="1:6" x14ac:dyDescent="0.3">
      <c r="A268" s="8">
        <v>4</v>
      </c>
      <c r="B268" t="s">
        <v>347</v>
      </c>
      <c r="C268" t="s">
        <v>348</v>
      </c>
    </row>
    <row r="269" spans="1:6" x14ac:dyDescent="0.3">
      <c r="A269" s="8">
        <v>5</v>
      </c>
      <c r="B269" t="s">
        <v>349</v>
      </c>
      <c r="C269" t="s">
        <v>350</v>
      </c>
    </row>
    <row r="272" spans="1:6" x14ac:dyDescent="0.3">
      <c r="A272" s="47" t="s">
        <v>351</v>
      </c>
      <c r="B272" s="48"/>
      <c r="C272" s="48"/>
      <c r="D272" s="48"/>
      <c r="E272" s="48"/>
      <c r="F272" s="48"/>
    </row>
    <row r="274" spans="1:8" x14ac:dyDescent="0.3">
      <c r="A274" s="9" t="s">
        <v>352</v>
      </c>
      <c r="B274" s="9" t="s">
        <v>252</v>
      </c>
      <c r="C274" s="9" t="s">
        <v>180</v>
      </c>
      <c r="D274" s="9" t="s">
        <v>353</v>
      </c>
      <c r="E274" s="9" t="s">
        <v>354</v>
      </c>
    </row>
    <row r="275" spans="1:8" x14ac:dyDescent="0.3">
      <c r="A275" t="s">
        <v>355</v>
      </c>
      <c r="B275" t="s">
        <v>356</v>
      </c>
      <c r="C275">
        <f>ROUND(130*POWER(CORREL(C6:C135,H6:H135),2),2)</f>
        <v>1.36</v>
      </c>
      <c r="D275">
        <v>3.84</v>
      </c>
      <c r="E275" t="str">
        <f>IF(C275&gt;3.84,"Rejet H0 (significatif)","Non rejet H0")</f>
        <v>Non rejet H0</v>
      </c>
    </row>
    <row r="276" spans="1:8" x14ac:dyDescent="0.3">
      <c r="A276" t="s">
        <v>355</v>
      </c>
      <c r="B276" t="s">
        <v>357</v>
      </c>
      <c r="C276">
        <f>ROUND(130*POWER(CORREL(E6:E135,H6:H135),2),2)</f>
        <v>19.75</v>
      </c>
      <c r="D276">
        <v>3.84</v>
      </c>
      <c r="E276" t="str">
        <f>IF(C276&gt;3.84,"Rejet H0 (significatif)","Non rejet H0")</f>
        <v>Rejet H0 (significatif)</v>
      </c>
    </row>
    <row r="277" spans="1:8" x14ac:dyDescent="0.3">
      <c r="A277" t="s">
        <v>355</v>
      </c>
      <c r="B277" t="s">
        <v>358</v>
      </c>
      <c r="C277">
        <f>ROUND(130*POWER(CORREL(D6:D135,H6:H135),2),2)</f>
        <v>29.38</v>
      </c>
      <c r="D277">
        <v>3.84</v>
      </c>
      <c r="E277" t="str">
        <f>IF(C277&gt;3.84,"Rejet H0 (significatif)","Non rejet H0")</f>
        <v>Rejet H0 (significatif)</v>
      </c>
    </row>
    <row r="278" spans="1:8" x14ac:dyDescent="0.3">
      <c r="A278" t="s">
        <v>359</v>
      </c>
      <c r="B278" t="s">
        <v>360</v>
      </c>
      <c r="C278">
        <f>ROUND(ABS(AVERAGEIF(H6:H135,0,F6:F135)-AVERAGEIF(H6:H135,1,F6:F135))/(_xlfn.STDEV.S(F6:F135)/SQRT(130)),2)</f>
        <v>7.94</v>
      </c>
      <c r="D278">
        <v>1.98</v>
      </c>
      <c r="E278" t="str">
        <f>IF(C278&gt;1.98,"Rejet H0 (significatif)","Non rejet H0")</f>
        <v>Rejet H0 (significatif)</v>
      </c>
    </row>
    <row r="282" spans="1:8" x14ac:dyDescent="0.3">
      <c r="A282" s="48" t="s">
        <v>361</v>
      </c>
      <c r="B282" s="48"/>
      <c r="C282" s="48"/>
      <c r="D282" s="48"/>
      <c r="E282" s="48"/>
      <c r="F282" s="48"/>
      <c r="G282" s="48"/>
      <c r="H282" s="48"/>
    </row>
    <row r="284" spans="1:8" x14ac:dyDescent="0.3">
      <c r="A284" s="56" t="s">
        <v>362</v>
      </c>
      <c r="B284" s="56"/>
      <c r="C284" s="56"/>
      <c r="D284" s="56"/>
    </row>
    <row r="286" spans="1:8" x14ac:dyDescent="0.3">
      <c r="A286" s="48" t="s">
        <v>363</v>
      </c>
      <c r="B286" s="48"/>
      <c r="C286" s="48"/>
      <c r="D286" s="48"/>
      <c r="E286" s="48"/>
      <c r="F286" s="48"/>
      <c r="G286" s="48"/>
    </row>
    <row r="287" spans="1:8" x14ac:dyDescent="0.3">
      <c r="A287" s="48" t="s">
        <v>364</v>
      </c>
      <c r="B287" s="48"/>
      <c r="C287" s="48"/>
      <c r="D287" s="48"/>
      <c r="E287" s="48"/>
      <c r="F287" s="48"/>
      <c r="G287" s="48"/>
    </row>
    <row r="288" spans="1:8" x14ac:dyDescent="0.3">
      <c r="A288" s="48" t="s">
        <v>365</v>
      </c>
      <c r="B288" s="48"/>
      <c r="C288" s="48"/>
      <c r="D288" s="48"/>
      <c r="E288" s="48"/>
      <c r="F288" s="48"/>
      <c r="G288" s="48"/>
    </row>
    <row r="289" spans="1:7" x14ac:dyDescent="0.3">
      <c r="A289" s="48" t="s">
        <v>366</v>
      </c>
      <c r="B289" s="48"/>
      <c r="C289" s="48"/>
      <c r="D289" s="48"/>
      <c r="E289" s="48"/>
      <c r="F289" s="48"/>
      <c r="G289" s="48"/>
    </row>
    <row r="290" spans="1:7" x14ac:dyDescent="0.3">
      <c r="A290" s="48" t="s">
        <v>367</v>
      </c>
      <c r="B290" s="48"/>
      <c r="C290" s="48"/>
      <c r="D290" s="48"/>
      <c r="E290" s="48"/>
      <c r="F290" s="48"/>
      <c r="G290" s="48"/>
    </row>
    <row r="291" spans="1:7" x14ac:dyDescent="0.3">
      <c r="A291" s="48" t="s">
        <v>368</v>
      </c>
      <c r="B291" s="48"/>
      <c r="C291" s="48"/>
      <c r="D291" s="48"/>
      <c r="E291" s="48"/>
      <c r="F291" s="48"/>
      <c r="G291" s="48"/>
    </row>
    <row r="294" spans="1:7" x14ac:dyDescent="0.3">
      <c r="A294" s="55"/>
      <c r="B294" s="55"/>
      <c r="C294" s="55"/>
      <c r="D294" s="55"/>
      <c r="E294" s="55"/>
      <c r="F294" s="55"/>
      <c r="G294" s="55"/>
    </row>
  </sheetData>
  <mergeCells count="21">
    <mergeCell ref="A290:G290"/>
    <mergeCell ref="A291:G291"/>
    <mergeCell ref="A294:G294"/>
    <mergeCell ref="A282:H282"/>
    <mergeCell ref="A284:D284"/>
    <mergeCell ref="A286:G286"/>
    <mergeCell ref="A287:G287"/>
    <mergeCell ref="A288:G288"/>
    <mergeCell ref="A289:G289"/>
    <mergeCell ref="A272:F272"/>
    <mergeCell ref="A1:J1"/>
    <mergeCell ref="A3:J3"/>
    <mergeCell ref="A137:E137"/>
    <mergeCell ref="A148:F148"/>
    <mergeCell ref="A156:F156"/>
    <mergeCell ref="A194:H194"/>
    <mergeCell ref="A208:G208"/>
    <mergeCell ref="A218:G218"/>
    <mergeCell ref="A228:H228"/>
    <mergeCell ref="A242:D242"/>
    <mergeCell ref="A252:H25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9680B-6A64-4CF8-A44A-E0EA14303A56}">
  <dimension ref="A1:O234"/>
  <sheetViews>
    <sheetView topLeftCell="A209" zoomScaleNormal="100" workbookViewId="0">
      <selection activeCell="E192" sqref="E192"/>
    </sheetView>
  </sheetViews>
  <sheetFormatPr defaultRowHeight="14.7" x14ac:dyDescent="0.3"/>
  <cols>
    <col min="1" max="1" width="20.77734375" style="3" customWidth="1"/>
    <col min="2" max="2" width="13.33203125" style="3" customWidth="1"/>
    <col min="3" max="3" width="9.33203125" style="3" customWidth="1"/>
    <col min="4" max="4" width="9.88671875" style="3" bestFit="1" customWidth="1"/>
    <col min="5" max="5" width="8.77734375" style="3" bestFit="1" customWidth="1"/>
    <col min="6" max="6" width="7.6640625" style="3" bestFit="1" customWidth="1"/>
    <col min="7" max="7" width="9.5546875" style="3" bestFit="1" customWidth="1"/>
    <col min="8" max="16384" width="8.88671875" style="3"/>
  </cols>
  <sheetData>
    <row r="1" spans="1:15" ht="19.350000000000001" x14ac:dyDescent="0.35">
      <c r="A1" s="60" t="s">
        <v>402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</row>
    <row r="2" spans="1:15" x14ac:dyDescent="0.3">
      <c r="A2" s="7" t="s">
        <v>403</v>
      </c>
    </row>
    <row r="4" spans="1:15" x14ac:dyDescent="0.3">
      <c r="A4" s="61" t="s">
        <v>404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</row>
    <row r="6" spans="1:15" x14ac:dyDescent="0.3">
      <c r="A6" s="15" t="s">
        <v>242</v>
      </c>
      <c r="B6" s="15" t="s">
        <v>370</v>
      </c>
      <c r="C6" s="15" t="s">
        <v>6</v>
      </c>
      <c r="D6" s="15" t="s">
        <v>307</v>
      </c>
      <c r="E6" s="15" t="s">
        <v>405</v>
      </c>
      <c r="F6" s="15" t="s">
        <v>372</v>
      </c>
      <c r="G6" s="15" t="s">
        <v>406</v>
      </c>
      <c r="H6" s="15" t="s">
        <v>399</v>
      </c>
    </row>
    <row r="7" spans="1:15" x14ac:dyDescent="0.3">
      <c r="A7" s="3">
        <v>1</v>
      </c>
      <c r="B7" s="3">
        <v>0.1</v>
      </c>
      <c r="C7" s="3">
        <v>1</v>
      </c>
      <c r="D7" s="3">
        <v>0</v>
      </c>
      <c r="E7" s="3">
        <v>0</v>
      </c>
      <c r="F7" s="3">
        <v>15</v>
      </c>
      <c r="G7" s="3">
        <v>3</v>
      </c>
      <c r="H7" s="3">
        <v>0</v>
      </c>
    </row>
    <row r="8" spans="1:15" x14ac:dyDescent="0.3">
      <c r="A8" s="3">
        <v>2</v>
      </c>
      <c r="B8" s="3">
        <v>39</v>
      </c>
      <c r="C8" s="3">
        <v>0</v>
      </c>
      <c r="D8" s="3">
        <v>1</v>
      </c>
      <c r="E8" s="3">
        <v>0</v>
      </c>
      <c r="F8" s="3">
        <v>5</v>
      </c>
      <c r="G8" s="3">
        <v>1</v>
      </c>
      <c r="H8" s="3">
        <v>0</v>
      </c>
    </row>
    <row r="9" spans="1:15" x14ac:dyDescent="0.3">
      <c r="A9" s="3">
        <v>3</v>
      </c>
      <c r="B9" s="3">
        <v>27</v>
      </c>
      <c r="C9" s="3">
        <v>1</v>
      </c>
      <c r="D9" s="3">
        <v>1</v>
      </c>
      <c r="E9" s="3">
        <v>0</v>
      </c>
      <c r="F9" s="3">
        <v>3</v>
      </c>
      <c r="G9" s="3">
        <v>1</v>
      </c>
      <c r="H9" s="3">
        <v>0</v>
      </c>
    </row>
    <row r="10" spans="1:15" x14ac:dyDescent="0.3">
      <c r="A10" s="3">
        <v>4</v>
      </c>
      <c r="B10" s="3">
        <v>46</v>
      </c>
      <c r="C10" s="3">
        <v>1</v>
      </c>
      <c r="D10" s="3">
        <v>0</v>
      </c>
      <c r="E10" s="3">
        <v>0</v>
      </c>
      <c r="F10" s="3">
        <v>6</v>
      </c>
      <c r="G10" s="3">
        <v>2</v>
      </c>
      <c r="H10" s="3">
        <v>0</v>
      </c>
    </row>
    <row r="11" spans="1:15" x14ac:dyDescent="0.3">
      <c r="A11" s="3">
        <v>5</v>
      </c>
      <c r="B11" s="3">
        <v>5.6</v>
      </c>
      <c r="C11" s="3">
        <v>0</v>
      </c>
      <c r="D11" s="3">
        <v>1</v>
      </c>
      <c r="E11" s="3">
        <v>0</v>
      </c>
      <c r="F11" s="3">
        <v>30</v>
      </c>
      <c r="G11" s="3">
        <v>2</v>
      </c>
      <c r="H11" s="3">
        <v>0</v>
      </c>
    </row>
    <row r="12" spans="1:15" x14ac:dyDescent="0.3">
      <c r="A12" s="3">
        <v>6</v>
      </c>
      <c r="B12" s="3">
        <v>46</v>
      </c>
      <c r="C12" s="3">
        <v>0</v>
      </c>
      <c r="D12" s="3">
        <v>1</v>
      </c>
      <c r="E12" s="3">
        <v>0</v>
      </c>
      <c r="F12" s="3">
        <v>45</v>
      </c>
      <c r="G12" s="3">
        <v>1</v>
      </c>
      <c r="H12" s="3">
        <v>0</v>
      </c>
    </row>
    <row r="13" spans="1:15" x14ac:dyDescent="0.3">
      <c r="A13" s="3">
        <v>7</v>
      </c>
      <c r="B13" s="3">
        <v>43</v>
      </c>
      <c r="C13" s="3">
        <v>1</v>
      </c>
      <c r="D13" s="3">
        <v>1</v>
      </c>
      <c r="E13" s="3">
        <v>0</v>
      </c>
      <c r="F13" s="3">
        <v>80</v>
      </c>
      <c r="G13" s="3">
        <v>1</v>
      </c>
      <c r="H13" s="3">
        <v>0</v>
      </c>
    </row>
    <row r="14" spans="1:15" x14ac:dyDescent="0.3">
      <c r="A14" s="3">
        <v>8</v>
      </c>
      <c r="B14" s="3">
        <v>38</v>
      </c>
      <c r="C14" s="3">
        <v>0</v>
      </c>
      <c r="D14" s="3">
        <v>0</v>
      </c>
      <c r="E14" s="3">
        <v>0</v>
      </c>
      <c r="F14" s="3">
        <v>50</v>
      </c>
      <c r="G14" s="3">
        <v>1</v>
      </c>
      <c r="H14" s="3">
        <v>0</v>
      </c>
    </row>
    <row r="15" spans="1:15" x14ac:dyDescent="0.3">
      <c r="A15" s="3">
        <v>9</v>
      </c>
      <c r="B15" s="3">
        <v>40</v>
      </c>
      <c r="C15" s="3">
        <v>0</v>
      </c>
      <c r="D15" s="3">
        <v>1</v>
      </c>
      <c r="E15" s="3">
        <v>0</v>
      </c>
      <c r="F15" s="3">
        <v>60</v>
      </c>
      <c r="G15" s="3">
        <v>1</v>
      </c>
      <c r="H15" s="3">
        <v>0</v>
      </c>
    </row>
    <row r="16" spans="1:15" x14ac:dyDescent="0.3">
      <c r="A16" s="3">
        <v>10</v>
      </c>
      <c r="B16" s="3">
        <v>24</v>
      </c>
      <c r="C16" s="3">
        <v>0</v>
      </c>
      <c r="D16" s="3">
        <v>0</v>
      </c>
      <c r="E16" s="3">
        <v>0</v>
      </c>
      <c r="F16" s="3">
        <v>2</v>
      </c>
      <c r="G16" s="3">
        <v>3</v>
      </c>
      <c r="H16" s="3">
        <v>0</v>
      </c>
    </row>
    <row r="17" spans="1:8" x14ac:dyDescent="0.3">
      <c r="A17" s="3">
        <v>11</v>
      </c>
      <c r="B17" s="3">
        <v>24</v>
      </c>
      <c r="C17" s="3">
        <v>0</v>
      </c>
      <c r="D17" s="3">
        <v>1</v>
      </c>
      <c r="E17" s="3">
        <v>0</v>
      </c>
      <c r="F17" s="3">
        <v>6</v>
      </c>
      <c r="G17" s="3">
        <v>1</v>
      </c>
      <c r="H17" s="3">
        <v>0</v>
      </c>
    </row>
    <row r="18" spans="1:8" x14ac:dyDescent="0.3">
      <c r="A18" s="3">
        <v>12</v>
      </c>
      <c r="B18" s="3">
        <v>65</v>
      </c>
      <c r="C18" s="3">
        <v>1</v>
      </c>
      <c r="D18" s="3">
        <v>0</v>
      </c>
      <c r="E18" s="3">
        <v>2</v>
      </c>
      <c r="F18" s="3">
        <v>30</v>
      </c>
      <c r="G18" s="3">
        <v>2</v>
      </c>
      <c r="H18" s="3">
        <v>0</v>
      </c>
    </row>
    <row r="19" spans="1:8" x14ac:dyDescent="0.3">
      <c r="A19" s="3">
        <v>13</v>
      </c>
      <c r="B19" s="3">
        <v>65</v>
      </c>
      <c r="C19" s="3">
        <v>1</v>
      </c>
      <c r="D19" s="3">
        <v>0</v>
      </c>
      <c r="E19" s="3">
        <v>0</v>
      </c>
      <c r="F19" s="3">
        <v>20</v>
      </c>
      <c r="G19" s="3">
        <v>2</v>
      </c>
      <c r="H19" s="3">
        <v>0</v>
      </c>
    </row>
    <row r="20" spans="1:8" x14ac:dyDescent="0.3">
      <c r="A20" s="3">
        <v>14</v>
      </c>
      <c r="B20" s="3">
        <v>42</v>
      </c>
      <c r="C20" s="3">
        <v>0</v>
      </c>
      <c r="D20" s="3">
        <v>1</v>
      </c>
      <c r="E20" s="3">
        <v>0</v>
      </c>
      <c r="F20" s="3">
        <v>7</v>
      </c>
      <c r="G20" s="3">
        <v>1</v>
      </c>
      <c r="H20" s="3">
        <v>1</v>
      </c>
    </row>
    <row r="21" spans="1:8" x14ac:dyDescent="0.3">
      <c r="A21" s="3">
        <v>15</v>
      </c>
      <c r="B21" s="3">
        <v>40</v>
      </c>
      <c r="C21" s="3">
        <v>0</v>
      </c>
      <c r="D21" s="3">
        <v>0</v>
      </c>
      <c r="E21" s="3">
        <v>0</v>
      </c>
      <c r="F21" s="3">
        <v>2</v>
      </c>
      <c r="G21" s="3">
        <v>1</v>
      </c>
      <c r="H21" s="3">
        <v>0</v>
      </c>
    </row>
    <row r="22" spans="1:8" x14ac:dyDescent="0.3">
      <c r="A22" s="3">
        <v>16</v>
      </c>
      <c r="B22" s="3">
        <v>47</v>
      </c>
      <c r="C22" s="3">
        <v>1</v>
      </c>
      <c r="D22" s="3">
        <v>1</v>
      </c>
      <c r="E22" s="3">
        <v>0</v>
      </c>
      <c r="F22" s="3">
        <v>5</v>
      </c>
      <c r="G22" s="3">
        <v>1</v>
      </c>
      <c r="H22" s="3">
        <v>0</v>
      </c>
    </row>
    <row r="23" spans="1:8" x14ac:dyDescent="0.3">
      <c r="A23" s="3">
        <v>17</v>
      </c>
      <c r="B23" s="3">
        <v>24</v>
      </c>
      <c r="C23" s="3">
        <v>1</v>
      </c>
      <c r="D23" s="3">
        <v>1</v>
      </c>
      <c r="E23" s="3">
        <v>0</v>
      </c>
      <c r="F23" s="3">
        <v>9</v>
      </c>
      <c r="G23" s="3">
        <v>1</v>
      </c>
      <c r="H23" s="3">
        <v>0</v>
      </c>
    </row>
    <row r="24" spans="1:8" x14ac:dyDescent="0.3">
      <c r="A24" s="3">
        <v>18</v>
      </c>
      <c r="B24" s="3">
        <v>21</v>
      </c>
      <c r="C24" s="3">
        <v>0</v>
      </c>
      <c r="D24" s="3">
        <v>1</v>
      </c>
      <c r="E24" s="3">
        <v>0</v>
      </c>
      <c r="F24" s="3">
        <v>33</v>
      </c>
      <c r="G24" s="3">
        <v>1</v>
      </c>
      <c r="H24" s="3">
        <v>1</v>
      </c>
    </row>
    <row r="25" spans="1:8" x14ac:dyDescent="0.3">
      <c r="A25" s="3">
        <v>19</v>
      </c>
      <c r="B25" s="3">
        <v>28</v>
      </c>
      <c r="C25" s="3">
        <v>1</v>
      </c>
      <c r="D25" s="3">
        <v>1</v>
      </c>
      <c r="E25" s="3">
        <v>0</v>
      </c>
      <c r="F25" s="3">
        <v>9</v>
      </c>
      <c r="G25" s="3">
        <v>3</v>
      </c>
      <c r="H25" s="3">
        <v>0</v>
      </c>
    </row>
    <row r="26" spans="1:8" x14ac:dyDescent="0.3">
      <c r="A26" s="3">
        <v>20</v>
      </c>
      <c r="B26" s="3">
        <v>60</v>
      </c>
      <c r="C26" s="3">
        <v>0</v>
      </c>
      <c r="D26" s="3">
        <v>1</v>
      </c>
      <c r="E26" s="3">
        <v>0</v>
      </c>
      <c r="F26" s="3">
        <v>12</v>
      </c>
      <c r="G26" s="3">
        <v>1</v>
      </c>
      <c r="H26" s="3">
        <v>0</v>
      </c>
    </row>
    <row r="27" spans="1:8" x14ac:dyDescent="0.3">
      <c r="A27" s="3">
        <v>21</v>
      </c>
      <c r="B27" s="3">
        <v>6</v>
      </c>
      <c r="C27" s="3">
        <v>0</v>
      </c>
      <c r="D27" s="3">
        <v>1</v>
      </c>
      <c r="E27" s="3">
        <v>0</v>
      </c>
      <c r="F27" s="3">
        <v>80</v>
      </c>
      <c r="G27" s="3">
        <v>1</v>
      </c>
      <c r="H27" s="3">
        <v>1</v>
      </c>
    </row>
    <row r="28" spans="1:8" x14ac:dyDescent="0.3">
      <c r="A28" s="3">
        <v>22</v>
      </c>
      <c r="B28" s="3">
        <v>18</v>
      </c>
      <c r="C28" s="3">
        <v>1</v>
      </c>
      <c r="D28" s="3">
        <v>1</v>
      </c>
      <c r="E28" s="3">
        <v>0</v>
      </c>
      <c r="F28" s="3">
        <v>20</v>
      </c>
      <c r="G28" s="3">
        <v>1</v>
      </c>
      <c r="H28" s="3">
        <v>0</v>
      </c>
    </row>
    <row r="29" spans="1:8" x14ac:dyDescent="0.3">
      <c r="A29" s="3">
        <v>23</v>
      </c>
      <c r="B29" s="3">
        <v>24</v>
      </c>
      <c r="C29" s="3">
        <v>1</v>
      </c>
      <c r="D29" s="3">
        <v>0</v>
      </c>
      <c r="E29" s="3">
        <v>0</v>
      </c>
      <c r="F29" s="3">
        <v>40</v>
      </c>
      <c r="G29" s="3">
        <v>2</v>
      </c>
      <c r="H29" s="3">
        <v>0</v>
      </c>
    </row>
    <row r="30" spans="1:8" x14ac:dyDescent="0.3">
      <c r="A30" s="3">
        <v>24</v>
      </c>
      <c r="B30" s="3">
        <v>12</v>
      </c>
      <c r="C30" s="3">
        <v>1</v>
      </c>
      <c r="D30" s="3">
        <v>1</v>
      </c>
      <c r="E30" s="3">
        <v>0</v>
      </c>
      <c r="F30" s="3">
        <v>35</v>
      </c>
      <c r="G30" s="3">
        <v>1</v>
      </c>
      <c r="H30" s="3">
        <v>0</v>
      </c>
    </row>
    <row r="31" spans="1:8" x14ac:dyDescent="0.3">
      <c r="A31" s="3">
        <v>25</v>
      </c>
      <c r="B31" s="3">
        <v>10</v>
      </c>
      <c r="C31" s="3">
        <v>1</v>
      </c>
      <c r="D31" s="3">
        <v>0</v>
      </c>
      <c r="E31" s="3">
        <v>0</v>
      </c>
      <c r="F31" s="3">
        <v>25</v>
      </c>
      <c r="G31" s="3">
        <v>1</v>
      </c>
      <c r="H31" s="3">
        <v>0</v>
      </c>
    </row>
    <row r="32" spans="1:8" x14ac:dyDescent="0.3">
      <c r="A32" s="3">
        <v>26</v>
      </c>
      <c r="B32" s="3">
        <v>53</v>
      </c>
      <c r="C32" s="3">
        <v>0</v>
      </c>
      <c r="D32" s="3">
        <v>0</v>
      </c>
      <c r="E32" s="3">
        <v>0</v>
      </c>
      <c r="F32" s="3">
        <v>27</v>
      </c>
      <c r="G32" s="3">
        <v>2</v>
      </c>
      <c r="H32" s="3">
        <v>0</v>
      </c>
    </row>
    <row r="33" spans="1:8" x14ac:dyDescent="0.3">
      <c r="A33" s="3">
        <v>27</v>
      </c>
      <c r="B33" s="3">
        <v>23</v>
      </c>
      <c r="C33" s="3">
        <v>1</v>
      </c>
      <c r="D33" s="3">
        <v>1</v>
      </c>
      <c r="E33" s="3">
        <v>0</v>
      </c>
      <c r="F33" s="3">
        <v>5</v>
      </c>
      <c r="G33" s="3">
        <v>1</v>
      </c>
      <c r="H33" s="3">
        <v>1</v>
      </c>
    </row>
    <row r="34" spans="1:8" x14ac:dyDescent="0.3">
      <c r="A34" s="3">
        <v>28</v>
      </c>
      <c r="B34" s="3">
        <v>7</v>
      </c>
      <c r="C34" s="3">
        <v>0</v>
      </c>
      <c r="D34" s="3">
        <v>1</v>
      </c>
      <c r="E34" s="3">
        <v>0</v>
      </c>
      <c r="F34" s="3">
        <v>10</v>
      </c>
      <c r="G34" s="3">
        <v>1</v>
      </c>
      <c r="H34" s="3">
        <v>1</v>
      </c>
    </row>
    <row r="35" spans="1:8" x14ac:dyDescent="0.3">
      <c r="A35" s="3">
        <v>29</v>
      </c>
      <c r="B35" s="3">
        <v>3</v>
      </c>
      <c r="C35" s="3">
        <v>1</v>
      </c>
      <c r="D35" s="3">
        <v>0</v>
      </c>
      <c r="E35" s="3">
        <v>0</v>
      </c>
      <c r="F35" s="3">
        <v>10</v>
      </c>
      <c r="G35" s="3">
        <v>3</v>
      </c>
      <c r="H35" s="3">
        <v>0</v>
      </c>
    </row>
    <row r="36" spans="1:8" x14ac:dyDescent="0.3">
      <c r="A36" s="3">
        <v>30</v>
      </c>
      <c r="B36" s="3">
        <v>3</v>
      </c>
      <c r="C36" s="3">
        <v>0</v>
      </c>
      <c r="D36" s="3">
        <v>1</v>
      </c>
      <c r="E36" s="3">
        <v>0</v>
      </c>
      <c r="F36" s="3">
        <v>10</v>
      </c>
      <c r="G36" s="3">
        <v>1</v>
      </c>
      <c r="H36" s="3">
        <v>1</v>
      </c>
    </row>
    <row r="37" spans="1:8" x14ac:dyDescent="0.3">
      <c r="A37" s="3">
        <v>31</v>
      </c>
      <c r="B37" s="3">
        <v>19</v>
      </c>
      <c r="C37" s="3">
        <v>0</v>
      </c>
      <c r="D37" s="3">
        <v>0</v>
      </c>
      <c r="E37" s="3">
        <v>0</v>
      </c>
      <c r="F37" s="3">
        <v>25</v>
      </c>
      <c r="G37" s="3">
        <v>2</v>
      </c>
      <c r="H37" s="3">
        <v>0</v>
      </c>
    </row>
    <row r="38" spans="1:8" x14ac:dyDescent="0.3">
      <c r="A38" s="3">
        <v>32</v>
      </c>
      <c r="B38" s="3">
        <v>55</v>
      </c>
      <c r="C38" s="3">
        <v>0</v>
      </c>
      <c r="D38" s="3">
        <v>1</v>
      </c>
      <c r="E38" s="3">
        <v>0</v>
      </c>
      <c r="F38" s="3">
        <v>27</v>
      </c>
      <c r="G38" s="3">
        <v>1</v>
      </c>
      <c r="H38" s="3">
        <v>0</v>
      </c>
    </row>
    <row r="39" spans="1:8" x14ac:dyDescent="0.3">
      <c r="A39" s="3">
        <v>33</v>
      </c>
      <c r="B39" s="3">
        <v>3.5</v>
      </c>
      <c r="C39" s="3">
        <v>1</v>
      </c>
      <c r="D39" s="3">
        <v>0</v>
      </c>
      <c r="E39" s="3">
        <v>0</v>
      </c>
      <c r="F39" s="3">
        <v>10</v>
      </c>
      <c r="G39" s="3">
        <v>3</v>
      </c>
      <c r="H39" s="3">
        <v>0</v>
      </c>
    </row>
    <row r="40" spans="1:8" x14ac:dyDescent="0.3">
      <c r="A40" s="3">
        <v>34</v>
      </c>
      <c r="B40" s="3">
        <v>31</v>
      </c>
      <c r="C40" s="3">
        <v>0</v>
      </c>
      <c r="D40" s="3">
        <v>1</v>
      </c>
      <c r="E40" s="3">
        <v>0</v>
      </c>
      <c r="F40" s="3">
        <v>27</v>
      </c>
      <c r="G40" s="3">
        <v>1</v>
      </c>
      <c r="H40" s="3">
        <v>0</v>
      </c>
    </row>
    <row r="41" spans="1:8" x14ac:dyDescent="0.3">
      <c r="A41" s="3">
        <v>35</v>
      </c>
      <c r="B41" s="3">
        <v>59</v>
      </c>
      <c r="C41" s="3">
        <v>0</v>
      </c>
      <c r="D41" s="3">
        <v>1</v>
      </c>
      <c r="E41" s="3">
        <v>0</v>
      </c>
      <c r="F41" s="3">
        <v>2</v>
      </c>
      <c r="G41" s="3">
        <v>1</v>
      </c>
      <c r="H41" s="3">
        <v>0</v>
      </c>
    </row>
    <row r="42" spans="1:8" x14ac:dyDescent="0.3">
      <c r="A42" s="3">
        <v>36</v>
      </c>
      <c r="B42" s="3">
        <v>18</v>
      </c>
      <c r="C42" s="3">
        <v>0</v>
      </c>
      <c r="D42" s="3">
        <v>1</v>
      </c>
      <c r="E42" s="3">
        <v>0</v>
      </c>
      <c r="F42" s="3">
        <v>15</v>
      </c>
      <c r="G42" s="3">
        <v>1</v>
      </c>
      <c r="H42" s="3">
        <v>1</v>
      </c>
    </row>
    <row r="43" spans="1:8" x14ac:dyDescent="0.3">
      <c r="A43" s="3">
        <v>37</v>
      </c>
      <c r="B43" s="3">
        <v>11</v>
      </c>
      <c r="C43" s="3">
        <v>1</v>
      </c>
      <c r="D43" s="3">
        <v>1</v>
      </c>
      <c r="E43" s="3">
        <v>2</v>
      </c>
      <c r="F43" s="3">
        <v>3</v>
      </c>
      <c r="G43" s="3">
        <v>1</v>
      </c>
      <c r="H43" s="3">
        <v>1</v>
      </c>
    </row>
    <row r="44" spans="1:8" x14ac:dyDescent="0.3">
      <c r="A44" s="3">
        <v>38</v>
      </c>
      <c r="B44" s="3">
        <v>53</v>
      </c>
      <c r="C44" s="3">
        <v>1</v>
      </c>
      <c r="D44" s="3">
        <v>1</v>
      </c>
      <c r="E44" s="3">
        <v>0</v>
      </c>
      <c r="F44" s="3">
        <v>95</v>
      </c>
      <c r="G44" s="3">
        <v>1</v>
      </c>
      <c r="H44" s="3">
        <v>1</v>
      </c>
    </row>
    <row r="45" spans="1:8" x14ac:dyDescent="0.3">
      <c r="A45" s="3">
        <v>39</v>
      </c>
      <c r="B45" s="3">
        <v>5</v>
      </c>
      <c r="C45" s="3">
        <v>1</v>
      </c>
      <c r="D45" s="3">
        <v>1</v>
      </c>
      <c r="E45" s="3">
        <v>0</v>
      </c>
      <c r="F45" s="3">
        <v>95</v>
      </c>
      <c r="G45" s="3">
        <v>1</v>
      </c>
      <c r="H45" s="3">
        <v>1</v>
      </c>
    </row>
    <row r="46" spans="1:8" x14ac:dyDescent="0.3">
      <c r="A46" s="3">
        <v>40</v>
      </c>
      <c r="B46" s="3">
        <v>68</v>
      </c>
      <c r="C46" s="3">
        <v>1</v>
      </c>
      <c r="D46" s="3">
        <v>1</v>
      </c>
      <c r="E46" s="3">
        <v>0</v>
      </c>
      <c r="F46" s="3">
        <v>15</v>
      </c>
      <c r="G46" s="3">
        <v>1</v>
      </c>
      <c r="H46" s="3">
        <v>0</v>
      </c>
    </row>
    <row r="47" spans="1:8" x14ac:dyDescent="0.3">
      <c r="A47" s="3">
        <v>41</v>
      </c>
      <c r="B47" s="3">
        <v>5</v>
      </c>
      <c r="C47" s="3">
        <v>0</v>
      </c>
      <c r="D47" s="3">
        <v>1</v>
      </c>
      <c r="E47" s="3">
        <v>0</v>
      </c>
      <c r="F47" s="3">
        <v>45</v>
      </c>
      <c r="G47" s="3">
        <v>1</v>
      </c>
      <c r="H47" s="3">
        <v>1</v>
      </c>
    </row>
    <row r="48" spans="1:8" x14ac:dyDescent="0.3">
      <c r="A48" s="3">
        <v>42</v>
      </c>
      <c r="B48" s="3">
        <v>69</v>
      </c>
      <c r="C48" s="3">
        <v>1</v>
      </c>
      <c r="D48" s="3">
        <v>1</v>
      </c>
      <c r="E48" s="3">
        <v>0</v>
      </c>
      <c r="F48" s="3">
        <v>20</v>
      </c>
      <c r="G48" s="3">
        <v>1</v>
      </c>
      <c r="H48" s="3">
        <v>0</v>
      </c>
    </row>
    <row r="49" spans="1:8" x14ac:dyDescent="0.3">
      <c r="A49" s="3">
        <v>43</v>
      </c>
      <c r="B49" s="3">
        <v>18</v>
      </c>
      <c r="C49" s="3">
        <v>0</v>
      </c>
      <c r="D49" s="3">
        <v>1</v>
      </c>
      <c r="E49" s="3">
        <v>0</v>
      </c>
      <c r="F49" s="3">
        <v>50</v>
      </c>
      <c r="G49" s="3">
        <v>1</v>
      </c>
      <c r="H49" s="3">
        <v>1</v>
      </c>
    </row>
    <row r="50" spans="1:8" x14ac:dyDescent="0.3">
      <c r="A50" s="3">
        <v>44</v>
      </c>
      <c r="B50" s="3">
        <v>51</v>
      </c>
      <c r="C50" s="3">
        <v>0</v>
      </c>
      <c r="D50" s="3">
        <v>1</v>
      </c>
      <c r="E50" s="3">
        <v>0</v>
      </c>
      <c r="F50" s="3">
        <v>10</v>
      </c>
      <c r="G50" s="3">
        <v>1</v>
      </c>
      <c r="H50" s="3">
        <v>0</v>
      </c>
    </row>
    <row r="51" spans="1:8" x14ac:dyDescent="0.3">
      <c r="A51" s="3">
        <v>45</v>
      </c>
      <c r="B51" s="3">
        <v>33</v>
      </c>
      <c r="C51" s="3">
        <v>0</v>
      </c>
      <c r="D51" s="3">
        <v>1</v>
      </c>
      <c r="E51" s="3">
        <v>0</v>
      </c>
      <c r="F51" s="3">
        <v>20</v>
      </c>
      <c r="G51" s="3">
        <v>1</v>
      </c>
      <c r="H51" s="3">
        <v>0</v>
      </c>
    </row>
    <row r="52" spans="1:8" x14ac:dyDescent="0.3">
      <c r="A52" s="3">
        <v>46</v>
      </c>
      <c r="B52" s="3">
        <v>22</v>
      </c>
      <c r="C52" s="3">
        <v>0</v>
      </c>
      <c r="D52" s="3">
        <v>0</v>
      </c>
      <c r="E52" s="3">
        <v>0</v>
      </c>
      <c r="F52" s="3">
        <v>20</v>
      </c>
      <c r="G52" s="3">
        <v>1</v>
      </c>
      <c r="H52" s="3">
        <v>1</v>
      </c>
    </row>
    <row r="53" spans="1:8" x14ac:dyDescent="0.3">
      <c r="A53" s="3">
        <v>47</v>
      </c>
      <c r="B53" s="3">
        <v>40</v>
      </c>
      <c r="C53" s="3">
        <v>0</v>
      </c>
      <c r="D53" s="3">
        <v>1</v>
      </c>
      <c r="E53" s="3">
        <v>0</v>
      </c>
      <c r="F53" s="3">
        <v>6</v>
      </c>
      <c r="G53" s="3">
        <v>1</v>
      </c>
      <c r="H53" s="3">
        <v>0</v>
      </c>
    </row>
    <row r="54" spans="1:8" x14ac:dyDescent="0.3">
      <c r="A54" s="3">
        <v>48</v>
      </c>
      <c r="B54" s="3">
        <v>37</v>
      </c>
      <c r="C54" s="3">
        <v>1</v>
      </c>
      <c r="D54" s="3">
        <v>1</v>
      </c>
      <c r="E54" s="3">
        <v>0</v>
      </c>
      <c r="F54" s="3">
        <v>30</v>
      </c>
      <c r="G54" s="3">
        <v>1</v>
      </c>
      <c r="H54" s="3">
        <v>0</v>
      </c>
    </row>
    <row r="55" spans="1:8" x14ac:dyDescent="0.3">
      <c r="A55" s="3">
        <v>49</v>
      </c>
      <c r="B55" s="3">
        <v>68</v>
      </c>
      <c r="C55" s="3">
        <v>1</v>
      </c>
      <c r="D55" s="3">
        <v>0</v>
      </c>
      <c r="E55" s="3">
        <v>0</v>
      </c>
      <c r="F55" s="3">
        <v>2</v>
      </c>
      <c r="G55" s="3">
        <v>1</v>
      </c>
      <c r="H55" s="3">
        <v>0</v>
      </c>
    </row>
    <row r="56" spans="1:8" x14ac:dyDescent="0.3">
      <c r="A56" s="3">
        <v>50</v>
      </c>
      <c r="B56" s="3">
        <v>15</v>
      </c>
      <c r="C56" s="3">
        <v>1</v>
      </c>
      <c r="D56" s="3">
        <v>0</v>
      </c>
      <c r="E56" s="3">
        <v>0</v>
      </c>
      <c r="F56" s="3">
        <v>17</v>
      </c>
      <c r="G56" s="3">
        <v>3</v>
      </c>
      <c r="H56" s="3">
        <v>0</v>
      </c>
    </row>
    <row r="57" spans="1:8" x14ac:dyDescent="0.3">
      <c r="A57" s="3">
        <v>51</v>
      </c>
      <c r="B57" s="3">
        <v>16</v>
      </c>
      <c r="C57" s="3">
        <v>0</v>
      </c>
      <c r="D57" s="3">
        <v>1</v>
      </c>
      <c r="E57" s="3">
        <v>0</v>
      </c>
      <c r="F57" s="3">
        <v>20</v>
      </c>
      <c r="G57" s="3">
        <v>1</v>
      </c>
      <c r="H57" s="3">
        <v>0</v>
      </c>
    </row>
    <row r="58" spans="1:8" x14ac:dyDescent="0.3">
      <c r="A58" s="3">
        <v>52</v>
      </c>
      <c r="B58" s="3">
        <v>11</v>
      </c>
      <c r="C58" s="3">
        <v>1</v>
      </c>
      <c r="D58" s="3">
        <v>1</v>
      </c>
      <c r="E58" s="3">
        <v>0</v>
      </c>
      <c r="F58" s="3">
        <v>12</v>
      </c>
      <c r="G58" s="3">
        <v>1</v>
      </c>
      <c r="H58" s="3">
        <v>1</v>
      </c>
    </row>
    <row r="59" spans="1:8" x14ac:dyDescent="0.3">
      <c r="A59" s="3">
        <v>53</v>
      </c>
      <c r="B59" s="3">
        <v>75</v>
      </c>
      <c r="C59" s="3">
        <v>1</v>
      </c>
      <c r="D59" s="3">
        <v>0</v>
      </c>
      <c r="E59" s="3">
        <v>0</v>
      </c>
      <c r="F59" s="3">
        <v>3</v>
      </c>
      <c r="G59" s="3">
        <v>3</v>
      </c>
      <c r="H59" s="3">
        <v>0</v>
      </c>
    </row>
    <row r="60" spans="1:8" x14ac:dyDescent="0.3">
      <c r="A60" s="3">
        <v>54</v>
      </c>
      <c r="B60" s="3">
        <v>60</v>
      </c>
      <c r="C60" s="3">
        <v>0</v>
      </c>
      <c r="D60" s="3">
        <v>0</v>
      </c>
      <c r="E60" s="3">
        <v>0</v>
      </c>
      <c r="F60" s="3">
        <v>6</v>
      </c>
      <c r="G60" s="3">
        <v>2</v>
      </c>
      <c r="H60" s="3">
        <v>0</v>
      </c>
    </row>
    <row r="61" spans="1:8" x14ac:dyDescent="0.3">
      <c r="A61" s="3">
        <v>55</v>
      </c>
      <c r="B61" s="3">
        <v>33</v>
      </c>
      <c r="C61" s="3">
        <v>0</v>
      </c>
      <c r="D61" s="3">
        <v>1</v>
      </c>
      <c r="E61" s="3">
        <v>0</v>
      </c>
      <c r="F61" s="3">
        <v>5</v>
      </c>
      <c r="G61" s="3">
        <v>1</v>
      </c>
      <c r="H61" s="3">
        <v>0</v>
      </c>
    </row>
    <row r="62" spans="1:8" x14ac:dyDescent="0.3">
      <c r="A62" s="3">
        <v>56</v>
      </c>
      <c r="B62" s="3">
        <v>13</v>
      </c>
      <c r="C62" s="3">
        <v>0</v>
      </c>
      <c r="D62" s="3">
        <v>0</v>
      </c>
      <c r="E62" s="3">
        <v>0</v>
      </c>
      <c r="F62" s="3">
        <v>2</v>
      </c>
      <c r="G62" s="3">
        <v>3</v>
      </c>
      <c r="H62" s="3">
        <v>0</v>
      </c>
    </row>
    <row r="63" spans="1:8" x14ac:dyDescent="0.3">
      <c r="A63" s="3">
        <v>57</v>
      </c>
      <c r="B63" s="3">
        <v>3</v>
      </c>
      <c r="C63" s="3">
        <v>0</v>
      </c>
      <c r="D63" s="3">
        <v>1</v>
      </c>
      <c r="E63" s="3">
        <v>0</v>
      </c>
      <c r="F63" s="3">
        <v>90</v>
      </c>
      <c r="G63" s="3">
        <v>1</v>
      </c>
      <c r="H63" s="3">
        <v>1</v>
      </c>
    </row>
    <row r="64" spans="1:8" x14ac:dyDescent="0.3">
      <c r="A64" s="3">
        <v>58</v>
      </c>
      <c r="B64" s="3">
        <v>12</v>
      </c>
      <c r="C64" s="3">
        <v>1</v>
      </c>
      <c r="D64" s="3">
        <v>1</v>
      </c>
      <c r="E64" s="3">
        <v>0</v>
      </c>
      <c r="F64" s="3">
        <v>31</v>
      </c>
      <c r="G64" s="3">
        <v>1</v>
      </c>
      <c r="H64" s="3">
        <v>1</v>
      </c>
    </row>
    <row r="65" spans="1:8" x14ac:dyDescent="0.3">
      <c r="A65" s="3">
        <v>59</v>
      </c>
      <c r="B65" s="3">
        <v>9</v>
      </c>
      <c r="C65" s="3">
        <v>1</v>
      </c>
      <c r="D65" s="3">
        <v>1</v>
      </c>
      <c r="E65" s="3">
        <v>0</v>
      </c>
      <c r="F65" s="3">
        <v>35</v>
      </c>
      <c r="G65" s="3">
        <v>1</v>
      </c>
      <c r="H65" s="3">
        <v>1</v>
      </c>
    </row>
    <row r="66" spans="1:8" x14ac:dyDescent="0.3">
      <c r="A66" s="3">
        <v>60</v>
      </c>
      <c r="B66" s="3">
        <v>5</v>
      </c>
      <c r="C66" s="3">
        <v>1</v>
      </c>
      <c r="D66" s="3">
        <v>0</v>
      </c>
      <c r="E66" s="3">
        <v>0</v>
      </c>
      <c r="F66" s="3">
        <v>8</v>
      </c>
      <c r="G66" s="3">
        <v>3</v>
      </c>
      <c r="H66" s="3">
        <v>0</v>
      </c>
    </row>
    <row r="67" spans="1:8" x14ac:dyDescent="0.3">
      <c r="A67" s="3">
        <v>61</v>
      </c>
      <c r="B67" s="3">
        <v>54</v>
      </c>
      <c r="C67" s="3">
        <v>0</v>
      </c>
      <c r="D67" s="3">
        <v>0</v>
      </c>
      <c r="E67" s="3">
        <v>0</v>
      </c>
      <c r="F67" s="3">
        <v>45</v>
      </c>
      <c r="G67" s="3">
        <v>2</v>
      </c>
      <c r="H67" s="3">
        <v>0</v>
      </c>
    </row>
    <row r="68" spans="1:8" x14ac:dyDescent="0.3">
      <c r="A68" s="3">
        <v>62</v>
      </c>
      <c r="B68" s="3">
        <v>11</v>
      </c>
      <c r="C68" s="3">
        <v>1</v>
      </c>
      <c r="D68" s="3">
        <v>0</v>
      </c>
      <c r="E68" s="3">
        <v>0</v>
      </c>
      <c r="F68" s="3">
        <v>8</v>
      </c>
      <c r="G68" s="3">
        <v>1</v>
      </c>
      <c r="H68" s="3">
        <v>1</v>
      </c>
    </row>
    <row r="69" spans="1:8" x14ac:dyDescent="0.3">
      <c r="A69" s="3">
        <v>63</v>
      </c>
      <c r="B69" s="3">
        <v>5</v>
      </c>
      <c r="C69" s="3">
        <v>0</v>
      </c>
      <c r="D69" s="3">
        <v>0</v>
      </c>
      <c r="E69" s="3">
        <v>0</v>
      </c>
      <c r="F69" s="3">
        <v>1</v>
      </c>
      <c r="G69" s="3">
        <v>3</v>
      </c>
      <c r="H69" s="3">
        <v>0</v>
      </c>
    </row>
    <row r="70" spans="1:8" x14ac:dyDescent="0.3">
      <c r="A70" s="3">
        <v>64</v>
      </c>
      <c r="B70" s="3">
        <v>75</v>
      </c>
      <c r="C70" s="3">
        <v>1</v>
      </c>
      <c r="D70" s="3">
        <v>1</v>
      </c>
      <c r="E70" s="3">
        <v>0</v>
      </c>
      <c r="F70" s="3">
        <v>50</v>
      </c>
      <c r="G70" s="3">
        <v>1</v>
      </c>
      <c r="H70" s="3">
        <v>1</v>
      </c>
    </row>
    <row r="71" spans="1:8" x14ac:dyDescent="0.3">
      <c r="A71" s="3">
        <v>65</v>
      </c>
      <c r="B71" s="3">
        <v>5</v>
      </c>
      <c r="C71" s="3">
        <v>0</v>
      </c>
      <c r="D71" s="3">
        <v>1</v>
      </c>
      <c r="E71" s="3">
        <v>0</v>
      </c>
      <c r="F71" s="3">
        <v>15</v>
      </c>
      <c r="G71" s="3">
        <v>1</v>
      </c>
      <c r="H71" s="3">
        <v>0</v>
      </c>
    </row>
    <row r="72" spans="1:8" x14ac:dyDescent="0.3">
      <c r="A72" s="3">
        <v>66</v>
      </c>
      <c r="B72" s="3">
        <v>2</v>
      </c>
      <c r="C72" s="3">
        <v>1</v>
      </c>
      <c r="D72" s="3">
        <v>1</v>
      </c>
      <c r="E72" s="3">
        <v>0</v>
      </c>
      <c r="F72" s="3">
        <v>31</v>
      </c>
      <c r="G72" s="3">
        <v>1</v>
      </c>
      <c r="H72" s="3">
        <v>1</v>
      </c>
    </row>
    <row r="73" spans="1:8" x14ac:dyDescent="0.3">
      <c r="A73" s="3">
        <v>67</v>
      </c>
      <c r="B73" s="3">
        <v>70</v>
      </c>
      <c r="C73" s="3">
        <v>0</v>
      </c>
      <c r="D73" s="3">
        <v>1</v>
      </c>
      <c r="E73" s="3">
        <v>0</v>
      </c>
      <c r="F73" s="3">
        <v>39</v>
      </c>
      <c r="G73" s="3">
        <v>1</v>
      </c>
      <c r="H73" s="3">
        <v>1</v>
      </c>
    </row>
    <row r="74" spans="1:8" x14ac:dyDescent="0.3">
      <c r="A74" s="3">
        <v>68</v>
      </c>
      <c r="B74" s="3">
        <v>73</v>
      </c>
      <c r="C74" s="3">
        <v>1</v>
      </c>
      <c r="D74" s="3">
        <v>0</v>
      </c>
      <c r="E74" s="3">
        <v>0</v>
      </c>
      <c r="F74" s="3">
        <v>5</v>
      </c>
      <c r="G74" s="3">
        <v>2</v>
      </c>
      <c r="H74" s="3">
        <v>0</v>
      </c>
    </row>
    <row r="75" spans="1:8" x14ac:dyDescent="0.3">
      <c r="A75" s="3">
        <v>69</v>
      </c>
      <c r="B75" s="3">
        <v>75</v>
      </c>
      <c r="C75" s="3">
        <v>0</v>
      </c>
      <c r="D75" s="3">
        <v>0</v>
      </c>
      <c r="E75" s="3">
        <v>0</v>
      </c>
      <c r="F75" s="3">
        <v>1</v>
      </c>
      <c r="G75" s="3">
        <v>2</v>
      </c>
      <c r="H75" s="3">
        <v>0</v>
      </c>
    </row>
    <row r="76" spans="1:8" x14ac:dyDescent="0.3">
      <c r="A76" s="3">
        <v>70</v>
      </c>
      <c r="B76" s="3">
        <v>97</v>
      </c>
      <c r="C76" s="3">
        <v>0</v>
      </c>
      <c r="D76" s="3">
        <v>0</v>
      </c>
      <c r="E76" s="3">
        <v>0</v>
      </c>
      <c r="F76" s="3">
        <v>10</v>
      </c>
      <c r="G76" s="3">
        <v>2</v>
      </c>
      <c r="H76" s="3">
        <v>0</v>
      </c>
    </row>
    <row r="77" spans="1:8" x14ac:dyDescent="0.3">
      <c r="A77" s="3">
        <v>71</v>
      </c>
      <c r="B77" s="3">
        <v>7.6</v>
      </c>
      <c r="C77" s="3">
        <v>0</v>
      </c>
      <c r="D77" s="3">
        <v>0</v>
      </c>
      <c r="E77" s="3">
        <v>0</v>
      </c>
      <c r="F77" s="3">
        <v>18</v>
      </c>
      <c r="G77" s="3">
        <v>1</v>
      </c>
      <c r="H77" s="3">
        <v>0</v>
      </c>
    </row>
    <row r="78" spans="1:8" x14ac:dyDescent="0.3">
      <c r="A78" s="3">
        <v>72</v>
      </c>
      <c r="B78" s="3">
        <v>61</v>
      </c>
      <c r="C78" s="3">
        <v>0</v>
      </c>
      <c r="D78" s="3">
        <v>0</v>
      </c>
      <c r="E78" s="3">
        <v>0</v>
      </c>
      <c r="F78" s="3">
        <v>17</v>
      </c>
      <c r="G78" s="3">
        <v>2</v>
      </c>
      <c r="H78" s="3">
        <v>0</v>
      </c>
    </row>
    <row r="79" spans="1:8" x14ac:dyDescent="0.3">
      <c r="A79" s="3">
        <v>73</v>
      </c>
      <c r="B79" s="3">
        <v>1.7</v>
      </c>
      <c r="C79" s="3">
        <v>1</v>
      </c>
      <c r="D79" s="3">
        <v>1</v>
      </c>
      <c r="E79" s="3">
        <v>0</v>
      </c>
      <c r="F79" s="3">
        <v>90</v>
      </c>
      <c r="G79" s="3">
        <v>1</v>
      </c>
      <c r="H79" s="3">
        <v>1</v>
      </c>
    </row>
    <row r="80" spans="1:8" x14ac:dyDescent="0.3">
      <c r="A80" s="3">
        <v>74</v>
      </c>
      <c r="B80" s="3">
        <v>47</v>
      </c>
      <c r="C80" s="3">
        <v>0</v>
      </c>
      <c r="D80" s="3">
        <v>0</v>
      </c>
      <c r="E80" s="3">
        <v>0</v>
      </c>
      <c r="F80" s="3">
        <v>20</v>
      </c>
      <c r="G80" s="3">
        <v>2</v>
      </c>
      <c r="H80" s="3">
        <v>0</v>
      </c>
    </row>
    <row r="81" spans="1:8" x14ac:dyDescent="0.3">
      <c r="A81" s="3">
        <v>75</v>
      </c>
      <c r="B81" s="3">
        <v>5</v>
      </c>
      <c r="C81" s="3">
        <v>0</v>
      </c>
      <c r="D81" s="3">
        <v>0</v>
      </c>
      <c r="E81" s="3">
        <v>0</v>
      </c>
      <c r="F81" s="3">
        <v>6</v>
      </c>
      <c r="G81" s="3">
        <v>1</v>
      </c>
      <c r="H81" s="3">
        <v>0</v>
      </c>
    </row>
    <row r="82" spans="1:8" x14ac:dyDescent="0.3">
      <c r="A82" s="3">
        <v>76</v>
      </c>
      <c r="B82" s="3">
        <v>56</v>
      </c>
      <c r="C82" s="3">
        <v>0</v>
      </c>
      <c r="D82" s="3">
        <v>0</v>
      </c>
      <c r="E82" s="3">
        <v>0</v>
      </c>
      <c r="F82" s="3">
        <v>40</v>
      </c>
      <c r="G82" s="3">
        <v>2</v>
      </c>
      <c r="H82" s="3">
        <v>0</v>
      </c>
    </row>
    <row r="83" spans="1:8" x14ac:dyDescent="0.3">
      <c r="A83" s="3">
        <v>77</v>
      </c>
      <c r="B83" s="3">
        <v>52</v>
      </c>
      <c r="C83" s="3">
        <v>1</v>
      </c>
      <c r="D83" s="3">
        <v>0</v>
      </c>
      <c r="E83" s="3">
        <v>0</v>
      </c>
      <c r="F83" s="3">
        <v>30</v>
      </c>
      <c r="G83" s="3">
        <v>2</v>
      </c>
      <c r="H83" s="3">
        <v>0</v>
      </c>
    </row>
    <row r="84" spans="1:8" x14ac:dyDescent="0.3">
      <c r="A84" s="3">
        <v>78</v>
      </c>
      <c r="B84" s="3">
        <v>71</v>
      </c>
      <c r="C84" s="3">
        <v>0</v>
      </c>
      <c r="D84" s="3">
        <v>0</v>
      </c>
      <c r="E84" s="3">
        <v>0</v>
      </c>
      <c r="F84" s="3">
        <v>7</v>
      </c>
      <c r="G84" s="3">
        <v>2</v>
      </c>
      <c r="H84" s="3">
        <v>0</v>
      </c>
    </row>
    <row r="85" spans="1:8" x14ac:dyDescent="0.3">
      <c r="A85" s="3">
        <v>79</v>
      </c>
      <c r="B85" s="3">
        <v>46</v>
      </c>
      <c r="C85" s="3">
        <v>0</v>
      </c>
      <c r="D85" s="3">
        <v>0</v>
      </c>
      <c r="E85" s="3">
        <v>0</v>
      </c>
      <c r="F85" s="3">
        <v>14</v>
      </c>
      <c r="G85" s="3">
        <v>3</v>
      </c>
      <c r="H85" s="3">
        <v>0</v>
      </c>
    </row>
    <row r="86" spans="1:8" x14ac:dyDescent="0.3">
      <c r="A86" s="3">
        <v>80</v>
      </c>
      <c r="B86" s="3">
        <v>4</v>
      </c>
      <c r="C86" s="3">
        <v>1</v>
      </c>
      <c r="D86" s="3">
        <v>0</v>
      </c>
      <c r="E86" s="3">
        <v>0</v>
      </c>
      <c r="F86" s="3">
        <v>15</v>
      </c>
      <c r="G86" s="3">
        <v>2</v>
      </c>
      <c r="H86" s="3">
        <v>0</v>
      </c>
    </row>
    <row r="87" spans="1:8" x14ac:dyDescent="0.3">
      <c r="A87" s="3">
        <v>81</v>
      </c>
      <c r="B87" s="3">
        <v>46</v>
      </c>
      <c r="C87" s="3">
        <v>0</v>
      </c>
      <c r="D87" s="3">
        <v>0</v>
      </c>
      <c r="E87" s="3">
        <v>0</v>
      </c>
      <c r="F87" s="3">
        <v>4</v>
      </c>
      <c r="G87" s="3">
        <v>4</v>
      </c>
      <c r="H87" s="3">
        <v>0</v>
      </c>
    </row>
    <row r="88" spans="1:8" x14ac:dyDescent="0.3">
      <c r="A88" s="3">
        <v>82</v>
      </c>
      <c r="B88" s="3">
        <v>0.9</v>
      </c>
      <c r="C88" s="3">
        <v>0</v>
      </c>
      <c r="D88" s="3">
        <v>0</v>
      </c>
      <c r="E88" s="3">
        <v>0</v>
      </c>
      <c r="F88" s="3">
        <v>10</v>
      </c>
      <c r="G88" s="3">
        <v>3</v>
      </c>
      <c r="H88" s="3">
        <v>0</v>
      </c>
    </row>
    <row r="89" spans="1:8" x14ac:dyDescent="0.3">
      <c r="A89" s="3">
        <v>83</v>
      </c>
      <c r="B89" s="3">
        <v>46</v>
      </c>
      <c r="C89" s="3">
        <v>1</v>
      </c>
      <c r="D89" s="3">
        <v>0</v>
      </c>
      <c r="E89" s="3">
        <v>0</v>
      </c>
      <c r="F89" s="3">
        <v>10</v>
      </c>
      <c r="G89" s="3">
        <v>3</v>
      </c>
      <c r="H89" s="3">
        <v>0</v>
      </c>
    </row>
    <row r="90" spans="1:8" x14ac:dyDescent="0.3">
      <c r="A90" s="3">
        <v>84</v>
      </c>
      <c r="B90" s="3">
        <v>47</v>
      </c>
      <c r="C90" s="3">
        <v>1</v>
      </c>
      <c r="D90" s="3">
        <v>1</v>
      </c>
      <c r="E90" s="3">
        <v>0</v>
      </c>
      <c r="F90" s="3">
        <v>22</v>
      </c>
      <c r="G90" s="3">
        <v>1</v>
      </c>
      <c r="H90" s="3">
        <v>0</v>
      </c>
    </row>
    <row r="91" spans="1:8" x14ac:dyDescent="0.3">
      <c r="A91" s="3">
        <v>85</v>
      </c>
      <c r="B91" s="3">
        <v>52</v>
      </c>
      <c r="C91" s="3">
        <v>0</v>
      </c>
      <c r="D91" s="3">
        <v>0</v>
      </c>
      <c r="E91" s="3">
        <v>0</v>
      </c>
      <c r="F91" s="3">
        <v>15</v>
      </c>
      <c r="G91" s="3">
        <v>4</v>
      </c>
      <c r="H91" s="3">
        <v>0</v>
      </c>
    </row>
    <row r="92" spans="1:8" x14ac:dyDescent="0.3">
      <c r="A92" s="3">
        <v>86</v>
      </c>
      <c r="B92" s="3">
        <v>81</v>
      </c>
      <c r="C92" s="3">
        <v>1</v>
      </c>
      <c r="D92" s="3">
        <v>1</v>
      </c>
      <c r="E92" s="3">
        <v>2</v>
      </c>
      <c r="F92" s="3">
        <v>3</v>
      </c>
      <c r="G92" s="3">
        <v>1</v>
      </c>
      <c r="H92" s="3">
        <v>0</v>
      </c>
    </row>
    <row r="93" spans="1:8" x14ac:dyDescent="0.3">
      <c r="A93" s="3">
        <v>87</v>
      </c>
      <c r="B93" s="3">
        <v>66</v>
      </c>
      <c r="C93" s="3">
        <v>0</v>
      </c>
      <c r="D93" s="3">
        <v>0</v>
      </c>
      <c r="E93" s="3">
        <v>0</v>
      </c>
      <c r="F93" s="3">
        <v>15</v>
      </c>
      <c r="G93" s="3">
        <v>2</v>
      </c>
      <c r="H93" s="3">
        <v>0</v>
      </c>
    </row>
    <row r="94" spans="1:8" x14ac:dyDescent="0.3">
      <c r="A94" s="3">
        <v>88</v>
      </c>
      <c r="B94" s="3">
        <v>70</v>
      </c>
      <c r="C94" s="3">
        <v>0</v>
      </c>
      <c r="D94" s="3">
        <v>1</v>
      </c>
      <c r="E94" s="3">
        <v>0</v>
      </c>
      <c r="F94" s="3">
        <v>47</v>
      </c>
      <c r="G94" s="3">
        <v>1</v>
      </c>
      <c r="H94" s="3">
        <v>1</v>
      </c>
    </row>
    <row r="95" spans="1:8" x14ac:dyDescent="0.3">
      <c r="A95" s="3">
        <v>89</v>
      </c>
      <c r="B95" s="3">
        <v>1.5</v>
      </c>
      <c r="C95" s="3">
        <v>1</v>
      </c>
      <c r="D95" s="3">
        <v>0</v>
      </c>
      <c r="E95" s="3">
        <v>0</v>
      </c>
      <c r="F95" s="3">
        <v>1</v>
      </c>
      <c r="G95" s="3">
        <v>3</v>
      </c>
      <c r="H95" s="3">
        <v>0</v>
      </c>
    </row>
    <row r="96" spans="1:8" x14ac:dyDescent="0.3">
      <c r="A96" s="3">
        <v>90</v>
      </c>
      <c r="B96" s="3">
        <v>46</v>
      </c>
      <c r="C96" s="3">
        <v>1</v>
      </c>
      <c r="D96" s="3">
        <v>1</v>
      </c>
      <c r="E96" s="3">
        <v>0</v>
      </c>
      <c r="F96" s="3">
        <v>5</v>
      </c>
      <c r="G96" s="3">
        <v>1</v>
      </c>
      <c r="H96" s="3">
        <v>1</v>
      </c>
    </row>
    <row r="97" spans="1:8" x14ac:dyDescent="0.3">
      <c r="A97" s="3">
        <v>91</v>
      </c>
      <c r="B97" s="3">
        <v>97</v>
      </c>
      <c r="C97" s="3">
        <v>0</v>
      </c>
      <c r="D97" s="3">
        <v>0</v>
      </c>
      <c r="E97" s="3">
        <v>0</v>
      </c>
      <c r="F97" s="3">
        <v>15</v>
      </c>
      <c r="G97" s="3">
        <v>2</v>
      </c>
      <c r="H97" s="3">
        <v>0</v>
      </c>
    </row>
    <row r="98" spans="1:8" x14ac:dyDescent="0.3">
      <c r="A98" s="3">
        <v>92</v>
      </c>
      <c r="B98" s="3">
        <v>76</v>
      </c>
      <c r="C98" s="3">
        <v>0</v>
      </c>
      <c r="D98" s="3">
        <v>0</v>
      </c>
      <c r="E98" s="3">
        <v>0</v>
      </c>
      <c r="F98" s="3">
        <v>14</v>
      </c>
      <c r="G98" s="3">
        <v>2</v>
      </c>
      <c r="H98" s="3">
        <v>0</v>
      </c>
    </row>
    <row r="99" spans="1:8" x14ac:dyDescent="0.3">
      <c r="A99" s="3">
        <v>93</v>
      </c>
      <c r="B99" s="3">
        <v>66</v>
      </c>
      <c r="C99" s="3">
        <v>0</v>
      </c>
      <c r="D99" s="3">
        <v>0</v>
      </c>
      <c r="E99" s="3">
        <v>0</v>
      </c>
      <c r="F99" s="3">
        <v>6</v>
      </c>
      <c r="G99" s="3">
        <v>2</v>
      </c>
      <c r="H99" s="3">
        <v>0</v>
      </c>
    </row>
    <row r="100" spans="1:8" x14ac:dyDescent="0.3">
      <c r="A100" s="3">
        <v>94</v>
      </c>
      <c r="B100" s="3">
        <v>79</v>
      </c>
      <c r="C100" s="3">
        <v>1</v>
      </c>
      <c r="D100" s="3">
        <v>0</v>
      </c>
      <c r="E100" s="3">
        <v>0</v>
      </c>
      <c r="F100" s="3">
        <v>10</v>
      </c>
      <c r="G100" s="3">
        <v>2</v>
      </c>
      <c r="H100" s="3">
        <v>0</v>
      </c>
    </row>
    <row r="101" spans="1:8" x14ac:dyDescent="0.3">
      <c r="A101" s="3">
        <v>95</v>
      </c>
      <c r="B101" s="3">
        <v>54</v>
      </c>
      <c r="C101" s="3">
        <v>0</v>
      </c>
      <c r="D101" s="3">
        <v>0</v>
      </c>
      <c r="E101" s="3">
        <v>0</v>
      </c>
      <c r="F101" s="3">
        <v>12</v>
      </c>
      <c r="G101" s="3">
        <v>4</v>
      </c>
      <c r="H101" s="3">
        <v>0</v>
      </c>
    </row>
    <row r="102" spans="1:8" x14ac:dyDescent="0.3">
      <c r="A102" s="3">
        <v>96</v>
      </c>
      <c r="B102" s="3">
        <v>44</v>
      </c>
      <c r="C102" s="3">
        <v>1</v>
      </c>
      <c r="D102" s="3">
        <v>1</v>
      </c>
      <c r="E102" s="3">
        <v>0</v>
      </c>
      <c r="F102" s="3">
        <v>26</v>
      </c>
      <c r="G102" s="3">
        <v>1</v>
      </c>
      <c r="H102" s="3">
        <v>1</v>
      </c>
    </row>
    <row r="103" spans="1:8" x14ac:dyDescent="0.3">
      <c r="A103" s="3">
        <v>97</v>
      </c>
      <c r="B103" s="3">
        <v>6</v>
      </c>
      <c r="C103" s="3">
        <v>1</v>
      </c>
      <c r="D103" s="3">
        <v>1</v>
      </c>
      <c r="E103" s="3">
        <v>0</v>
      </c>
      <c r="F103" s="3">
        <v>9</v>
      </c>
      <c r="G103" s="3">
        <v>1</v>
      </c>
      <c r="H103" s="3">
        <v>1</v>
      </c>
    </row>
    <row r="104" spans="1:8" x14ac:dyDescent="0.3">
      <c r="A104" s="3">
        <v>98</v>
      </c>
      <c r="B104" s="3">
        <v>6</v>
      </c>
      <c r="C104" s="3">
        <v>0</v>
      </c>
      <c r="D104" s="3">
        <v>0</v>
      </c>
      <c r="E104" s="3">
        <v>0</v>
      </c>
      <c r="F104" s="3">
        <v>7</v>
      </c>
      <c r="G104" s="3">
        <v>3</v>
      </c>
      <c r="H104" s="3">
        <v>0</v>
      </c>
    </row>
    <row r="105" spans="1:8" x14ac:dyDescent="0.3">
      <c r="A105" s="3">
        <v>99</v>
      </c>
      <c r="B105" s="3">
        <v>3</v>
      </c>
      <c r="C105" s="3">
        <v>1</v>
      </c>
      <c r="D105" s="3">
        <v>0</v>
      </c>
      <c r="E105" s="3">
        <v>0</v>
      </c>
      <c r="F105" s="3">
        <v>6</v>
      </c>
      <c r="G105" s="3">
        <v>3</v>
      </c>
      <c r="H105" s="3">
        <v>0</v>
      </c>
    </row>
    <row r="106" spans="1:8" x14ac:dyDescent="0.3">
      <c r="A106" s="3">
        <v>100</v>
      </c>
      <c r="B106" s="3">
        <v>3</v>
      </c>
      <c r="C106" s="3">
        <v>0</v>
      </c>
      <c r="D106" s="3">
        <v>0</v>
      </c>
      <c r="E106" s="3">
        <v>0</v>
      </c>
      <c r="F106" s="3">
        <v>1</v>
      </c>
      <c r="G106" s="3">
        <v>3</v>
      </c>
      <c r="H106" s="3">
        <v>0</v>
      </c>
    </row>
    <row r="107" spans="1:8" x14ac:dyDescent="0.3">
      <c r="A107" s="3">
        <v>101</v>
      </c>
      <c r="B107" s="3">
        <v>26</v>
      </c>
      <c r="C107" s="3">
        <v>1</v>
      </c>
      <c r="D107" s="3">
        <v>1</v>
      </c>
      <c r="E107" s="3">
        <v>0</v>
      </c>
      <c r="F107" s="3">
        <v>1</v>
      </c>
      <c r="G107" s="3">
        <v>1</v>
      </c>
      <c r="H107" s="3">
        <v>0</v>
      </c>
    </row>
    <row r="108" spans="1:8" x14ac:dyDescent="0.3">
      <c r="A108" s="3">
        <v>102</v>
      </c>
      <c r="B108" s="3">
        <v>79</v>
      </c>
      <c r="C108" s="3">
        <v>0</v>
      </c>
      <c r="D108" s="3">
        <v>0</v>
      </c>
      <c r="E108" s="3">
        <v>0</v>
      </c>
      <c r="F108" s="3">
        <v>2</v>
      </c>
      <c r="G108" s="3">
        <v>2</v>
      </c>
      <c r="H108" s="3">
        <v>0</v>
      </c>
    </row>
    <row r="109" spans="1:8" x14ac:dyDescent="0.3">
      <c r="A109" s="3">
        <v>103</v>
      </c>
      <c r="B109" s="3">
        <v>33</v>
      </c>
      <c r="C109" s="3">
        <v>1</v>
      </c>
      <c r="D109" s="3">
        <v>1</v>
      </c>
      <c r="E109" s="3">
        <v>0</v>
      </c>
      <c r="F109" s="3">
        <v>10</v>
      </c>
      <c r="G109" s="3">
        <v>1</v>
      </c>
      <c r="H109" s="3">
        <v>1</v>
      </c>
    </row>
    <row r="110" spans="1:8" x14ac:dyDescent="0.3">
      <c r="A110" s="3">
        <v>104</v>
      </c>
      <c r="B110" s="3">
        <v>60</v>
      </c>
      <c r="C110" s="3">
        <v>1</v>
      </c>
      <c r="D110" s="3">
        <v>0</v>
      </c>
      <c r="E110" s="3">
        <v>0</v>
      </c>
      <c r="F110" s="3">
        <v>2</v>
      </c>
      <c r="G110" s="3">
        <v>3</v>
      </c>
      <c r="H110" s="3">
        <v>0</v>
      </c>
    </row>
    <row r="111" spans="1:8" x14ac:dyDescent="0.3">
      <c r="A111" s="3">
        <v>105</v>
      </c>
      <c r="B111" s="3">
        <v>27</v>
      </c>
      <c r="C111" s="3">
        <v>0</v>
      </c>
      <c r="D111" s="3">
        <v>0</v>
      </c>
      <c r="E111" s="3">
        <v>0</v>
      </c>
      <c r="F111" s="3">
        <v>16</v>
      </c>
      <c r="G111" s="3">
        <v>1</v>
      </c>
      <c r="H111" s="3">
        <v>0</v>
      </c>
    </row>
    <row r="112" spans="1:8" x14ac:dyDescent="0.3">
      <c r="A112" s="3">
        <v>106</v>
      </c>
      <c r="B112" s="3">
        <v>41</v>
      </c>
      <c r="C112" s="3">
        <v>0</v>
      </c>
      <c r="D112" s="3">
        <v>1</v>
      </c>
      <c r="E112" s="3">
        <v>0</v>
      </c>
      <c r="F112" s="3">
        <v>60</v>
      </c>
      <c r="G112" s="3">
        <v>1</v>
      </c>
      <c r="H112" s="3">
        <v>0</v>
      </c>
    </row>
    <row r="113" spans="1:8" x14ac:dyDescent="0.3">
      <c r="A113" s="3">
        <v>107</v>
      </c>
      <c r="B113" s="3">
        <v>33</v>
      </c>
      <c r="C113" s="3">
        <v>0</v>
      </c>
      <c r="D113" s="3">
        <v>0</v>
      </c>
      <c r="E113" s="3">
        <v>0</v>
      </c>
      <c r="F113" s="3">
        <v>48</v>
      </c>
      <c r="G113" s="3">
        <v>2</v>
      </c>
      <c r="H113" s="3">
        <v>0</v>
      </c>
    </row>
    <row r="114" spans="1:8" x14ac:dyDescent="0.3">
      <c r="A114" s="3">
        <v>108</v>
      </c>
      <c r="B114" s="3">
        <v>70</v>
      </c>
      <c r="C114" s="3">
        <v>0</v>
      </c>
      <c r="D114" s="3">
        <v>0</v>
      </c>
      <c r="E114" s="3">
        <v>0</v>
      </c>
      <c r="F114" s="3">
        <v>95</v>
      </c>
      <c r="G114" s="3">
        <v>2</v>
      </c>
      <c r="H114" s="3">
        <v>0</v>
      </c>
    </row>
    <row r="115" spans="1:8" x14ac:dyDescent="0.3">
      <c r="A115" s="3">
        <v>109</v>
      </c>
      <c r="B115" s="3">
        <v>27</v>
      </c>
      <c r="C115" s="3">
        <v>0</v>
      </c>
      <c r="D115" s="3">
        <v>1</v>
      </c>
      <c r="E115" s="3">
        <v>0</v>
      </c>
      <c r="F115" s="3">
        <v>90</v>
      </c>
      <c r="G115" s="3">
        <v>1</v>
      </c>
      <c r="H115" s="3">
        <v>1</v>
      </c>
    </row>
    <row r="116" spans="1:8" x14ac:dyDescent="0.3">
      <c r="A116" s="3">
        <v>110</v>
      </c>
      <c r="B116" s="3">
        <v>47</v>
      </c>
      <c r="C116" s="3">
        <v>0</v>
      </c>
      <c r="D116" s="3">
        <v>1</v>
      </c>
      <c r="E116" s="3">
        <v>0</v>
      </c>
      <c r="F116" s="3">
        <v>5</v>
      </c>
      <c r="G116" s="3">
        <v>1</v>
      </c>
      <c r="H116" s="3">
        <v>0</v>
      </c>
    </row>
    <row r="117" spans="1:8" x14ac:dyDescent="0.3">
      <c r="A117" s="3">
        <v>111</v>
      </c>
      <c r="B117" s="3">
        <v>90</v>
      </c>
      <c r="C117" s="3">
        <v>0</v>
      </c>
      <c r="D117" s="3">
        <v>0</v>
      </c>
      <c r="E117" s="3">
        <v>0</v>
      </c>
      <c r="F117" s="3">
        <v>3</v>
      </c>
      <c r="G117" s="3">
        <v>2</v>
      </c>
      <c r="H117" s="3">
        <v>0</v>
      </c>
    </row>
    <row r="118" spans="1:8" x14ac:dyDescent="0.3">
      <c r="A118" s="3">
        <v>112</v>
      </c>
      <c r="B118" s="3">
        <v>10</v>
      </c>
      <c r="C118" s="3">
        <v>1</v>
      </c>
      <c r="D118" s="3">
        <v>0</v>
      </c>
      <c r="E118" s="3">
        <v>0</v>
      </c>
      <c r="F118" s="3">
        <v>3</v>
      </c>
      <c r="G118" s="3">
        <v>3</v>
      </c>
      <c r="H118" s="3">
        <v>0</v>
      </c>
    </row>
    <row r="119" spans="1:8" x14ac:dyDescent="0.3">
      <c r="A119" s="3">
        <v>113</v>
      </c>
      <c r="B119" s="3">
        <v>28</v>
      </c>
      <c r="C119" s="3">
        <v>0</v>
      </c>
      <c r="D119" s="3">
        <v>1</v>
      </c>
      <c r="E119" s="3">
        <v>0</v>
      </c>
      <c r="F119" s="3">
        <v>6</v>
      </c>
      <c r="G119" s="3">
        <v>1</v>
      </c>
      <c r="H119" s="3">
        <v>0</v>
      </c>
    </row>
    <row r="120" spans="1:8" x14ac:dyDescent="0.3">
      <c r="A120" s="3">
        <v>114</v>
      </c>
      <c r="B120" s="3">
        <v>6.4</v>
      </c>
      <c r="C120" s="3">
        <v>1</v>
      </c>
      <c r="D120" s="3">
        <v>1</v>
      </c>
      <c r="E120" s="3">
        <v>0</v>
      </c>
      <c r="F120" s="3">
        <v>9</v>
      </c>
      <c r="G120" s="3">
        <v>1</v>
      </c>
      <c r="H120" s="3">
        <v>1</v>
      </c>
    </row>
    <row r="121" spans="1:8" x14ac:dyDescent="0.3">
      <c r="A121" s="3">
        <v>115</v>
      </c>
      <c r="B121" s="3">
        <v>16</v>
      </c>
      <c r="C121" s="3">
        <v>0</v>
      </c>
      <c r="D121" s="3">
        <v>1</v>
      </c>
      <c r="E121" s="3">
        <v>0</v>
      </c>
      <c r="F121" s="3">
        <v>10</v>
      </c>
      <c r="G121" s="3">
        <v>1</v>
      </c>
      <c r="H121" s="3">
        <v>0</v>
      </c>
    </row>
    <row r="122" spans="1:8" x14ac:dyDescent="0.3">
      <c r="A122" s="3">
        <v>116</v>
      </c>
      <c r="B122" s="3">
        <v>48</v>
      </c>
      <c r="C122" s="3">
        <v>0</v>
      </c>
      <c r="D122" s="3">
        <v>1</v>
      </c>
      <c r="E122" s="3">
        <v>0</v>
      </c>
      <c r="F122" s="3">
        <v>45</v>
      </c>
      <c r="G122" s="3">
        <v>2</v>
      </c>
      <c r="H122" s="3">
        <v>0</v>
      </c>
    </row>
    <row r="123" spans="1:8" x14ac:dyDescent="0.3">
      <c r="A123" s="3">
        <v>117</v>
      </c>
      <c r="B123" s="3">
        <v>26</v>
      </c>
      <c r="C123" s="3">
        <v>0</v>
      </c>
      <c r="D123" s="3">
        <v>1</v>
      </c>
      <c r="E123" s="3">
        <v>0</v>
      </c>
      <c r="F123" s="3">
        <v>25</v>
      </c>
      <c r="G123" s="3">
        <v>1</v>
      </c>
      <c r="H123" s="3">
        <v>0</v>
      </c>
    </row>
    <row r="124" spans="1:8" x14ac:dyDescent="0.3">
      <c r="A124" s="3">
        <v>118</v>
      </c>
      <c r="B124" s="3">
        <v>30</v>
      </c>
      <c r="C124" s="3">
        <v>1</v>
      </c>
      <c r="D124" s="3">
        <v>1</v>
      </c>
      <c r="E124" s="3">
        <v>0</v>
      </c>
      <c r="F124" s="3">
        <v>35</v>
      </c>
      <c r="G124" s="3">
        <v>1</v>
      </c>
      <c r="H124" s="3">
        <v>1</v>
      </c>
    </row>
    <row r="125" spans="1:8" x14ac:dyDescent="0.3">
      <c r="A125" s="3">
        <v>119</v>
      </c>
      <c r="B125" s="3">
        <v>38</v>
      </c>
      <c r="C125" s="3">
        <v>0</v>
      </c>
      <c r="D125" s="3">
        <v>1</v>
      </c>
      <c r="E125" s="3">
        <v>0</v>
      </c>
      <c r="F125" s="3">
        <v>10</v>
      </c>
      <c r="G125" s="3">
        <v>1</v>
      </c>
      <c r="H125" s="3">
        <v>0</v>
      </c>
    </row>
    <row r="126" spans="1:8" x14ac:dyDescent="0.3">
      <c r="A126" s="3">
        <v>120</v>
      </c>
      <c r="B126" s="3">
        <v>7</v>
      </c>
      <c r="C126" s="3">
        <v>1</v>
      </c>
      <c r="D126" s="3">
        <v>0</v>
      </c>
      <c r="E126" s="3">
        <v>0</v>
      </c>
      <c r="F126" s="3">
        <v>90</v>
      </c>
      <c r="G126" s="3">
        <v>4</v>
      </c>
      <c r="H126" s="3">
        <v>0</v>
      </c>
    </row>
    <row r="127" spans="1:8" x14ac:dyDescent="0.3">
      <c r="A127" s="3">
        <v>121</v>
      </c>
      <c r="B127" s="3">
        <v>25</v>
      </c>
      <c r="C127" s="3">
        <v>0</v>
      </c>
      <c r="D127" s="3">
        <v>1</v>
      </c>
      <c r="E127" s="3">
        <v>0</v>
      </c>
      <c r="F127" s="3">
        <v>45</v>
      </c>
      <c r="G127" s="3">
        <v>1</v>
      </c>
      <c r="H127" s="3">
        <v>1</v>
      </c>
    </row>
    <row r="128" spans="1:8" x14ac:dyDescent="0.3">
      <c r="A128" s="3">
        <v>122</v>
      </c>
      <c r="B128" s="3">
        <v>65</v>
      </c>
      <c r="C128" s="3">
        <v>0</v>
      </c>
      <c r="D128" s="3">
        <v>1</v>
      </c>
      <c r="E128" s="3">
        <v>0</v>
      </c>
      <c r="F128" s="3">
        <v>70</v>
      </c>
      <c r="G128" s="3">
        <v>1</v>
      </c>
      <c r="H128" s="3">
        <v>0</v>
      </c>
    </row>
    <row r="129" spans="1:15" x14ac:dyDescent="0.3">
      <c r="A129" s="3">
        <v>123</v>
      </c>
      <c r="B129" s="3">
        <v>85</v>
      </c>
      <c r="C129" s="3">
        <v>0</v>
      </c>
      <c r="D129" s="3">
        <v>0</v>
      </c>
      <c r="E129" s="3">
        <v>0</v>
      </c>
      <c r="F129" s="3">
        <v>40</v>
      </c>
      <c r="G129" s="3">
        <v>2</v>
      </c>
      <c r="H129" s="3">
        <v>0</v>
      </c>
    </row>
    <row r="130" spans="1:15" x14ac:dyDescent="0.3">
      <c r="A130" s="3">
        <v>124</v>
      </c>
      <c r="B130" s="3">
        <v>3</v>
      </c>
      <c r="C130" s="3">
        <v>0</v>
      </c>
      <c r="D130" s="3">
        <v>1</v>
      </c>
      <c r="E130" s="3">
        <v>0</v>
      </c>
      <c r="F130" s="3">
        <v>20</v>
      </c>
      <c r="G130" s="3">
        <v>1</v>
      </c>
      <c r="H130" s="3">
        <v>1</v>
      </c>
    </row>
    <row r="131" spans="1:15" x14ac:dyDescent="0.3">
      <c r="A131" s="3">
        <v>125</v>
      </c>
      <c r="B131" s="3">
        <v>12</v>
      </c>
      <c r="C131" s="3">
        <v>1</v>
      </c>
      <c r="D131" s="3">
        <v>0</v>
      </c>
      <c r="E131" s="3">
        <v>0</v>
      </c>
      <c r="F131" s="3">
        <v>25</v>
      </c>
      <c r="G131" s="3">
        <v>1</v>
      </c>
      <c r="H131" s="3">
        <v>1</v>
      </c>
    </row>
    <row r="132" spans="1:15" x14ac:dyDescent="0.3">
      <c r="A132" s="3">
        <v>126</v>
      </c>
      <c r="B132" s="3">
        <v>80</v>
      </c>
      <c r="C132" s="3">
        <v>1</v>
      </c>
      <c r="D132" s="3">
        <v>0</v>
      </c>
      <c r="E132" s="3">
        <v>0</v>
      </c>
      <c r="F132" s="3">
        <v>60</v>
      </c>
      <c r="G132" s="3">
        <v>2</v>
      </c>
      <c r="H132" s="3">
        <v>0</v>
      </c>
    </row>
    <row r="133" spans="1:15" x14ac:dyDescent="0.3">
      <c r="A133" s="3">
        <v>127</v>
      </c>
      <c r="B133" s="3">
        <v>51</v>
      </c>
      <c r="C133" s="3">
        <v>1</v>
      </c>
      <c r="D133" s="3">
        <v>0</v>
      </c>
      <c r="E133" s="3">
        <v>0</v>
      </c>
      <c r="F133" s="3">
        <v>70</v>
      </c>
      <c r="G133" s="3">
        <v>2</v>
      </c>
      <c r="H133" s="3">
        <v>0</v>
      </c>
    </row>
    <row r="134" spans="1:15" x14ac:dyDescent="0.3">
      <c r="A134" s="3">
        <v>128</v>
      </c>
      <c r="B134" s="3">
        <v>25</v>
      </c>
      <c r="C134" s="3">
        <v>0</v>
      </c>
      <c r="D134" s="3">
        <v>1</v>
      </c>
      <c r="E134" s="3">
        <v>0</v>
      </c>
      <c r="F134" s="3">
        <v>54</v>
      </c>
      <c r="G134" s="3">
        <v>1</v>
      </c>
      <c r="H134" s="3">
        <v>1</v>
      </c>
    </row>
    <row r="135" spans="1:15" x14ac:dyDescent="0.3">
      <c r="A135" s="3">
        <v>129</v>
      </c>
      <c r="B135" s="3">
        <v>35</v>
      </c>
      <c r="C135" s="3">
        <v>0</v>
      </c>
      <c r="D135" s="3">
        <v>1</v>
      </c>
      <c r="E135" s="3">
        <v>0</v>
      </c>
      <c r="F135" s="3">
        <v>85</v>
      </c>
      <c r="G135" s="3">
        <v>1</v>
      </c>
      <c r="H135" s="3">
        <v>1</v>
      </c>
    </row>
    <row r="136" spans="1:15" x14ac:dyDescent="0.3">
      <c r="A136" s="3">
        <v>130</v>
      </c>
      <c r="B136" s="3">
        <v>58</v>
      </c>
      <c r="C136" s="3">
        <v>1</v>
      </c>
      <c r="D136" s="3">
        <v>0</v>
      </c>
      <c r="E136" s="3">
        <v>0</v>
      </c>
      <c r="F136" s="3">
        <v>60</v>
      </c>
      <c r="G136" s="3">
        <v>4</v>
      </c>
      <c r="H136" s="3">
        <v>0</v>
      </c>
    </row>
    <row r="139" spans="1:15" x14ac:dyDescent="0.3">
      <c r="A139" s="62" t="s">
        <v>407</v>
      </c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</row>
    <row r="141" spans="1:15" x14ac:dyDescent="0.3">
      <c r="A141" s="3" t="s">
        <v>408</v>
      </c>
    </row>
    <row r="143" spans="1:15" x14ac:dyDescent="0.3">
      <c r="A143" s="3" t="s">
        <v>373</v>
      </c>
    </row>
    <row r="144" spans="1:15" x14ac:dyDescent="0.3">
      <c r="A144" s="3" t="s">
        <v>374</v>
      </c>
    </row>
    <row r="145" spans="1:1" x14ac:dyDescent="0.3">
      <c r="A145" s="3" t="s">
        <v>375</v>
      </c>
    </row>
    <row r="147" spans="1:1" x14ac:dyDescent="0.3">
      <c r="A147" s="3" t="s">
        <v>376</v>
      </c>
    </row>
    <row r="148" spans="1:1" x14ac:dyDescent="0.3">
      <c r="A148" s="3" t="s">
        <v>409</v>
      </c>
    </row>
    <row r="149" spans="1:1" x14ac:dyDescent="0.3">
      <c r="A149" s="3" t="s">
        <v>377</v>
      </c>
    </row>
    <row r="150" spans="1:1" x14ac:dyDescent="0.3">
      <c r="A150" s="3" t="s">
        <v>378</v>
      </c>
    </row>
    <row r="152" spans="1:1" x14ac:dyDescent="0.3">
      <c r="A152" s="3" t="s">
        <v>410</v>
      </c>
    </row>
    <row r="153" spans="1:1" x14ac:dyDescent="0.3">
      <c r="A153" s="3" t="s">
        <v>379</v>
      </c>
    </row>
    <row r="154" spans="1:1" x14ac:dyDescent="0.3">
      <c r="A154" s="3" t="s">
        <v>380</v>
      </c>
    </row>
    <row r="156" spans="1:1" x14ac:dyDescent="0.3">
      <c r="A156" s="3" t="s">
        <v>411</v>
      </c>
    </row>
    <row r="157" spans="1:1" x14ac:dyDescent="0.3">
      <c r="A157" s="3" t="s">
        <v>381</v>
      </c>
    </row>
    <row r="158" spans="1:1" x14ac:dyDescent="0.3">
      <c r="A158" s="3" t="s">
        <v>412</v>
      </c>
    </row>
    <row r="159" spans="1:1" x14ac:dyDescent="0.3">
      <c r="A159" s="3" t="s">
        <v>413</v>
      </c>
    </row>
    <row r="160" spans="1:1" x14ac:dyDescent="0.3">
      <c r="A160" s="3" t="s">
        <v>414</v>
      </c>
    </row>
    <row r="161" spans="1:15" x14ac:dyDescent="0.3">
      <c r="A161" s="3" t="s">
        <v>382</v>
      </c>
    </row>
    <row r="164" spans="1:15" x14ac:dyDescent="0.3">
      <c r="A164" s="61" t="s">
        <v>415</v>
      </c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</row>
    <row r="166" spans="1:15" x14ac:dyDescent="0.3">
      <c r="A166" s="15" t="s">
        <v>252</v>
      </c>
      <c r="B166" s="15" t="s">
        <v>416</v>
      </c>
      <c r="C166" s="15" t="s">
        <v>383</v>
      </c>
      <c r="D166" s="15" t="s">
        <v>417</v>
      </c>
      <c r="E166" s="15" t="s">
        <v>384</v>
      </c>
      <c r="F166" s="15" t="s">
        <v>392</v>
      </c>
      <c r="G166" s="15" t="s">
        <v>418</v>
      </c>
      <c r="H166" s="15" t="s">
        <v>419</v>
      </c>
      <c r="I166" s="15" t="s">
        <v>420</v>
      </c>
    </row>
    <row r="167" spans="1:15" x14ac:dyDescent="0.3">
      <c r="A167" s="3" t="s">
        <v>385</v>
      </c>
      <c r="B167" s="3">
        <v>-2.85</v>
      </c>
      <c r="C167" s="3">
        <v>0.52</v>
      </c>
      <c r="D167" s="3">
        <v>-5.48</v>
      </c>
      <c r="E167" s="3">
        <v>1E-4</v>
      </c>
      <c r="F167" s="3">
        <v>5.8000000000000003E-2</v>
      </c>
      <c r="G167" s="3">
        <v>2.1000000000000001E-2</v>
      </c>
      <c r="H167" s="3">
        <v>0.161</v>
      </c>
      <c r="I167" s="3" t="s">
        <v>421</v>
      </c>
    </row>
    <row r="168" spans="1:15" x14ac:dyDescent="0.3">
      <c r="A168" s="3" t="s">
        <v>370</v>
      </c>
      <c r="B168" s="3">
        <v>-2.5000000000000001E-2</v>
      </c>
      <c r="C168" s="3">
        <v>8.0000000000000002E-3</v>
      </c>
      <c r="D168" s="3">
        <v>-3.12</v>
      </c>
      <c r="E168" s="3">
        <v>2E-3</v>
      </c>
      <c r="F168" s="3">
        <v>0.97499999999999998</v>
      </c>
      <c r="G168" s="3">
        <v>0.96</v>
      </c>
      <c r="H168" s="3">
        <v>0.99099999999999999</v>
      </c>
      <c r="I168" s="3" t="s">
        <v>422</v>
      </c>
    </row>
    <row r="169" spans="1:15" x14ac:dyDescent="0.3">
      <c r="A169" s="3" t="s">
        <v>6</v>
      </c>
      <c r="B169" s="3">
        <v>0.46300000000000002</v>
      </c>
      <c r="C169" s="3">
        <v>0.39800000000000002</v>
      </c>
      <c r="D169" s="3">
        <v>1.1599999999999999</v>
      </c>
      <c r="E169" s="3">
        <v>0.32400000000000001</v>
      </c>
      <c r="F169" s="3">
        <v>1.59</v>
      </c>
      <c r="G169" s="3">
        <v>0.73</v>
      </c>
      <c r="H169" s="3">
        <v>3.46</v>
      </c>
      <c r="I169" s="3" t="s">
        <v>395</v>
      </c>
    </row>
    <row r="170" spans="1:15" x14ac:dyDescent="0.3">
      <c r="A170" s="3" t="s">
        <v>307</v>
      </c>
      <c r="B170" s="3">
        <v>2.8610000000000002</v>
      </c>
      <c r="C170" s="3">
        <v>0.64</v>
      </c>
      <c r="D170" s="3">
        <v>4.47</v>
      </c>
      <c r="E170" s="3">
        <v>1E-4</v>
      </c>
      <c r="F170" s="3">
        <v>17.48</v>
      </c>
      <c r="G170" s="3">
        <v>4.99</v>
      </c>
      <c r="H170" s="3">
        <v>61.26</v>
      </c>
      <c r="I170" s="3" t="s">
        <v>421</v>
      </c>
    </row>
    <row r="171" spans="1:15" x14ac:dyDescent="0.3">
      <c r="A171" s="3" t="s">
        <v>405</v>
      </c>
      <c r="B171" s="3">
        <v>0.313</v>
      </c>
      <c r="C171" s="3">
        <v>1.2410000000000001</v>
      </c>
      <c r="D171" s="3">
        <v>0.25</v>
      </c>
      <c r="E171" s="3">
        <v>1E-4</v>
      </c>
      <c r="F171" s="3">
        <v>1.37</v>
      </c>
      <c r="G171" s="3">
        <v>0.12</v>
      </c>
      <c r="H171" s="3">
        <v>15.57</v>
      </c>
      <c r="I171" s="3" t="s">
        <v>421</v>
      </c>
    </row>
    <row r="172" spans="1:15" x14ac:dyDescent="0.3">
      <c r="A172" s="3" t="s">
        <v>372</v>
      </c>
      <c r="B172" s="3">
        <v>1.7999999999999999E-2</v>
      </c>
      <c r="C172" s="3">
        <v>6.0000000000000001E-3</v>
      </c>
      <c r="D172" s="3">
        <v>3</v>
      </c>
      <c r="E172" s="3">
        <v>3.0000000000000001E-3</v>
      </c>
      <c r="F172" s="3">
        <v>1.018</v>
      </c>
      <c r="G172" s="3">
        <v>1.006</v>
      </c>
      <c r="H172" s="3">
        <v>1.03</v>
      </c>
      <c r="I172" s="3" t="s">
        <v>422</v>
      </c>
    </row>
    <row r="174" spans="1:15" x14ac:dyDescent="0.3">
      <c r="A174" s="7" t="s">
        <v>423</v>
      </c>
    </row>
    <row r="177" spans="1:15" x14ac:dyDescent="0.3">
      <c r="A177" s="61" t="s">
        <v>424</v>
      </c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</row>
    <row r="179" spans="1:15" x14ac:dyDescent="0.3">
      <c r="A179" s="15" t="s">
        <v>252</v>
      </c>
      <c r="B179" s="15" t="s">
        <v>392</v>
      </c>
      <c r="C179" s="63" t="s">
        <v>425</v>
      </c>
      <c r="D179" s="63"/>
      <c r="E179" s="63"/>
      <c r="F179" s="63"/>
      <c r="G179" s="63"/>
      <c r="H179" s="63"/>
    </row>
    <row r="180" spans="1:15" x14ac:dyDescent="0.3">
      <c r="A180" s="16" t="s">
        <v>426</v>
      </c>
      <c r="B180" s="16">
        <v>17.48</v>
      </c>
      <c r="C180" s="64" t="s">
        <v>427</v>
      </c>
      <c r="D180" s="64"/>
      <c r="E180" s="64"/>
      <c r="F180" s="64"/>
      <c r="G180" s="64"/>
      <c r="H180" s="64"/>
    </row>
    <row r="181" spans="1:15" x14ac:dyDescent="0.3">
      <c r="A181" s="16" t="s">
        <v>428</v>
      </c>
      <c r="B181" s="16">
        <v>1.37</v>
      </c>
      <c r="C181" s="64" t="s">
        <v>429</v>
      </c>
      <c r="D181" s="64"/>
      <c r="E181" s="64"/>
      <c r="F181" s="64"/>
      <c r="G181" s="64"/>
      <c r="H181" s="64"/>
    </row>
    <row r="182" spans="1:15" x14ac:dyDescent="0.3">
      <c r="A182" s="17" t="s">
        <v>393</v>
      </c>
      <c r="B182" s="17">
        <v>1.018</v>
      </c>
      <c r="C182" s="65" t="s">
        <v>430</v>
      </c>
      <c r="D182" s="65"/>
      <c r="E182" s="65"/>
      <c r="F182" s="65"/>
      <c r="G182" s="65"/>
      <c r="H182" s="65"/>
    </row>
    <row r="183" spans="1:15" x14ac:dyDescent="0.3">
      <c r="A183" s="18" t="s">
        <v>370</v>
      </c>
      <c r="B183" s="18">
        <v>0.97499999999999998</v>
      </c>
      <c r="C183" s="57" t="s">
        <v>431</v>
      </c>
      <c r="D183" s="57"/>
      <c r="E183" s="57"/>
      <c r="F183" s="57"/>
      <c r="G183" s="57"/>
      <c r="H183" s="57"/>
    </row>
    <row r="184" spans="1:15" x14ac:dyDescent="0.3">
      <c r="A184" s="3" t="s">
        <v>6</v>
      </c>
      <c r="B184" s="3">
        <v>1.59</v>
      </c>
      <c r="C184" s="58" t="s">
        <v>432</v>
      </c>
      <c r="D184" s="58"/>
      <c r="E184" s="58"/>
      <c r="F184" s="58"/>
      <c r="G184" s="58"/>
      <c r="H184" s="58"/>
    </row>
    <row r="187" spans="1:15" x14ac:dyDescent="0.3">
      <c r="A187" s="61" t="s">
        <v>433</v>
      </c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</row>
    <row r="189" spans="1:15" x14ac:dyDescent="0.3">
      <c r="A189" s="4" t="s">
        <v>252</v>
      </c>
      <c r="B189" s="4" t="s">
        <v>297</v>
      </c>
    </row>
    <row r="190" spans="1:15" x14ac:dyDescent="0.3">
      <c r="A190" s="3" t="s">
        <v>397</v>
      </c>
      <c r="B190" s="3">
        <v>17.481481481481481</v>
      </c>
    </row>
    <row r="191" spans="1:15" x14ac:dyDescent="0.3">
      <c r="A191" s="3" t="s">
        <v>398</v>
      </c>
      <c r="B191" s="3">
        <v>1.3676470588235294</v>
      </c>
    </row>
    <row r="192" spans="1:15" x14ac:dyDescent="0.3">
      <c r="A192" s="3" t="s">
        <v>6</v>
      </c>
      <c r="B192" s="3">
        <v>1.588235294117647</v>
      </c>
    </row>
    <row r="193" spans="1:2" x14ac:dyDescent="0.3">
      <c r="A193" s="3" t="s">
        <v>372</v>
      </c>
      <c r="B193" s="3">
        <v>1.018</v>
      </c>
    </row>
    <row r="194" spans="1:2" x14ac:dyDescent="0.3">
      <c r="A194" s="3" t="s">
        <v>370</v>
      </c>
      <c r="B194" s="3">
        <v>0.97499999999999998</v>
      </c>
    </row>
    <row r="197" spans="1:2" x14ac:dyDescent="0.3">
      <c r="A197" s="4" t="s">
        <v>19</v>
      </c>
      <c r="B197" s="4" t="s">
        <v>267</v>
      </c>
    </row>
    <row r="198" spans="1:2" x14ac:dyDescent="0.3">
      <c r="A198" s="3" t="s">
        <v>400</v>
      </c>
      <c r="B198" s="3">
        <v>95</v>
      </c>
    </row>
    <row r="199" spans="1:2" x14ac:dyDescent="0.3">
      <c r="A199" s="3" t="s">
        <v>401</v>
      </c>
      <c r="B199" s="3">
        <v>35</v>
      </c>
    </row>
    <row r="220" spans="1:15" x14ac:dyDescent="0.3">
      <c r="A220" s="59" t="s">
        <v>434</v>
      </c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2" spans="1:15" x14ac:dyDescent="0.3">
      <c r="A222" s="4" t="s">
        <v>435</v>
      </c>
    </row>
    <row r="223" spans="1:15" x14ac:dyDescent="0.3">
      <c r="A223" s="3" t="s">
        <v>436</v>
      </c>
    </row>
    <row r="225" spans="1:1" x14ac:dyDescent="0.3">
      <c r="A225" s="4" t="s">
        <v>396</v>
      </c>
    </row>
    <row r="226" spans="1:1" x14ac:dyDescent="0.3">
      <c r="A226" s="3" t="s">
        <v>437</v>
      </c>
    </row>
    <row r="227" spans="1:1" x14ac:dyDescent="0.3">
      <c r="A227" s="3" t="s">
        <v>438</v>
      </c>
    </row>
    <row r="228" spans="1:1" x14ac:dyDescent="0.3">
      <c r="A228" s="3" t="s">
        <v>439</v>
      </c>
    </row>
    <row r="229" spans="1:1" x14ac:dyDescent="0.3">
      <c r="A229" s="3" t="s">
        <v>440</v>
      </c>
    </row>
    <row r="231" spans="1:1" x14ac:dyDescent="0.3">
      <c r="A231" s="3" t="s">
        <v>441</v>
      </c>
    </row>
    <row r="233" spans="1:1" x14ac:dyDescent="0.3">
      <c r="A233" s="4" t="s">
        <v>442</v>
      </c>
    </row>
    <row r="234" spans="1:1" x14ac:dyDescent="0.3">
      <c r="A234" s="3" t="s">
        <v>443</v>
      </c>
    </row>
  </sheetData>
  <mergeCells count="13">
    <mergeCell ref="C183:H183"/>
    <mergeCell ref="C184:H184"/>
    <mergeCell ref="A220:O220"/>
    <mergeCell ref="A1:O1"/>
    <mergeCell ref="A4:O4"/>
    <mergeCell ref="A139:O139"/>
    <mergeCell ref="A164:O164"/>
    <mergeCell ref="A177:O177"/>
    <mergeCell ref="A187:O187"/>
    <mergeCell ref="C179:H179"/>
    <mergeCell ref="C180:H180"/>
    <mergeCell ref="C181:H181"/>
    <mergeCell ref="C182:H18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79990-541D-4037-9B01-65DC9D35DD89}">
  <dimension ref="A1:Q228"/>
  <sheetViews>
    <sheetView tabSelected="1" topLeftCell="B1" zoomScale="85" zoomScaleNormal="85" workbookViewId="0">
      <pane ySplit="5" topLeftCell="A29" activePane="bottomLeft" state="frozen"/>
      <selection pane="bottomLeft" activeCell="G25" sqref="G25"/>
    </sheetView>
  </sheetViews>
  <sheetFormatPr defaultRowHeight="14.7" x14ac:dyDescent="0.3"/>
  <cols>
    <col min="1" max="1" width="33.33203125" customWidth="1"/>
    <col min="2" max="4" width="16.6640625" customWidth="1"/>
    <col min="5" max="5" width="30" customWidth="1"/>
    <col min="6" max="9" width="13.33203125" customWidth="1"/>
    <col min="14" max="15" width="0" hidden="1" customWidth="1"/>
  </cols>
  <sheetData>
    <row r="1" spans="1:17" ht="30" x14ac:dyDescent="0.55000000000000004">
      <c r="A1" s="67" t="s">
        <v>444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N1" t="s">
        <v>575</v>
      </c>
    </row>
    <row r="2" spans="1:17" ht="22" x14ac:dyDescent="0.4">
      <c r="A2" s="68" t="s">
        <v>445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N2" t="s">
        <v>252</v>
      </c>
      <c r="O2" t="s">
        <v>297</v>
      </c>
    </row>
    <row r="3" spans="1:17" ht="17.350000000000001" x14ac:dyDescent="0.35">
      <c r="A3" s="69" t="s">
        <v>446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N3" t="s">
        <v>397</v>
      </c>
      <c r="O3">
        <v>17.48</v>
      </c>
    </row>
    <row r="4" spans="1:17" x14ac:dyDescent="0.3">
      <c r="N4" t="s">
        <v>576</v>
      </c>
      <c r="O4">
        <v>1.37</v>
      </c>
    </row>
    <row r="5" spans="1:17" ht="15.35" thickBot="1" x14ac:dyDescent="0.35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N5" t="s">
        <v>6</v>
      </c>
      <c r="O5">
        <v>1.59</v>
      </c>
    </row>
    <row r="6" spans="1:17" ht="15.35" thickTop="1" x14ac:dyDescent="0.3">
      <c r="N6" t="s">
        <v>372</v>
      </c>
      <c r="O6">
        <v>1.018</v>
      </c>
    </row>
    <row r="7" spans="1:17" ht="19.350000000000001" x14ac:dyDescent="0.35">
      <c r="A7" s="70" t="s">
        <v>447</v>
      </c>
      <c r="B7" s="70"/>
      <c r="C7" s="70"/>
      <c r="D7" s="70"/>
      <c r="E7" s="70"/>
      <c r="F7" s="70"/>
      <c r="G7" s="71"/>
      <c r="H7" s="72"/>
      <c r="I7" s="72"/>
      <c r="J7" s="72"/>
      <c r="K7" s="73"/>
      <c r="L7" s="70"/>
    </row>
    <row r="8" spans="1:17" x14ac:dyDescent="0.3">
      <c r="G8" s="78" t="s">
        <v>580</v>
      </c>
      <c r="H8" s="79"/>
      <c r="I8" s="79"/>
      <c r="J8" s="79" t="s">
        <v>581</v>
      </c>
      <c r="K8" s="80"/>
      <c r="N8" t="s">
        <v>239</v>
      </c>
      <c r="O8" t="s">
        <v>267</v>
      </c>
      <c r="P8" t="s">
        <v>239</v>
      </c>
      <c r="Q8" t="s">
        <v>267</v>
      </c>
    </row>
    <row r="9" spans="1:17" x14ac:dyDescent="0.3">
      <c r="A9" s="74" t="s">
        <v>448</v>
      </c>
      <c r="B9" s="74"/>
      <c r="C9" s="74"/>
      <c r="D9" s="74"/>
      <c r="E9" s="74"/>
      <c r="F9" s="74"/>
      <c r="G9" s="75"/>
      <c r="H9" s="76"/>
      <c r="I9" s="76"/>
      <c r="J9" s="76"/>
      <c r="K9" s="77"/>
      <c r="L9" s="74"/>
      <c r="N9" t="s">
        <v>19</v>
      </c>
      <c r="O9">
        <v>75</v>
      </c>
      <c r="P9" t="s">
        <v>19</v>
      </c>
      <c r="Q9">
        <v>75</v>
      </c>
    </row>
    <row r="10" spans="1:17" x14ac:dyDescent="0.3">
      <c r="A10" s="48" t="s">
        <v>449</v>
      </c>
      <c r="B10" s="48"/>
      <c r="C10" s="48"/>
      <c r="D10" s="48"/>
      <c r="E10" s="48"/>
      <c r="F10" s="48"/>
      <c r="G10" s="78"/>
      <c r="H10" s="79"/>
      <c r="I10" s="79"/>
      <c r="J10" s="79"/>
      <c r="K10" s="80"/>
      <c r="L10" s="48"/>
      <c r="N10" t="s">
        <v>40</v>
      </c>
      <c r="O10">
        <v>31</v>
      </c>
      <c r="P10" t="s">
        <v>40</v>
      </c>
      <c r="Q10">
        <v>31</v>
      </c>
    </row>
    <row r="11" spans="1:17" x14ac:dyDescent="0.3">
      <c r="A11" s="48" t="s">
        <v>450</v>
      </c>
      <c r="B11" s="48"/>
      <c r="C11" s="48"/>
      <c r="D11" s="48"/>
      <c r="E11" s="48"/>
      <c r="F11" s="48"/>
      <c r="G11" s="78"/>
      <c r="H11" s="79"/>
      <c r="I11" s="79"/>
      <c r="J11" s="79"/>
      <c r="K11" s="80"/>
      <c r="L11" s="48"/>
      <c r="N11" t="s">
        <v>28</v>
      </c>
      <c r="O11">
        <v>19</v>
      </c>
      <c r="P11" t="s">
        <v>28</v>
      </c>
      <c r="Q11">
        <v>19</v>
      </c>
    </row>
    <row r="12" spans="1:17" x14ac:dyDescent="0.3">
      <c r="A12" s="48" t="s">
        <v>451</v>
      </c>
      <c r="B12" s="48"/>
      <c r="C12" s="48"/>
      <c r="D12" s="48"/>
      <c r="E12" s="48"/>
      <c r="F12" s="48"/>
      <c r="G12" s="78"/>
      <c r="H12" s="79"/>
      <c r="I12" s="79"/>
      <c r="J12" s="79"/>
      <c r="K12" s="80"/>
      <c r="L12" s="48"/>
      <c r="N12" t="s">
        <v>144</v>
      </c>
      <c r="O12">
        <v>5</v>
      </c>
      <c r="P12" t="s">
        <v>144</v>
      </c>
      <c r="Q12">
        <v>5</v>
      </c>
    </row>
    <row r="13" spans="1:17" x14ac:dyDescent="0.3">
      <c r="A13" s="48"/>
      <c r="B13" s="48"/>
      <c r="C13" s="48"/>
      <c r="D13" s="48"/>
      <c r="E13" s="48"/>
      <c r="F13" s="48"/>
      <c r="G13" s="78"/>
      <c r="H13" s="79"/>
      <c r="I13" s="79"/>
      <c r="J13" s="79"/>
      <c r="K13" s="80"/>
      <c r="L13" s="48"/>
    </row>
    <row r="14" spans="1:17" x14ac:dyDescent="0.3">
      <c r="A14" s="74" t="s">
        <v>452</v>
      </c>
      <c r="B14" s="74"/>
      <c r="C14" s="74"/>
      <c r="D14" s="74"/>
      <c r="E14" s="74"/>
      <c r="F14" s="74"/>
      <c r="G14" s="75"/>
      <c r="H14" s="76"/>
      <c r="I14" s="76"/>
      <c r="J14" s="76"/>
      <c r="K14" s="77"/>
      <c r="L14" s="74"/>
      <c r="N14" t="s">
        <v>394</v>
      </c>
      <c r="O14" t="s">
        <v>267</v>
      </c>
      <c r="P14" t="s">
        <v>394</v>
      </c>
      <c r="Q14" t="s">
        <v>267</v>
      </c>
    </row>
    <row r="15" spans="1:17" x14ac:dyDescent="0.3">
      <c r="A15" s="66" t="s">
        <v>588</v>
      </c>
      <c r="B15" s="48"/>
      <c r="C15" s="48"/>
      <c r="D15" s="48"/>
      <c r="E15" s="48"/>
      <c r="F15" s="48"/>
      <c r="G15" s="78"/>
      <c r="H15" s="79"/>
      <c r="I15" s="79"/>
      <c r="J15" s="79"/>
      <c r="K15" s="80"/>
      <c r="L15" s="48"/>
      <c r="N15" t="s">
        <v>201</v>
      </c>
      <c r="O15">
        <v>43</v>
      </c>
      <c r="P15" t="s">
        <v>201</v>
      </c>
      <c r="Q15">
        <v>43</v>
      </c>
    </row>
    <row r="16" spans="1:17" x14ac:dyDescent="0.3">
      <c r="A16" s="66" t="s">
        <v>585</v>
      </c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N16" t="s">
        <v>202</v>
      </c>
      <c r="O16">
        <v>61</v>
      </c>
      <c r="P16" t="s">
        <v>202</v>
      </c>
      <c r="Q16">
        <v>61</v>
      </c>
    </row>
    <row r="17" spans="1:17" x14ac:dyDescent="0.3">
      <c r="A17" s="48" t="s">
        <v>453</v>
      </c>
      <c r="B17" s="48"/>
      <c r="C17" s="48"/>
      <c r="D17" s="48"/>
      <c r="E17" s="48"/>
      <c r="F17" s="48"/>
      <c r="G17" s="78"/>
      <c r="H17" s="79"/>
      <c r="I17" s="79"/>
      <c r="J17" s="79"/>
      <c r="K17" s="80"/>
      <c r="L17" s="48"/>
      <c r="N17" t="s">
        <v>203</v>
      </c>
      <c r="O17">
        <v>26</v>
      </c>
      <c r="P17" t="s">
        <v>203</v>
      </c>
      <c r="Q17">
        <v>26</v>
      </c>
    </row>
    <row r="18" spans="1:17" x14ac:dyDescent="0.3">
      <c r="A18" s="66" t="s">
        <v>587</v>
      </c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</row>
    <row r="19" spans="1:17" x14ac:dyDescent="0.3">
      <c r="A19" s="48"/>
      <c r="B19" s="48"/>
      <c r="C19" s="48"/>
      <c r="D19" s="48"/>
      <c r="E19" s="48"/>
      <c r="F19" s="48"/>
      <c r="G19" s="81"/>
      <c r="H19" s="82"/>
      <c r="I19" s="82"/>
      <c r="J19" s="82"/>
      <c r="K19" s="83"/>
      <c r="L19" s="48"/>
      <c r="N19" t="s">
        <v>577</v>
      </c>
      <c r="O19" t="s">
        <v>267</v>
      </c>
      <c r="P19" t="s">
        <v>577</v>
      </c>
      <c r="Q19" t="s">
        <v>267</v>
      </c>
    </row>
    <row r="20" spans="1:17" x14ac:dyDescent="0.3">
      <c r="A20" s="74" t="s">
        <v>454</v>
      </c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N20" t="s">
        <v>578</v>
      </c>
      <c r="O20">
        <v>95</v>
      </c>
      <c r="P20" t="s">
        <v>578</v>
      </c>
      <c r="Q20">
        <v>95</v>
      </c>
    </row>
    <row r="21" spans="1:17" ht="17.350000000000001" x14ac:dyDescent="0.35">
      <c r="A21" s="48" t="s">
        <v>455</v>
      </c>
      <c r="B21" s="48"/>
      <c r="C21" s="48"/>
      <c r="D21" s="48"/>
      <c r="E21" s="48"/>
      <c r="F21" s="48"/>
      <c r="G21" s="84"/>
      <c r="H21" s="85"/>
      <c r="I21" s="85"/>
      <c r="J21" s="85"/>
      <c r="K21" s="86"/>
      <c r="L21" s="48"/>
      <c r="N21" t="s">
        <v>579</v>
      </c>
      <c r="O21">
        <v>35</v>
      </c>
      <c r="P21" t="s">
        <v>579</v>
      </c>
      <c r="Q21">
        <v>35</v>
      </c>
    </row>
    <row r="22" spans="1:17" x14ac:dyDescent="0.3">
      <c r="A22" s="48" t="s">
        <v>456</v>
      </c>
      <c r="B22" s="48"/>
      <c r="C22" s="48"/>
      <c r="D22" s="48"/>
      <c r="E22" s="48"/>
      <c r="F22" s="48"/>
      <c r="G22" s="87"/>
      <c r="H22" s="85"/>
      <c r="I22" s="85"/>
      <c r="J22" s="85"/>
      <c r="K22" s="86"/>
      <c r="L22" s="48"/>
    </row>
    <row r="23" spans="1:17" x14ac:dyDescent="0.3">
      <c r="A23" s="66" t="s">
        <v>586</v>
      </c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</row>
    <row r="24" spans="1:17" x14ac:dyDescent="0.3">
      <c r="A24" s="48" t="s">
        <v>457</v>
      </c>
      <c r="B24" s="48"/>
      <c r="C24" s="48"/>
      <c r="D24" s="48"/>
      <c r="E24" s="48"/>
      <c r="F24" s="48"/>
      <c r="G24" s="87"/>
      <c r="H24" s="85"/>
      <c r="I24" s="85"/>
      <c r="J24" s="85"/>
      <c r="K24" s="86"/>
      <c r="L24" s="48"/>
    </row>
    <row r="25" spans="1:17" x14ac:dyDescent="0.3">
      <c r="G25" s="31" t="s">
        <v>582</v>
      </c>
      <c r="H25" s="92">
        <v>0.82299999999999995</v>
      </c>
      <c r="I25" s="85"/>
      <c r="J25" s="85" t="s">
        <v>583</v>
      </c>
      <c r="K25" s="86"/>
    </row>
    <row r="26" spans="1:17" x14ac:dyDescent="0.3">
      <c r="G26" s="31" t="s">
        <v>584</v>
      </c>
      <c r="H26" s="93">
        <v>0.78500000000000003</v>
      </c>
      <c r="I26" s="85"/>
      <c r="J26" s="85"/>
      <c r="K26" s="86"/>
    </row>
    <row r="28" spans="1:17" ht="19.350000000000001" x14ac:dyDescent="0.35">
      <c r="A28" s="70" t="s">
        <v>458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</row>
    <row r="30" spans="1:17" ht="17.350000000000001" x14ac:dyDescent="0.35">
      <c r="A30" s="88" t="s">
        <v>459</v>
      </c>
      <c r="B30" s="48"/>
      <c r="C30" s="48"/>
      <c r="D30" s="48"/>
    </row>
    <row r="32" spans="1:17" x14ac:dyDescent="0.3">
      <c r="A32" s="23" t="s">
        <v>460</v>
      </c>
      <c r="B32" s="23" t="s">
        <v>181</v>
      </c>
      <c r="C32" s="23" t="s">
        <v>188</v>
      </c>
      <c r="D32" s="23" t="s">
        <v>388</v>
      </c>
    </row>
    <row r="33" spans="1:12" x14ac:dyDescent="0.3">
      <c r="A33" s="21" t="s">
        <v>461</v>
      </c>
      <c r="B33" s="21">
        <f>Rapport_Complet!B6</f>
        <v>130</v>
      </c>
      <c r="C33" s="21" t="s">
        <v>322</v>
      </c>
      <c r="D33" s="21" t="s">
        <v>462</v>
      </c>
    </row>
    <row r="34" spans="1:12" x14ac:dyDescent="0.3">
      <c r="A34" s="21" t="s">
        <v>463</v>
      </c>
      <c r="B34" s="22">
        <f>Rapport_Complet!B10</f>
        <v>36.086923076923071</v>
      </c>
      <c r="C34" s="21" t="s">
        <v>322</v>
      </c>
      <c r="D34" s="21" t="s">
        <v>464</v>
      </c>
    </row>
    <row r="35" spans="1:12" x14ac:dyDescent="0.3">
      <c r="A35" s="21" t="s">
        <v>465</v>
      </c>
      <c r="B35" s="22">
        <f>Rapport_Complet!B11</f>
        <v>33</v>
      </c>
      <c r="C35" s="21" t="s">
        <v>322</v>
      </c>
      <c r="D35" s="21"/>
    </row>
    <row r="36" spans="1:12" x14ac:dyDescent="0.3">
      <c r="A36" s="21" t="s">
        <v>466</v>
      </c>
      <c r="B36" s="21">
        <f>Rapport_Complet!B17</f>
        <v>74</v>
      </c>
      <c r="C36" s="22">
        <f>Rapport_Complet!C17</f>
        <v>56.92307692307692</v>
      </c>
      <c r="D36" s="21"/>
    </row>
    <row r="37" spans="1:12" x14ac:dyDescent="0.3">
      <c r="A37" s="21" t="s">
        <v>467</v>
      </c>
      <c r="B37" s="21">
        <f>Rapport_Complet!B18</f>
        <v>56</v>
      </c>
      <c r="C37" s="22">
        <f>Rapport_Complet!C18</f>
        <v>43.07692307692308</v>
      </c>
      <c r="D37" s="21"/>
    </row>
    <row r="38" spans="1:12" x14ac:dyDescent="0.3">
      <c r="A38" s="21" t="s">
        <v>201</v>
      </c>
      <c r="B38" s="21">
        <f>Rapport_Complet!B89</f>
        <v>43</v>
      </c>
      <c r="C38" s="22">
        <f>Rapport_Complet!C89</f>
        <v>33.076923076923073</v>
      </c>
      <c r="D38" s="21" t="s">
        <v>468</v>
      </c>
    </row>
    <row r="39" spans="1:12" x14ac:dyDescent="0.3">
      <c r="A39" s="21" t="s">
        <v>202</v>
      </c>
      <c r="B39" s="21">
        <f>Rapport_Complet!B90</f>
        <v>61</v>
      </c>
      <c r="C39" s="22">
        <f>Rapport_Complet!C90</f>
        <v>46.92307692307692</v>
      </c>
      <c r="D39" s="21" t="s">
        <v>469</v>
      </c>
    </row>
    <row r="40" spans="1:12" x14ac:dyDescent="0.3">
      <c r="A40" s="21" t="s">
        <v>203</v>
      </c>
      <c r="B40" s="21">
        <f>Rapport_Complet!B91</f>
        <v>26</v>
      </c>
      <c r="C40" s="22">
        <f>Rapport_Complet!C91</f>
        <v>20</v>
      </c>
      <c r="D40" s="21" t="s">
        <v>470</v>
      </c>
    </row>
    <row r="44" spans="1:12" ht="19.350000000000001" x14ac:dyDescent="0.35">
      <c r="A44" s="70" t="s">
        <v>471</v>
      </c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</row>
    <row r="46" spans="1:12" x14ac:dyDescent="0.3">
      <c r="A46" s="52" t="s">
        <v>472</v>
      </c>
      <c r="B46" s="48"/>
      <c r="C46" s="48"/>
      <c r="D46" s="48"/>
    </row>
    <row r="48" spans="1:12" x14ac:dyDescent="0.3">
      <c r="A48" s="13" t="s">
        <v>473</v>
      </c>
      <c r="B48" s="13" t="s">
        <v>267</v>
      </c>
      <c r="C48" s="13" t="s">
        <v>188</v>
      </c>
    </row>
    <row r="49" spans="1:4" x14ac:dyDescent="0.3">
      <c r="A49" t="s">
        <v>32</v>
      </c>
      <c r="B49">
        <f>Rapport_Complet!B22</f>
        <v>68</v>
      </c>
      <c r="C49" s="20">
        <f>Rapport_Complet!C22</f>
        <v>52.307692307692314</v>
      </c>
    </row>
    <row r="50" spans="1:4" x14ac:dyDescent="0.3">
      <c r="A50" t="s">
        <v>24</v>
      </c>
      <c r="B50">
        <f>Rapport_Complet!B23</f>
        <v>62</v>
      </c>
      <c r="C50" s="20">
        <f>Rapport_Complet!C23</f>
        <v>47.692307692307693</v>
      </c>
    </row>
    <row r="53" spans="1:4" x14ac:dyDescent="0.3">
      <c r="A53" s="52" t="s">
        <v>474</v>
      </c>
      <c r="B53" s="48"/>
      <c r="C53" s="48"/>
      <c r="D53" s="48"/>
    </row>
    <row r="55" spans="1:4" x14ac:dyDescent="0.3">
      <c r="A55" s="13" t="s">
        <v>475</v>
      </c>
      <c r="B55" s="13" t="s">
        <v>267</v>
      </c>
      <c r="C55" s="13" t="s">
        <v>188</v>
      </c>
    </row>
    <row r="56" spans="1:4" x14ac:dyDescent="0.3">
      <c r="A56" t="s">
        <v>25</v>
      </c>
      <c r="B56">
        <f>Rapport_Complet!B27</f>
        <v>67</v>
      </c>
      <c r="C56" s="20">
        <f>Rapport_Complet!C27</f>
        <v>51.538461538461533</v>
      </c>
    </row>
    <row r="57" spans="1:4" x14ac:dyDescent="0.3">
      <c r="A57" t="s">
        <v>38</v>
      </c>
      <c r="B57">
        <f>Rapport_Complet!B28</f>
        <v>60</v>
      </c>
      <c r="C57" s="20">
        <f>Rapport_Complet!C28</f>
        <v>46.153846153846153</v>
      </c>
    </row>
    <row r="58" spans="1:4" x14ac:dyDescent="0.3">
      <c r="A58" t="s">
        <v>58</v>
      </c>
      <c r="B58">
        <f>Rapport_Complet!B29</f>
        <v>3</v>
      </c>
      <c r="C58" s="20">
        <f>Rapport_Complet!C29</f>
        <v>2.3076923076923079</v>
      </c>
    </row>
    <row r="61" spans="1:4" x14ac:dyDescent="0.3">
      <c r="A61" s="52" t="s">
        <v>476</v>
      </c>
      <c r="B61" s="48"/>
      <c r="C61" s="48"/>
      <c r="D61" s="48"/>
    </row>
    <row r="63" spans="1:4" x14ac:dyDescent="0.3">
      <c r="A63" s="13" t="s">
        <v>239</v>
      </c>
      <c r="B63" s="13" t="s">
        <v>267</v>
      </c>
      <c r="C63" s="13" t="s">
        <v>188</v>
      </c>
    </row>
    <row r="64" spans="1:4" x14ac:dyDescent="0.3">
      <c r="A64" t="s">
        <v>19</v>
      </c>
      <c r="B64">
        <f>Rapport_Complet!B47</f>
        <v>75</v>
      </c>
      <c r="C64" s="20">
        <f>Rapport_Complet!C47</f>
        <v>57.692307692307686</v>
      </c>
    </row>
    <row r="65" spans="1:4" x14ac:dyDescent="0.3">
      <c r="A65" t="s">
        <v>40</v>
      </c>
      <c r="B65">
        <f>Rapport_Complet!B48</f>
        <v>31</v>
      </c>
      <c r="C65" s="20">
        <f>Rapport_Complet!C48</f>
        <v>23.846153846153847</v>
      </c>
    </row>
    <row r="66" spans="1:4" x14ac:dyDescent="0.3">
      <c r="A66" t="s">
        <v>28</v>
      </c>
      <c r="B66">
        <f>Rapport_Complet!B49</f>
        <v>19</v>
      </c>
      <c r="C66" s="20">
        <f>Rapport_Complet!C49</f>
        <v>14.615384615384617</v>
      </c>
    </row>
    <row r="67" spans="1:4" x14ac:dyDescent="0.3">
      <c r="A67" t="s">
        <v>144</v>
      </c>
      <c r="B67">
        <f>Rapport_Complet!B50</f>
        <v>5</v>
      </c>
      <c r="C67" s="20">
        <f>Rapport_Complet!C50</f>
        <v>3.8461538461538463</v>
      </c>
    </row>
    <row r="70" spans="1:4" x14ac:dyDescent="0.3">
      <c r="A70" s="52" t="s">
        <v>477</v>
      </c>
      <c r="B70" s="48"/>
      <c r="C70" s="48"/>
      <c r="D70" s="48"/>
    </row>
    <row r="72" spans="1:4" x14ac:dyDescent="0.3">
      <c r="A72" s="13" t="s">
        <v>475</v>
      </c>
      <c r="B72" s="13" t="s">
        <v>267</v>
      </c>
      <c r="C72" s="13" t="s">
        <v>188</v>
      </c>
    </row>
    <row r="73" spans="1:4" x14ac:dyDescent="0.3">
      <c r="A73" t="s">
        <v>35</v>
      </c>
      <c r="B73">
        <f>Rapport_Complet!B71</f>
        <v>25</v>
      </c>
      <c r="C73" s="20">
        <f>Rapport_Complet!C71</f>
        <v>19.230769230769234</v>
      </c>
    </row>
    <row r="74" spans="1:4" x14ac:dyDescent="0.3">
      <c r="A74" t="s">
        <v>74</v>
      </c>
      <c r="B74">
        <f>Rapport_Complet!B72</f>
        <v>20</v>
      </c>
      <c r="C74" s="20">
        <f>Rapport_Complet!C72</f>
        <v>15.384615384615385</v>
      </c>
    </row>
    <row r="75" spans="1:4" x14ac:dyDescent="0.3">
      <c r="A75" t="s">
        <v>64</v>
      </c>
      <c r="B75">
        <f>Rapport_Complet!B73</f>
        <v>15</v>
      </c>
      <c r="C75" s="20">
        <f>Rapport_Complet!C73</f>
        <v>11.538461538461538</v>
      </c>
    </row>
    <row r="76" spans="1:4" x14ac:dyDescent="0.3">
      <c r="A76" t="s">
        <v>70</v>
      </c>
      <c r="B76">
        <f>Rapport_Complet!B74</f>
        <v>8</v>
      </c>
      <c r="C76" s="20">
        <f>Rapport_Complet!C74</f>
        <v>6.1538461538461542</v>
      </c>
    </row>
    <row r="77" spans="1:4" x14ac:dyDescent="0.3">
      <c r="A77" t="s">
        <v>26</v>
      </c>
      <c r="B77">
        <f>Rapport_Complet!B75</f>
        <v>7</v>
      </c>
      <c r="C77" s="20">
        <f>Rapport_Complet!C75</f>
        <v>5.384615384615385</v>
      </c>
    </row>
    <row r="82" spans="1:12" ht="19.350000000000001" x14ac:dyDescent="0.35">
      <c r="A82" s="70" t="s">
        <v>478</v>
      </c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</row>
    <row r="84" spans="1:12" x14ac:dyDescent="0.3">
      <c r="A84" s="52" t="s">
        <v>479</v>
      </c>
      <c r="B84" s="48"/>
      <c r="C84" s="48"/>
      <c r="D84" s="48"/>
    </row>
    <row r="86" spans="1:12" x14ac:dyDescent="0.3">
      <c r="A86" s="89" t="s">
        <v>480</v>
      </c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</row>
    <row r="88" spans="1:12" x14ac:dyDescent="0.3">
      <c r="A88" s="13" t="s">
        <v>481</v>
      </c>
      <c r="B88" s="13" t="s">
        <v>267</v>
      </c>
      <c r="C88" s="13" t="s">
        <v>188</v>
      </c>
    </row>
    <row r="89" spans="1:12" x14ac:dyDescent="0.3">
      <c r="A89" t="s">
        <v>268</v>
      </c>
      <c r="B89">
        <f>Regression_Python!B198</f>
        <v>95</v>
      </c>
      <c r="C89">
        <f>ROUND(Regression_Python!B198/(Regression_Python!B198+Regression_Python!B199)*100,2)</f>
        <v>73.08</v>
      </c>
    </row>
    <row r="90" spans="1:12" x14ac:dyDescent="0.3">
      <c r="A90" t="s">
        <v>269</v>
      </c>
      <c r="B90">
        <f>Regression_Python!B199</f>
        <v>35</v>
      </c>
      <c r="C90">
        <f>ROUND(Regression_Python!B199/(Regression_Python!B198+Regression_Python!B199)*100,2)</f>
        <v>26.92</v>
      </c>
    </row>
    <row r="93" spans="1:12" x14ac:dyDescent="0.3">
      <c r="A93" s="52" t="s">
        <v>482</v>
      </c>
      <c r="B93" s="48"/>
      <c r="C93" s="48"/>
      <c r="D93" s="48"/>
    </row>
    <row r="95" spans="1:12" x14ac:dyDescent="0.3">
      <c r="A95" s="26" t="s">
        <v>252</v>
      </c>
      <c r="B95" s="26" t="s">
        <v>316</v>
      </c>
      <c r="C95" s="26" t="s">
        <v>318</v>
      </c>
      <c r="D95" s="26" t="s">
        <v>417</v>
      </c>
      <c r="E95" s="26" t="s">
        <v>384</v>
      </c>
      <c r="F95" s="26" t="s">
        <v>297</v>
      </c>
      <c r="G95" s="26" t="s">
        <v>298</v>
      </c>
      <c r="H95" s="26" t="s">
        <v>299</v>
      </c>
      <c r="I95" s="26" t="s">
        <v>483</v>
      </c>
    </row>
    <row r="96" spans="1:12" x14ac:dyDescent="0.3">
      <c r="A96" s="21" t="s">
        <v>385</v>
      </c>
      <c r="B96" s="21">
        <f>Regression_Python!B167</f>
        <v>-2.85</v>
      </c>
      <c r="C96" s="21">
        <f>Regression_Python!C167</f>
        <v>0.52</v>
      </c>
      <c r="D96" s="21">
        <f>Regression_Python!D167</f>
        <v>-5.48</v>
      </c>
      <c r="E96" s="21">
        <f>Regression_Python!E167</f>
        <v>1E-4</v>
      </c>
      <c r="F96" s="21">
        <f>Regression_Python!F167</f>
        <v>5.8000000000000003E-2</v>
      </c>
      <c r="G96" s="21">
        <f>Regression_Python!G167</f>
        <v>2.1000000000000001E-2</v>
      </c>
      <c r="H96" s="21">
        <f>Regression_Python!H167</f>
        <v>0.161</v>
      </c>
      <c r="I96" s="21" t="str">
        <f>Regression_Python!I167</f>
        <v>***</v>
      </c>
    </row>
    <row r="97" spans="1:12" x14ac:dyDescent="0.3">
      <c r="A97" s="24" t="s">
        <v>394</v>
      </c>
      <c r="B97" s="24">
        <f>Regression_Python!B168</f>
        <v>-2.5000000000000001E-2</v>
      </c>
      <c r="C97" s="24">
        <f>Regression_Python!C168</f>
        <v>8.0000000000000002E-3</v>
      </c>
      <c r="D97" s="24">
        <f>Regression_Python!D168</f>
        <v>-3.12</v>
      </c>
      <c r="E97" s="24">
        <f>Regression_Python!E168</f>
        <v>2E-3</v>
      </c>
      <c r="F97" s="24">
        <f>Regression_Python!F168</f>
        <v>0.97499999999999998</v>
      </c>
      <c r="G97" s="24">
        <f>Regression_Python!G168</f>
        <v>0.96</v>
      </c>
      <c r="H97" s="24">
        <f>Regression_Python!H168</f>
        <v>0.99099999999999999</v>
      </c>
      <c r="I97" s="24" t="str">
        <f>Regression_Python!I168</f>
        <v>**</v>
      </c>
    </row>
    <row r="98" spans="1:12" x14ac:dyDescent="0.3">
      <c r="A98" s="25" t="s">
        <v>6</v>
      </c>
      <c r="B98" s="25">
        <f>Regression_Python!B169</f>
        <v>0.46300000000000002</v>
      </c>
      <c r="C98" s="25">
        <f>Regression_Python!C169</f>
        <v>0.39800000000000002</v>
      </c>
      <c r="D98" s="25">
        <f>Regression_Python!D169</f>
        <v>1.1599999999999999</v>
      </c>
      <c r="E98" s="25">
        <f>Regression_Python!E169</f>
        <v>0.32400000000000001</v>
      </c>
      <c r="F98" s="25">
        <f>Regression_Python!F169</f>
        <v>1.59</v>
      </c>
      <c r="G98" s="25">
        <f>Regression_Python!G169</f>
        <v>0.73</v>
      </c>
      <c r="H98" s="25">
        <f>Regression_Python!H169</f>
        <v>3.46</v>
      </c>
      <c r="I98" s="25" t="str">
        <f>Regression_Python!I169</f>
        <v>NS</v>
      </c>
    </row>
    <row r="99" spans="1:12" x14ac:dyDescent="0.3">
      <c r="A99" s="24" t="s">
        <v>338</v>
      </c>
      <c r="B99" s="24">
        <f>Regression_Python!B170</f>
        <v>2.8610000000000002</v>
      </c>
      <c r="C99" s="24">
        <f>Regression_Python!C170</f>
        <v>0.64</v>
      </c>
      <c r="D99" s="24">
        <f>Regression_Python!D170</f>
        <v>4.47</v>
      </c>
      <c r="E99" s="24">
        <f>Regression_Python!E170</f>
        <v>1E-4</v>
      </c>
      <c r="F99" s="24">
        <f>Regression_Python!F170</f>
        <v>17.48</v>
      </c>
      <c r="G99" s="24">
        <f>Regression_Python!G170</f>
        <v>4.99</v>
      </c>
      <c r="H99" s="24">
        <f>Regression_Python!H170</f>
        <v>61.26</v>
      </c>
      <c r="I99" s="24" t="str">
        <f>Regression_Python!I170</f>
        <v>***</v>
      </c>
    </row>
    <row r="100" spans="1:12" x14ac:dyDescent="0.3">
      <c r="A100" s="21" t="s">
        <v>12</v>
      </c>
      <c r="B100" s="21">
        <f>Regression_Python!B171</f>
        <v>0.313</v>
      </c>
      <c r="C100" s="21">
        <f>Regression_Python!C171</f>
        <v>1.2410000000000001</v>
      </c>
      <c r="D100" s="21">
        <f>Regression_Python!D171</f>
        <v>0.25</v>
      </c>
      <c r="E100" s="21">
        <f>Regression_Python!E171</f>
        <v>1E-4</v>
      </c>
      <c r="F100" s="21">
        <f>Regression_Python!F171</f>
        <v>1.37</v>
      </c>
      <c r="G100" s="21">
        <f>Regression_Python!G171</f>
        <v>0.12</v>
      </c>
      <c r="H100" s="21">
        <f>Regression_Python!H171</f>
        <v>15.57</v>
      </c>
      <c r="I100" s="21" t="str">
        <f>Regression_Python!I171</f>
        <v>***</v>
      </c>
    </row>
    <row r="101" spans="1:12" x14ac:dyDescent="0.3">
      <c r="A101" s="24" t="s">
        <v>393</v>
      </c>
      <c r="B101" s="24">
        <f>Regression_Python!B172</f>
        <v>1.7999999999999999E-2</v>
      </c>
      <c r="C101" s="24">
        <f>Regression_Python!C172</f>
        <v>6.0000000000000001E-3</v>
      </c>
      <c r="D101" s="24">
        <f>Regression_Python!D172</f>
        <v>3</v>
      </c>
      <c r="E101" s="24">
        <f>Regression_Python!E172</f>
        <v>3.0000000000000001E-3</v>
      </c>
      <c r="F101" s="24">
        <f>Regression_Python!F172</f>
        <v>1.018</v>
      </c>
      <c r="G101" s="24">
        <f>Regression_Python!G172</f>
        <v>1.006</v>
      </c>
      <c r="H101" s="24">
        <f>Regression_Python!H172</f>
        <v>1.03</v>
      </c>
      <c r="I101" s="24" t="str">
        <f>Regression_Python!I172</f>
        <v>**</v>
      </c>
    </row>
    <row r="103" spans="1:12" x14ac:dyDescent="0.3">
      <c r="A103" s="89" t="s">
        <v>484</v>
      </c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</row>
    <row r="106" spans="1:12" x14ac:dyDescent="0.3">
      <c r="A106" s="52" t="s">
        <v>485</v>
      </c>
      <c r="B106" s="48"/>
      <c r="C106" s="48"/>
      <c r="D106" s="48"/>
    </row>
    <row r="108" spans="1:12" x14ac:dyDescent="0.3">
      <c r="A108" s="13" t="s">
        <v>486</v>
      </c>
      <c r="B108" s="13" t="s">
        <v>181</v>
      </c>
      <c r="C108" s="13" t="s">
        <v>387</v>
      </c>
    </row>
    <row r="109" spans="1:12" x14ac:dyDescent="0.3">
      <c r="A109" t="s">
        <v>389</v>
      </c>
      <c r="B109">
        <v>0.318</v>
      </c>
      <c r="C109" t="s">
        <v>487</v>
      </c>
    </row>
    <row r="110" spans="1:12" x14ac:dyDescent="0.3">
      <c r="A110" t="s">
        <v>390</v>
      </c>
      <c r="B110">
        <v>0.82299999999999995</v>
      </c>
      <c r="C110" t="s">
        <v>488</v>
      </c>
    </row>
    <row r="111" spans="1:12" x14ac:dyDescent="0.3">
      <c r="A111" t="s">
        <v>391</v>
      </c>
      <c r="B111" s="14">
        <v>0.78500000000000003</v>
      </c>
      <c r="C111" t="s">
        <v>489</v>
      </c>
    </row>
    <row r="115" spans="1:12" ht="19.350000000000001" x14ac:dyDescent="0.35">
      <c r="A115" s="70" t="s">
        <v>490</v>
      </c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</row>
    <row r="117" spans="1:12" x14ac:dyDescent="0.3">
      <c r="A117" s="52" t="s">
        <v>491</v>
      </c>
      <c r="B117" s="48"/>
      <c r="C117" s="48"/>
      <c r="D117" s="48"/>
    </row>
    <row r="119" spans="1:12" x14ac:dyDescent="0.3">
      <c r="A119" s="27" t="s">
        <v>334</v>
      </c>
      <c r="B119" s="27" t="s">
        <v>297</v>
      </c>
      <c r="C119" s="27" t="s">
        <v>492</v>
      </c>
      <c r="D119" s="27" t="s">
        <v>384</v>
      </c>
      <c r="E119" s="27" t="s">
        <v>493</v>
      </c>
    </row>
    <row r="120" spans="1:12" x14ac:dyDescent="0.3">
      <c r="A120" s="21" t="s">
        <v>494</v>
      </c>
      <c r="B120" s="21">
        <v>17.48</v>
      </c>
      <c r="C120" s="21" t="s">
        <v>495</v>
      </c>
      <c r="D120" s="21" t="s">
        <v>386</v>
      </c>
      <c r="E120" s="21" t="s">
        <v>496</v>
      </c>
    </row>
    <row r="121" spans="1:12" x14ac:dyDescent="0.3">
      <c r="A121" s="21" t="s">
        <v>497</v>
      </c>
      <c r="B121" s="21">
        <v>1.37</v>
      </c>
      <c r="C121" s="21" t="s">
        <v>498</v>
      </c>
      <c r="D121" s="21" t="s">
        <v>386</v>
      </c>
      <c r="E121" s="21" t="s">
        <v>499</v>
      </c>
    </row>
    <row r="122" spans="1:12" x14ac:dyDescent="0.3">
      <c r="A122" s="21" t="s">
        <v>500</v>
      </c>
      <c r="B122" s="21">
        <v>1.018</v>
      </c>
      <c r="C122" s="21" t="s">
        <v>501</v>
      </c>
      <c r="D122" s="21">
        <v>3.0000000000000001E-3</v>
      </c>
      <c r="E122" s="21" t="s">
        <v>502</v>
      </c>
    </row>
    <row r="123" spans="1:12" x14ac:dyDescent="0.3">
      <c r="A123" s="21" t="s">
        <v>503</v>
      </c>
      <c r="B123" s="21">
        <v>0.97499999999999998</v>
      </c>
      <c r="C123" s="21" t="s">
        <v>504</v>
      </c>
      <c r="D123" s="21">
        <v>2E-3</v>
      </c>
      <c r="E123" s="21" t="s">
        <v>505</v>
      </c>
    </row>
    <row r="124" spans="1:12" x14ac:dyDescent="0.3">
      <c r="A124" s="21" t="s">
        <v>506</v>
      </c>
      <c r="B124" s="21">
        <v>1.59</v>
      </c>
      <c r="C124" s="21" t="s">
        <v>507</v>
      </c>
      <c r="D124" s="21">
        <v>0.32400000000000001</v>
      </c>
      <c r="E124" s="21" t="s">
        <v>508</v>
      </c>
    </row>
    <row r="128" spans="1:12" ht="19.350000000000001" x14ac:dyDescent="0.35">
      <c r="A128" s="70" t="s">
        <v>509</v>
      </c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</row>
    <row r="130" spans="1:12" x14ac:dyDescent="0.3">
      <c r="A130" s="52" t="s">
        <v>510</v>
      </c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</row>
    <row r="132" spans="1:12" ht="16" x14ac:dyDescent="0.3">
      <c r="A132" s="90" t="s">
        <v>511</v>
      </c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</row>
    <row r="134" spans="1:12" x14ac:dyDescent="0.3">
      <c r="A134" s="89" t="s">
        <v>512</v>
      </c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</row>
    <row r="136" spans="1:12" x14ac:dyDescent="0.3">
      <c r="A136" s="89" t="s">
        <v>513</v>
      </c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</row>
    <row r="140" spans="1:12" ht="19.350000000000001" x14ac:dyDescent="0.35">
      <c r="A140" s="70" t="s">
        <v>514</v>
      </c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</row>
    <row r="142" spans="1:12" x14ac:dyDescent="0.3">
      <c r="A142" s="23" t="s">
        <v>200</v>
      </c>
      <c r="B142" s="23" t="s">
        <v>267</v>
      </c>
      <c r="C142" s="23" t="s">
        <v>515</v>
      </c>
      <c r="D142" s="23" t="s">
        <v>516</v>
      </c>
      <c r="E142" s="23" t="s">
        <v>517</v>
      </c>
      <c r="F142" s="23" t="s">
        <v>518</v>
      </c>
    </row>
    <row r="143" spans="1:12" x14ac:dyDescent="0.3">
      <c r="A143" s="21" t="s">
        <v>201</v>
      </c>
      <c r="B143" s="21">
        <f>Rapport_Complet!B89</f>
        <v>43</v>
      </c>
      <c r="C143" s="22">
        <f>Rapport_Complet!C89</f>
        <v>33.076923076923073</v>
      </c>
      <c r="D143" s="22">
        <f>Rapport_Complet!C117</f>
        <v>62.790697674418603</v>
      </c>
      <c r="E143" s="22">
        <f>Rapport_Complet!C106</f>
        <v>53.488372093023251</v>
      </c>
      <c r="F143" s="22">
        <f>Rapport_Complet!C112</f>
        <v>58.139534883720934</v>
      </c>
    </row>
    <row r="144" spans="1:12" x14ac:dyDescent="0.3">
      <c r="A144" s="21" t="s">
        <v>202</v>
      </c>
      <c r="B144" s="21">
        <f>Rapport_Complet!B90</f>
        <v>61</v>
      </c>
      <c r="C144" s="22">
        <f>Rapport_Complet!C90</f>
        <v>46.92307692307692</v>
      </c>
      <c r="D144" s="22">
        <f>Rapport_Complet!C145</f>
        <v>65.573770491803273</v>
      </c>
      <c r="E144" s="22">
        <f>Rapport_Complet!C134</f>
        <v>62.295081967213115</v>
      </c>
      <c r="F144" s="22">
        <f>Rapport_Complet!C140</f>
        <v>47.540983606557376</v>
      </c>
    </row>
    <row r="145" spans="1:12" x14ac:dyDescent="0.3">
      <c r="A145" s="21" t="s">
        <v>203</v>
      </c>
      <c r="B145" s="21">
        <f>Rapport_Complet!B91</f>
        <v>26</v>
      </c>
      <c r="C145" s="22">
        <f>Rapport_Complet!C91</f>
        <v>20</v>
      </c>
      <c r="D145" s="22">
        <f>Rapport_Complet!C173</f>
        <v>30.76923076923077</v>
      </c>
      <c r="E145" s="22">
        <f>Rapport_Complet!C162</f>
        <v>26.923076923076923</v>
      </c>
      <c r="F145" s="22">
        <f>Rapport_Complet!C168</f>
        <v>23.076923076923077</v>
      </c>
    </row>
    <row r="150" spans="1:12" ht="19.350000000000001" x14ac:dyDescent="0.35">
      <c r="A150" s="70" t="s">
        <v>519</v>
      </c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</row>
    <row r="152" spans="1:12" x14ac:dyDescent="0.3">
      <c r="A152" s="74" t="s">
        <v>520</v>
      </c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</row>
    <row r="154" spans="1:12" x14ac:dyDescent="0.3">
      <c r="A154" s="48" t="s">
        <v>521</v>
      </c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</row>
    <row r="155" spans="1:12" x14ac:dyDescent="0.3">
      <c r="A155" s="48" t="s">
        <v>522</v>
      </c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</row>
    <row r="156" spans="1:12" x14ac:dyDescent="0.3">
      <c r="A156" s="48" t="s">
        <v>523</v>
      </c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</row>
    <row r="157" spans="1:12" x14ac:dyDescent="0.3">
      <c r="A157" s="48" t="s">
        <v>524</v>
      </c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</row>
    <row r="158" spans="1:12" x14ac:dyDescent="0.3">
      <c r="A158" s="48" t="s">
        <v>525</v>
      </c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</row>
    <row r="159" spans="1:12" x14ac:dyDescent="0.3">
      <c r="A159" s="48" t="s">
        <v>526</v>
      </c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</row>
    <row r="160" spans="1:12" x14ac:dyDescent="0.3">
      <c r="A160" s="48" t="s">
        <v>527</v>
      </c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</row>
    <row r="163" spans="1:12" x14ac:dyDescent="0.3">
      <c r="A163" s="74" t="s">
        <v>528</v>
      </c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</row>
    <row r="165" spans="1:12" x14ac:dyDescent="0.3">
      <c r="A165" s="48" t="s">
        <v>529</v>
      </c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</row>
    <row r="166" spans="1:12" x14ac:dyDescent="0.3">
      <c r="A166" s="48" t="s">
        <v>530</v>
      </c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</row>
    <row r="167" spans="1:12" x14ac:dyDescent="0.3">
      <c r="A167" s="48" t="s">
        <v>531</v>
      </c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</row>
    <row r="168" spans="1:12" x14ac:dyDescent="0.3">
      <c r="A168" s="48" t="s">
        <v>532</v>
      </c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</row>
    <row r="169" spans="1:12" x14ac:dyDescent="0.3">
      <c r="A169" s="48" t="s">
        <v>533</v>
      </c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</row>
    <row r="170" spans="1:12" x14ac:dyDescent="0.3">
      <c r="A170" s="48" t="s">
        <v>534</v>
      </c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</row>
    <row r="173" spans="1:12" ht="19.350000000000001" x14ac:dyDescent="0.35">
      <c r="A173" s="70" t="s">
        <v>535</v>
      </c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</row>
    <row r="175" spans="1:12" x14ac:dyDescent="0.3">
      <c r="A175" s="48" t="s">
        <v>536</v>
      </c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</row>
    <row r="176" spans="1:12" x14ac:dyDescent="0.3">
      <c r="A176" s="48" t="s">
        <v>537</v>
      </c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</row>
    <row r="177" spans="1:12" x14ac:dyDescent="0.3">
      <c r="A177" s="48" t="s">
        <v>538</v>
      </c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</row>
    <row r="178" spans="1:12" x14ac:dyDescent="0.3">
      <c r="A178" s="48" t="s">
        <v>539</v>
      </c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</row>
    <row r="179" spans="1:12" x14ac:dyDescent="0.3">
      <c r="A179" s="48" t="s">
        <v>540</v>
      </c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</row>
    <row r="182" spans="1:12" ht="19.350000000000001" x14ac:dyDescent="0.35">
      <c r="A182" s="70" t="s">
        <v>541</v>
      </c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</row>
    <row r="184" spans="1:12" x14ac:dyDescent="0.3">
      <c r="A184" s="52" t="s">
        <v>542</v>
      </c>
      <c r="B184" s="48"/>
      <c r="C184" s="48"/>
      <c r="D184" s="48"/>
    </row>
    <row r="186" spans="1:12" x14ac:dyDescent="0.3">
      <c r="A186" s="13" t="s">
        <v>252</v>
      </c>
      <c r="B186" s="13" t="s">
        <v>543</v>
      </c>
      <c r="C186" s="13" t="s">
        <v>544</v>
      </c>
    </row>
    <row r="187" spans="1:12" x14ac:dyDescent="0.3">
      <c r="A187" t="s">
        <v>338</v>
      </c>
      <c r="B187">
        <v>0.47499999999999998</v>
      </c>
      <c r="C187" t="s">
        <v>545</v>
      </c>
    </row>
    <row r="188" spans="1:12" x14ac:dyDescent="0.3">
      <c r="A188" t="s">
        <v>393</v>
      </c>
      <c r="B188">
        <v>0.31</v>
      </c>
      <c r="C188" t="s">
        <v>546</v>
      </c>
    </row>
    <row r="189" spans="1:12" x14ac:dyDescent="0.3">
      <c r="A189" t="s">
        <v>394</v>
      </c>
      <c r="B189">
        <v>-0.318</v>
      </c>
      <c r="C189" t="s">
        <v>547</v>
      </c>
    </row>
    <row r="190" spans="1:12" x14ac:dyDescent="0.3">
      <c r="A190" t="s">
        <v>6</v>
      </c>
      <c r="B190">
        <v>0.10199999999999999</v>
      </c>
      <c r="C190" t="s">
        <v>548</v>
      </c>
    </row>
    <row r="193" spans="1:12" x14ac:dyDescent="0.3">
      <c r="A193" s="52" t="s">
        <v>549</v>
      </c>
      <c r="B193" s="48"/>
      <c r="C193" s="48"/>
      <c r="D193" s="48"/>
    </row>
    <row r="195" spans="1:12" x14ac:dyDescent="0.3">
      <c r="A195" s="13" t="s">
        <v>550</v>
      </c>
      <c r="B195" s="13" t="s">
        <v>551</v>
      </c>
      <c r="C195" s="13" t="s">
        <v>384</v>
      </c>
      <c r="D195" s="13" t="s">
        <v>336</v>
      </c>
    </row>
    <row r="196" spans="1:12" x14ac:dyDescent="0.3">
      <c r="A196" t="s">
        <v>552</v>
      </c>
      <c r="B196">
        <v>29.35</v>
      </c>
      <c r="C196" t="s">
        <v>386</v>
      </c>
      <c r="D196" s="28" t="s">
        <v>553</v>
      </c>
    </row>
    <row r="197" spans="1:12" x14ac:dyDescent="0.3">
      <c r="A197" t="s">
        <v>554</v>
      </c>
      <c r="B197">
        <v>13.18</v>
      </c>
      <c r="C197">
        <v>1E-3</v>
      </c>
      <c r="D197" s="28" t="s">
        <v>553</v>
      </c>
    </row>
    <row r="198" spans="1:12" x14ac:dyDescent="0.3">
      <c r="A198" t="s">
        <v>555</v>
      </c>
      <c r="B198">
        <v>9.25</v>
      </c>
      <c r="C198">
        <v>2E-3</v>
      </c>
      <c r="D198" s="28" t="s">
        <v>553</v>
      </c>
    </row>
    <row r="199" spans="1:12" x14ac:dyDescent="0.3">
      <c r="A199" t="s">
        <v>556</v>
      </c>
      <c r="B199">
        <v>1.34</v>
      </c>
      <c r="C199">
        <v>0.247</v>
      </c>
      <c r="D199" s="29" t="s">
        <v>557</v>
      </c>
    </row>
    <row r="203" spans="1:12" ht="19.350000000000001" x14ac:dyDescent="0.35">
      <c r="A203" s="70" t="s">
        <v>558</v>
      </c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</row>
    <row r="205" spans="1:12" x14ac:dyDescent="0.3">
      <c r="A205" s="52" t="s">
        <v>559</v>
      </c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</row>
    <row r="206" spans="1:12" x14ac:dyDescent="0.3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</row>
    <row r="207" spans="1:12" x14ac:dyDescent="0.3">
      <c r="A207" s="48" t="s">
        <v>560</v>
      </c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</row>
    <row r="208" spans="1:12" x14ac:dyDescent="0.3">
      <c r="A208" s="48" t="s">
        <v>561</v>
      </c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</row>
    <row r="209" spans="1:12" x14ac:dyDescent="0.3">
      <c r="A209" s="48" t="s">
        <v>562</v>
      </c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</row>
    <row r="210" spans="1:12" x14ac:dyDescent="0.3">
      <c r="A210" s="48" t="s">
        <v>563</v>
      </c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</row>
    <row r="211" spans="1:12" x14ac:dyDescent="0.3">
      <c r="A211" s="48" t="s">
        <v>564</v>
      </c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</row>
    <row r="212" spans="1:12" x14ac:dyDescent="0.3">
      <c r="A212" s="48" t="s">
        <v>565</v>
      </c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</row>
    <row r="213" spans="1:12" x14ac:dyDescent="0.3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</row>
    <row r="214" spans="1:12" x14ac:dyDescent="0.3">
      <c r="A214" s="52" t="s">
        <v>566</v>
      </c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</row>
    <row r="215" spans="1:12" x14ac:dyDescent="0.3">
      <c r="A215" s="48" t="s">
        <v>567</v>
      </c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</row>
    <row r="216" spans="1:12" x14ac:dyDescent="0.3">
      <c r="A216" s="48" t="s">
        <v>568</v>
      </c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</row>
    <row r="217" spans="1:12" x14ac:dyDescent="0.3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</row>
    <row r="218" spans="1:12" x14ac:dyDescent="0.3">
      <c r="A218" s="52" t="s">
        <v>569</v>
      </c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</row>
    <row r="219" spans="1:12" x14ac:dyDescent="0.3">
      <c r="A219" s="48" t="s">
        <v>570</v>
      </c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</row>
    <row r="220" spans="1:12" x14ac:dyDescent="0.3">
      <c r="A220" s="48" t="s">
        <v>571</v>
      </c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</row>
    <row r="221" spans="1:12" x14ac:dyDescent="0.3">
      <c r="A221" s="48" t="s">
        <v>572</v>
      </c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</row>
    <row r="222" spans="1:12" x14ac:dyDescent="0.3">
      <c r="A222" s="48" t="s">
        <v>573</v>
      </c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</row>
    <row r="224" spans="1:12" ht="15.35" thickBot="1" x14ac:dyDescent="0.35"/>
    <row r="225" spans="1:12" ht="15.35" thickTop="1" x14ac:dyDescent="0.3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</row>
    <row r="227" spans="1:12" x14ac:dyDescent="0.3">
      <c r="A227" s="91" t="s">
        <v>589</v>
      </c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</row>
    <row r="228" spans="1:12" x14ac:dyDescent="0.3">
      <c r="A228" s="91" t="s">
        <v>574</v>
      </c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</row>
  </sheetData>
  <mergeCells count="93">
    <mergeCell ref="A222:L222"/>
    <mergeCell ref="A227:L227"/>
    <mergeCell ref="A228:L228"/>
    <mergeCell ref="G8:I8"/>
    <mergeCell ref="J8:K8"/>
    <mergeCell ref="H25:I25"/>
    <mergeCell ref="J25:K25"/>
    <mergeCell ref="H26:I26"/>
    <mergeCell ref="J26:K26"/>
    <mergeCell ref="A216:L216"/>
    <mergeCell ref="A217:L217"/>
    <mergeCell ref="A218:L218"/>
    <mergeCell ref="A219:L219"/>
    <mergeCell ref="A220:L220"/>
    <mergeCell ref="A221:L221"/>
    <mergeCell ref="A210:L210"/>
    <mergeCell ref="A211:L211"/>
    <mergeCell ref="A212:L212"/>
    <mergeCell ref="A213:L213"/>
    <mergeCell ref="A214:L214"/>
    <mergeCell ref="A215:L215"/>
    <mergeCell ref="A209:L209"/>
    <mergeCell ref="A177:L177"/>
    <mergeCell ref="A178:L178"/>
    <mergeCell ref="A179:L179"/>
    <mergeCell ref="A182:L182"/>
    <mergeCell ref="A184:D184"/>
    <mergeCell ref="A193:D193"/>
    <mergeCell ref="A203:L203"/>
    <mergeCell ref="A205:L205"/>
    <mergeCell ref="A206:L206"/>
    <mergeCell ref="A207:L207"/>
    <mergeCell ref="A208:L208"/>
    <mergeCell ref="A176:L176"/>
    <mergeCell ref="A159:L159"/>
    <mergeCell ref="A160:L160"/>
    <mergeCell ref="A163:L163"/>
    <mergeCell ref="A165:L165"/>
    <mergeCell ref="A166:L166"/>
    <mergeCell ref="A167:L167"/>
    <mergeCell ref="A168:L168"/>
    <mergeCell ref="A169:L169"/>
    <mergeCell ref="A170:L170"/>
    <mergeCell ref="A173:L173"/>
    <mergeCell ref="A175:L175"/>
    <mergeCell ref="A158:L158"/>
    <mergeCell ref="A130:L130"/>
    <mergeCell ref="A132:L132"/>
    <mergeCell ref="A134:L134"/>
    <mergeCell ref="A136:L136"/>
    <mergeCell ref="A140:L140"/>
    <mergeCell ref="A150:L150"/>
    <mergeCell ref="A152:L152"/>
    <mergeCell ref="A154:L154"/>
    <mergeCell ref="A155:L155"/>
    <mergeCell ref="A156:L156"/>
    <mergeCell ref="A157:L157"/>
    <mergeCell ref="A128:L128"/>
    <mergeCell ref="A53:D53"/>
    <mergeCell ref="A61:D61"/>
    <mergeCell ref="A70:D70"/>
    <mergeCell ref="A82:L82"/>
    <mergeCell ref="A84:D84"/>
    <mergeCell ref="A86:L86"/>
    <mergeCell ref="A93:D93"/>
    <mergeCell ref="A103:L103"/>
    <mergeCell ref="A106:D106"/>
    <mergeCell ref="A115:L115"/>
    <mergeCell ref="A117:D117"/>
    <mergeCell ref="A46:D46"/>
    <mergeCell ref="A17:L17"/>
    <mergeCell ref="A18:L18"/>
    <mergeCell ref="A19:L19"/>
    <mergeCell ref="A20:L20"/>
    <mergeCell ref="A21:L21"/>
    <mergeCell ref="A22:L22"/>
    <mergeCell ref="A23:L23"/>
    <mergeCell ref="A24:L24"/>
    <mergeCell ref="A28:L28"/>
    <mergeCell ref="A30:D30"/>
    <mergeCell ref="A44:L44"/>
    <mergeCell ref="A16:L16"/>
    <mergeCell ref="A1:L1"/>
    <mergeCell ref="A2:L2"/>
    <mergeCell ref="A3:L3"/>
    <mergeCell ref="A7:L7"/>
    <mergeCell ref="A9:L9"/>
    <mergeCell ref="A10:L10"/>
    <mergeCell ref="A11:L11"/>
    <mergeCell ref="A12:L12"/>
    <mergeCell ref="A13:L13"/>
    <mergeCell ref="A14:L14"/>
    <mergeCell ref="A15:L15"/>
  </mergeCells>
  <pageMargins left="6.9444444444444441E-3" right="6.9444444444444441E-3" top="1.0416666666666666E-2" bottom="1.0416666666666666E-2" header="0.3" footer="0.3"/>
  <pageSetup paperSize="9" scale="0" orientation="portrait" horizontalDpi="0" verticalDpi="0" copies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012617-2BDE-43A3-AF59-9F780597D9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Dermatoses Bulleuses CNHU HKM</vt:lpstr>
      <vt:lpstr>Rapport_Complet</vt:lpstr>
      <vt:lpstr>Analyses_Statistiques</vt:lpstr>
      <vt:lpstr>Regression_Python</vt:lpstr>
      <vt:lpstr>Rapport_Etude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Raymond Olivier KEYA</dc:creator>
  <cp:lastModifiedBy>Keya, Raymond</cp:lastModifiedBy>
  <dcterms:created xsi:type="dcterms:W3CDTF">2026-04-17T13:16:15Z</dcterms:created>
  <dcterms:modified xsi:type="dcterms:W3CDTF">2026-04-18T06:36:26Z</dcterms:modified>
</cp:coreProperties>
</file>