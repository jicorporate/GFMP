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4.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IMYAÉDITION\source\repos\GFMP\"/>
    </mc:Choice>
  </mc:AlternateContent>
  <xr:revisionPtr revIDLastSave="0" documentId="13_ncr:1_{0C681453-BE0A-4C72-959B-EBB4B361B849}" xr6:coauthVersionLast="47" xr6:coauthVersionMax="47" xr10:uidLastSave="{00000000-0000-0000-0000-000000000000}"/>
  <bookViews>
    <workbookView xWindow="-120" yWindow="480" windowWidth="24240" windowHeight="13140" firstSheet="1" activeTab="5" xr2:uid="{15E60B8E-A9EB-4C8E-B9A6-575A59F00C56}"/>
  </bookViews>
  <sheets>
    <sheet name="Dermatoses Bulleuses CNHU HKM" sheetId="2" r:id="rId1"/>
    <sheet name="Rapport_Etude" sheetId="14" r:id="rId2"/>
    <sheet name="Rapport_Complet" sheetId="3" r:id="rId3"/>
    <sheet name="Analyse_Statistique" sheetId="10" r:id="rId4"/>
    <sheet name="Statistic_Analysis" sheetId="11" r:id="rId5"/>
    <sheet name="Clustering_Analysis" sheetId="12" r:id="rId6"/>
    <sheet name="Hierachical_Analysis" sheetId="13" r:id="rId7"/>
  </sheets>
  <definedNames>
    <definedName name="ExternalData_1" localSheetId="0" hidden="1">'Dermatoses Bulleuses CNHU HKM'!$A$1:$V$131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262" i="14" l="1"/>
  <c r="B263" i="14"/>
  <c r="B264" i="14"/>
  <c r="B265" i="14"/>
  <c r="B266" i="14"/>
  <c r="B267" i="14"/>
  <c r="B268" i="14"/>
  <c r="B269" i="14"/>
  <c r="B270" i="14"/>
  <c r="B271" i="14"/>
  <c r="B272" i="14"/>
  <c r="B273" i="14"/>
  <c r="B274" i="14"/>
  <c r="B275" i="14"/>
  <c r="B276" i="14"/>
  <c r="B178" i="14"/>
  <c r="B179" i="14"/>
  <c r="B180" i="14"/>
  <c r="B181" i="14"/>
  <c r="B172" i="14"/>
  <c r="B173" i="14"/>
  <c r="B174" i="14"/>
  <c r="B175" i="14"/>
  <c r="B159" i="14"/>
  <c r="C159" i="14"/>
  <c r="D159" i="14"/>
  <c r="E159" i="14"/>
  <c r="F159" i="14"/>
  <c r="B160" i="14"/>
  <c r="C160" i="14"/>
  <c r="D160" i="14"/>
  <c r="E160" i="14"/>
  <c r="F160" i="14"/>
  <c r="B161" i="14"/>
  <c r="C161" i="14"/>
  <c r="D161" i="14"/>
  <c r="E161" i="14"/>
  <c r="F161" i="14"/>
  <c r="B162" i="14"/>
  <c r="C162" i="14"/>
  <c r="D162" i="14"/>
  <c r="E162" i="14"/>
  <c r="F162" i="14"/>
  <c r="B163" i="14"/>
  <c r="C163" i="14"/>
  <c r="D163" i="14"/>
  <c r="E163" i="14"/>
  <c r="F163" i="14"/>
  <c r="B164" i="14"/>
  <c r="C164" i="14"/>
  <c r="D164" i="14"/>
  <c r="E164" i="14"/>
  <c r="F164" i="14"/>
  <c r="B151" i="14"/>
  <c r="C151" i="14"/>
  <c r="D151" i="14"/>
  <c r="E151" i="14"/>
  <c r="B152" i="14"/>
  <c r="C152" i="14"/>
  <c r="D152" i="14"/>
  <c r="E152" i="14"/>
  <c r="B153" i="14"/>
  <c r="C153" i="14"/>
  <c r="D153" i="14"/>
  <c r="E153" i="14"/>
  <c r="B154" i="14"/>
  <c r="C154" i="14"/>
  <c r="D154" i="14"/>
  <c r="E154" i="14"/>
  <c r="C136" i="14"/>
  <c r="C137" i="14"/>
  <c r="C138" i="14"/>
  <c r="C139" i="14"/>
  <c r="C140" i="14"/>
  <c r="C141" i="14"/>
  <c r="C142" i="14"/>
  <c r="C143" i="14"/>
  <c r="B125" i="14"/>
  <c r="C125" i="14"/>
  <c r="D125" i="14"/>
  <c r="E125" i="14"/>
  <c r="F125" i="14"/>
  <c r="B126" i="14"/>
  <c r="C126" i="14"/>
  <c r="D126" i="14"/>
  <c r="E126" i="14"/>
  <c r="F126" i="14"/>
  <c r="B127" i="14"/>
  <c r="C127" i="14"/>
  <c r="D127" i="14"/>
  <c r="E127" i="14"/>
  <c r="F127" i="14"/>
  <c r="B128" i="14"/>
  <c r="C128" i="14"/>
  <c r="D128" i="14"/>
  <c r="B115" i="14"/>
  <c r="B116" i="14"/>
  <c r="B117" i="14"/>
  <c r="B118" i="14"/>
  <c r="B119" i="14"/>
  <c r="B107" i="14"/>
  <c r="C107" i="14"/>
  <c r="D107" i="14"/>
  <c r="E107" i="14"/>
  <c r="F107" i="14"/>
  <c r="G107" i="14"/>
  <c r="H107" i="14"/>
  <c r="B108" i="14"/>
  <c r="C108" i="14"/>
  <c r="D108" i="14"/>
  <c r="E108" i="14"/>
  <c r="F108" i="14"/>
  <c r="G108" i="14"/>
  <c r="H108" i="14"/>
  <c r="B109" i="14"/>
  <c r="C109" i="14"/>
  <c r="D109" i="14"/>
  <c r="E109" i="14"/>
  <c r="F109" i="14"/>
  <c r="G109" i="14"/>
  <c r="H109" i="14"/>
  <c r="B110" i="14"/>
  <c r="C110" i="14"/>
  <c r="D110" i="14"/>
  <c r="E110" i="14"/>
  <c r="F110" i="14"/>
  <c r="G110" i="14"/>
  <c r="H110" i="14"/>
  <c r="B111" i="14"/>
  <c r="C111" i="14"/>
  <c r="D111" i="14"/>
  <c r="E111" i="14"/>
  <c r="F111" i="14"/>
  <c r="G111" i="14"/>
  <c r="H111" i="14"/>
  <c r="B112" i="14"/>
  <c r="C112" i="14"/>
  <c r="D112" i="14"/>
  <c r="E112" i="14"/>
  <c r="F112" i="14"/>
  <c r="G112" i="14"/>
  <c r="H112" i="14"/>
  <c r="D101" i="14"/>
  <c r="B101" i="14"/>
  <c r="B95" i="14"/>
  <c r="C95" i="14"/>
  <c r="B96" i="14"/>
  <c r="C96" i="14"/>
  <c r="B97" i="14"/>
  <c r="C97" i="14"/>
  <c r="B98" i="14"/>
  <c r="C98" i="14"/>
  <c r="B99" i="14"/>
  <c r="C99" i="14"/>
  <c r="B83" i="14"/>
  <c r="C83" i="14"/>
  <c r="D83" i="14"/>
  <c r="B84" i="14"/>
  <c r="C84" i="14"/>
  <c r="D84" i="14"/>
  <c r="B85" i="14"/>
  <c r="C85" i="14"/>
  <c r="D85" i="14"/>
  <c r="B86" i="14"/>
  <c r="C86" i="14"/>
  <c r="D86" i="14"/>
  <c r="B87" i="14"/>
  <c r="D87" i="14"/>
  <c r="B74" i="14"/>
  <c r="C74" i="14"/>
  <c r="B75" i="14"/>
  <c r="C75" i="14"/>
  <c r="B76" i="14"/>
  <c r="C76" i="14"/>
  <c r="B77" i="14"/>
  <c r="B62" i="14"/>
  <c r="B63" i="14"/>
  <c r="B64" i="14"/>
  <c r="B65" i="14"/>
  <c r="B66" i="14"/>
  <c r="B67" i="14"/>
  <c r="B68" i="14"/>
  <c r="B60" i="14"/>
  <c r="B61" i="14"/>
  <c r="B28" i="14"/>
  <c r="B391" i="13"/>
  <c r="B390" i="13"/>
  <c r="B389" i="13"/>
  <c r="B388" i="13"/>
  <c r="B387" i="13"/>
  <c r="B386" i="13"/>
  <c r="B385" i="13"/>
  <c r="B384" i="13"/>
  <c r="B383" i="13"/>
  <c r="B382" i="13"/>
  <c r="B381" i="13"/>
  <c r="B380" i="13"/>
  <c r="B379" i="13"/>
  <c r="B378" i="13"/>
  <c r="B377" i="13"/>
  <c r="B376" i="13"/>
  <c r="B375" i="13"/>
  <c r="B374" i="13"/>
  <c r="B405" i="12"/>
  <c r="B404" i="12"/>
  <c r="B403" i="12"/>
  <c r="B400" i="12"/>
  <c r="B399" i="12"/>
  <c r="B396" i="12"/>
  <c r="B395" i="12"/>
  <c r="B392" i="12"/>
  <c r="B391" i="12"/>
  <c r="B390" i="12"/>
  <c r="B389" i="12"/>
  <c r="B386" i="12"/>
  <c r="B385" i="12"/>
  <c r="B384" i="12"/>
  <c r="B383" i="12"/>
  <c r="B382" i="12"/>
  <c r="B257" i="10"/>
  <c r="B256" i="10"/>
  <c r="B224" i="10"/>
  <c r="E224" i="10" s="1"/>
  <c r="C224" i="10"/>
  <c r="D224" i="10"/>
  <c r="B223" i="10"/>
  <c r="E223" i="10" s="1"/>
  <c r="C223" i="10"/>
  <c r="D223" i="10"/>
  <c r="B222" i="10"/>
  <c r="E222" i="10" s="1"/>
  <c r="C222" i="10"/>
  <c r="D222" i="10"/>
  <c r="B221" i="10"/>
  <c r="E221" i="10" s="1"/>
  <c r="C221" i="10"/>
  <c r="D221" i="10"/>
  <c r="B203" i="10"/>
  <c r="C203" i="10" s="1"/>
  <c r="B202" i="10"/>
  <c r="C202" i="10" s="1"/>
  <c r="B201" i="10"/>
  <c r="C201" i="10"/>
  <c r="B200" i="10"/>
  <c r="C200" i="10"/>
  <c r="B199" i="10"/>
  <c r="C199" i="10" s="1"/>
  <c r="C167" i="10"/>
  <c r="C166" i="10"/>
  <c r="C165" i="10"/>
  <c r="C164" i="10"/>
  <c r="C163" i="10"/>
  <c r="F155" i="10"/>
  <c r="B154" i="10"/>
  <c r="D154" i="10"/>
  <c r="F154" i="10"/>
  <c r="B153" i="10"/>
  <c r="D153" i="10"/>
  <c r="F153" i="10"/>
  <c r="B152" i="10"/>
  <c r="D152" i="10"/>
  <c r="F152" i="10"/>
  <c r="B151" i="10"/>
  <c r="D151" i="10"/>
  <c r="F151" i="10"/>
  <c r="B144" i="10"/>
  <c r="B143" i="10"/>
  <c r="D134" i="10"/>
  <c r="E134" i="10"/>
  <c r="F134" i="10"/>
  <c r="G134" i="10"/>
  <c r="H134" i="10"/>
  <c r="I134" i="10"/>
  <c r="D133" i="10"/>
  <c r="E133" i="10" s="1"/>
  <c r="I133" i="10" s="1"/>
  <c r="F133" i="10"/>
  <c r="G133" i="10"/>
  <c r="H133" i="10"/>
  <c r="D132" i="10"/>
  <c r="E132" i="10"/>
  <c r="F132" i="10"/>
  <c r="G132" i="10"/>
  <c r="H132" i="10"/>
  <c r="I132" i="10"/>
  <c r="D131" i="10"/>
  <c r="E131" i="10"/>
  <c r="I131" i="10" s="1"/>
  <c r="F131" i="10"/>
  <c r="G131" i="10"/>
  <c r="H131" i="10"/>
  <c r="D130" i="10"/>
  <c r="E130" i="10"/>
  <c r="F130" i="10"/>
  <c r="G130" i="10"/>
  <c r="H130" i="10"/>
  <c r="I130" i="10"/>
  <c r="D129" i="10"/>
  <c r="E129" i="10"/>
  <c r="F129" i="10"/>
  <c r="G129" i="10"/>
  <c r="H129" i="10"/>
  <c r="I129" i="10"/>
  <c r="B125" i="10"/>
  <c r="D125" i="10" s="1"/>
  <c r="B118" i="10"/>
  <c r="B117" i="10"/>
  <c r="B116" i="10"/>
  <c r="B115" i="10"/>
  <c r="D110" i="10"/>
  <c r="E110" i="10" s="1"/>
  <c r="F110" i="10"/>
  <c r="G110" i="10"/>
  <c r="H110" i="10"/>
  <c r="B109" i="10"/>
  <c r="D109" i="10" s="1"/>
  <c r="E109" i="10" s="1"/>
  <c r="B108" i="10"/>
  <c r="D108" i="10"/>
  <c r="E108" i="10"/>
  <c r="F108" i="10"/>
  <c r="G108" i="10"/>
  <c r="H108" i="10"/>
  <c r="D107" i="10"/>
  <c r="E107" i="10" s="1"/>
  <c r="F107" i="10"/>
  <c r="G107" i="10"/>
  <c r="H107" i="10"/>
  <c r="B106" i="10"/>
  <c r="D106" i="10" s="1"/>
  <c r="E106" i="10" s="1"/>
  <c r="F106" i="10"/>
  <c r="G106" i="10"/>
  <c r="B98" i="10"/>
  <c r="B97" i="10"/>
  <c r="B96" i="10"/>
  <c r="B95" i="10"/>
  <c r="D92" i="10"/>
  <c r="E92" i="10" s="1"/>
  <c r="F92" i="10"/>
  <c r="G92" i="10"/>
  <c r="H92" i="10"/>
  <c r="B91" i="10"/>
  <c r="D91" i="10"/>
  <c r="E91" i="10"/>
  <c r="F91" i="10"/>
  <c r="G91" i="10"/>
  <c r="H91" i="10"/>
  <c r="B90" i="10"/>
  <c r="F90" i="10" s="1"/>
  <c r="D90" i="10"/>
  <c r="E90" i="10" s="1"/>
  <c r="G90" i="10"/>
  <c r="H90" i="10"/>
  <c r="D89" i="10"/>
  <c r="E89" i="10" s="1"/>
  <c r="F89" i="10"/>
  <c r="G89" i="10"/>
  <c r="H89" i="10"/>
  <c r="B88" i="10"/>
  <c r="D88" i="10"/>
  <c r="E88" i="10" s="1"/>
  <c r="F88" i="10"/>
  <c r="G88" i="10"/>
  <c r="H88" i="10"/>
  <c r="B80" i="10"/>
  <c r="B79" i="10"/>
  <c r="B78" i="10"/>
  <c r="B77" i="10"/>
  <c r="D74" i="10"/>
  <c r="E74" i="10" s="1"/>
  <c r="F74" i="10"/>
  <c r="G74" i="10"/>
  <c r="H74" i="10"/>
  <c r="B73" i="10"/>
  <c r="D73" i="10" s="1"/>
  <c r="E73" i="10" s="1"/>
  <c r="B72" i="10"/>
  <c r="D72" i="10" s="1"/>
  <c r="E72" i="10" s="1"/>
  <c r="G72" i="10"/>
  <c r="D71" i="10"/>
  <c r="E71" i="10"/>
  <c r="F71" i="10"/>
  <c r="G71" i="10"/>
  <c r="H71" i="10"/>
  <c r="B70" i="10"/>
  <c r="D70" i="10" s="1"/>
  <c r="E70" i="10" s="1"/>
  <c r="B62" i="10"/>
  <c r="B61" i="10"/>
  <c r="B60" i="10"/>
  <c r="B59" i="10"/>
  <c r="B58" i="10"/>
  <c r="B57" i="10"/>
  <c r="D54" i="10"/>
  <c r="E54" i="10" s="1"/>
  <c r="F54" i="10"/>
  <c r="G54" i="10"/>
  <c r="H54" i="10"/>
  <c r="B53" i="10"/>
  <c r="D53" i="10" s="1"/>
  <c r="E53" i="10" s="1"/>
  <c r="G53" i="10"/>
  <c r="H53" i="10"/>
  <c r="B52" i="10"/>
  <c r="D52" i="10" s="1"/>
  <c r="E52" i="10" s="1"/>
  <c r="G52" i="10"/>
  <c r="H52" i="10"/>
  <c r="D51" i="10"/>
  <c r="E51" i="10"/>
  <c r="F51" i="10"/>
  <c r="G51" i="10"/>
  <c r="H51" i="10"/>
  <c r="B50" i="10"/>
  <c r="D50" i="10"/>
  <c r="E50" i="10"/>
  <c r="F50" i="10"/>
  <c r="G50" i="10"/>
  <c r="H50" i="10"/>
  <c r="B41" i="10"/>
  <c r="C41" i="10"/>
  <c r="D41" i="10"/>
  <c r="E41" i="10"/>
  <c r="B40" i="10"/>
  <c r="C40" i="10"/>
  <c r="D40" i="10"/>
  <c r="E40" i="10"/>
  <c r="B39" i="10"/>
  <c r="C39" i="10"/>
  <c r="D39" i="10"/>
  <c r="E39" i="10"/>
  <c r="B33" i="10" a="1"/>
  <c r="B33" i="10" s="1"/>
  <c r="B31" i="10"/>
  <c r="C31" i="10"/>
  <c r="D31" i="10"/>
  <c r="E31" i="10"/>
  <c r="B30" i="10"/>
  <c r="C30" i="10"/>
  <c r="D30" i="10"/>
  <c r="E30" i="10"/>
  <c r="B29" i="10"/>
  <c r="C29" i="10"/>
  <c r="D29" i="10"/>
  <c r="E29" i="10"/>
  <c r="G21" i="10"/>
  <c r="B19" i="10"/>
  <c r="C19" i="10"/>
  <c r="F19" i="10"/>
  <c r="B18" i="10"/>
  <c r="C18" i="10" s="1"/>
  <c r="F18" i="10"/>
  <c r="B17" i="10"/>
  <c r="C17" i="10" s="1"/>
  <c r="B16" i="10"/>
  <c r="C16" i="10" s="1"/>
  <c r="B15" i="10"/>
  <c r="C15" i="10" s="1"/>
  <c r="B9" i="10"/>
  <c r="C9" i="10"/>
  <c r="D9" i="10"/>
  <c r="E9" i="10"/>
  <c r="H9" i="10" s="1"/>
  <c r="F9" i="10"/>
  <c r="G9" i="10"/>
  <c r="B8" i="10"/>
  <c r="C8" i="10"/>
  <c r="H8" i="10" s="1"/>
  <c r="D8" i="10"/>
  <c r="E8" i="10"/>
  <c r="F8" i="10"/>
  <c r="G8" i="10"/>
  <c r="B7" i="10"/>
  <c r="C7" i="10"/>
  <c r="D7" i="10"/>
  <c r="E7" i="10"/>
  <c r="I7" i="10" s="1"/>
  <c r="F7" i="10"/>
  <c r="G7" i="10"/>
  <c r="F536" i="3"/>
  <c r="E536" i="3"/>
  <c r="D536" i="3"/>
  <c r="C536" i="3"/>
  <c r="B536" i="3"/>
  <c r="F535" i="3"/>
  <c r="E535" i="3"/>
  <c r="D535" i="3"/>
  <c r="C535" i="3"/>
  <c r="B535" i="3"/>
  <c r="F534" i="3"/>
  <c r="E534" i="3"/>
  <c r="D534" i="3"/>
  <c r="C534" i="3"/>
  <c r="B534" i="3"/>
  <c r="F529" i="3"/>
  <c r="E529" i="3"/>
  <c r="D529" i="3"/>
  <c r="C529" i="3"/>
  <c r="B529" i="3"/>
  <c r="F528" i="3"/>
  <c r="E528" i="3"/>
  <c r="D528" i="3"/>
  <c r="C528" i="3"/>
  <c r="B528" i="3"/>
  <c r="F527" i="3"/>
  <c r="E527" i="3"/>
  <c r="D527" i="3"/>
  <c r="C527" i="3"/>
  <c r="B527" i="3"/>
  <c r="F522" i="3"/>
  <c r="E522" i="3"/>
  <c r="D522" i="3"/>
  <c r="C522" i="3"/>
  <c r="B522" i="3"/>
  <c r="F521" i="3"/>
  <c r="E521" i="3"/>
  <c r="D521" i="3"/>
  <c r="C521" i="3"/>
  <c r="B521" i="3"/>
  <c r="F520" i="3"/>
  <c r="E520" i="3"/>
  <c r="D520" i="3"/>
  <c r="C520" i="3"/>
  <c r="B520" i="3"/>
  <c r="F519" i="3"/>
  <c r="E519" i="3"/>
  <c r="D519" i="3"/>
  <c r="C519" i="3"/>
  <c r="B519" i="3"/>
  <c r="B511" i="3" a="1"/>
  <c r="B511" i="3" s="1"/>
  <c r="B510" i="3" a="1"/>
  <c r="B510" i="3" s="1"/>
  <c r="B509" i="3" a="1"/>
  <c r="B509" i="3" s="1"/>
  <c r="B508" i="3" a="1"/>
  <c r="B508" i="3" s="1"/>
  <c r="B507" i="3" a="1"/>
  <c r="B507" i="3" s="1"/>
  <c r="B506" i="3" a="1"/>
  <c r="B506" i="3" s="1"/>
  <c r="B505" i="3" a="1"/>
  <c r="B505" i="3" s="1"/>
  <c r="B504" i="3" a="1"/>
  <c r="B504" i="3" s="1"/>
  <c r="B503" i="3" a="1"/>
  <c r="B503" i="3" s="1"/>
  <c r="B498" i="3" a="1"/>
  <c r="B498" i="3" s="1"/>
  <c r="B497" i="3" a="1"/>
  <c r="B497" i="3" s="1"/>
  <c r="B496" i="3" a="1"/>
  <c r="B496" i="3" s="1"/>
  <c r="B495" i="3" a="1"/>
  <c r="B495" i="3" s="1"/>
  <c r="B494" i="3" a="1"/>
  <c r="B494" i="3" s="1"/>
  <c r="B493" i="3" a="1"/>
  <c r="B493" i="3" s="1"/>
  <c r="B492" i="3" a="1"/>
  <c r="B492" i="3" s="1"/>
  <c r="B491" i="3" a="1"/>
  <c r="B491" i="3" s="1"/>
  <c r="B490" i="3" a="1"/>
  <c r="B490" i="3" s="1"/>
  <c r="B485" i="3" a="1"/>
  <c r="B485" i="3" s="1"/>
  <c r="B484" i="3" a="1"/>
  <c r="B484" i="3" s="1"/>
  <c r="B483" i="3" a="1"/>
  <c r="B483" i="3" s="1"/>
  <c r="B482" i="3" a="1"/>
  <c r="B482" i="3" s="1"/>
  <c r="B481" i="3" a="1"/>
  <c r="B481" i="3" s="1"/>
  <c r="B480" i="3" a="1"/>
  <c r="B480" i="3" s="1"/>
  <c r="B479" i="3" a="1"/>
  <c r="B479" i="3" s="1"/>
  <c r="B478" i="3" a="1"/>
  <c r="B478" i="3" s="1"/>
  <c r="B477" i="3" a="1"/>
  <c r="B477" i="3" s="1"/>
  <c r="C468" i="3"/>
  <c r="C467" i="3"/>
  <c r="C466" i="3"/>
  <c r="C465" i="3"/>
  <c r="C464" i="3"/>
  <c r="C463" i="3"/>
  <c r="C462" i="3"/>
  <c r="C461" i="3"/>
  <c r="C460" i="3"/>
  <c r="C459" i="3"/>
  <c r="C458" i="3"/>
  <c r="C457" i="3"/>
  <c r="B468" i="3"/>
  <c r="B467" i="3"/>
  <c r="B466" i="3"/>
  <c r="B465" i="3"/>
  <c r="B464" i="3"/>
  <c r="B463" i="3"/>
  <c r="B462" i="3"/>
  <c r="B461" i="3"/>
  <c r="B460" i="3"/>
  <c r="B459" i="3"/>
  <c r="B458" i="3"/>
  <c r="B457" i="3"/>
  <c r="C453" i="3"/>
  <c r="C451" i="3"/>
  <c r="C452" i="3"/>
  <c r="B453" i="3"/>
  <c r="B452" i="3"/>
  <c r="B451" i="3"/>
  <c r="C447" i="3"/>
  <c r="C444" i="3"/>
  <c r="C445" i="3"/>
  <c r="C446" i="3"/>
  <c r="B447" i="3"/>
  <c r="B446" i="3"/>
  <c r="B445" i="3"/>
  <c r="B444" i="3"/>
  <c r="B440" i="3"/>
  <c r="C435" i="3"/>
  <c r="C434" i="3"/>
  <c r="C433" i="3"/>
  <c r="C432" i="3"/>
  <c r="C431" i="3"/>
  <c r="C430" i="3"/>
  <c r="C429" i="3"/>
  <c r="C428" i="3"/>
  <c r="C427" i="3"/>
  <c r="C426" i="3"/>
  <c r="C425" i="3"/>
  <c r="C424" i="3"/>
  <c r="B435" i="3"/>
  <c r="B434" i="3"/>
  <c r="B433" i="3"/>
  <c r="B432" i="3"/>
  <c r="B431" i="3"/>
  <c r="B430" i="3"/>
  <c r="B429" i="3"/>
  <c r="B428" i="3"/>
  <c r="B427" i="3"/>
  <c r="B426" i="3"/>
  <c r="B425" i="3"/>
  <c r="B424" i="3"/>
  <c r="C420" i="3"/>
  <c r="C418" i="3"/>
  <c r="C419" i="3"/>
  <c r="B420" i="3"/>
  <c r="B419" i="3"/>
  <c r="B418" i="3"/>
  <c r="C414" i="3"/>
  <c r="C411" i="3"/>
  <c r="C412" i="3"/>
  <c r="C413" i="3"/>
  <c r="B414" i="3"/>
  <c r="B413" i="3"/>
  <c r="B412" i="3"/>
  <c r="B411" i="3"/>
  <c r="B407" i="3"/>
  <c r="C402" i="3"/>
  <c r="C401" i="3"/>
  <c r="C400" i="3"/>
  <c r="C399" i="3"/>
  <c r="C398" i="3"/>
  <c r="C397" i="3"/>
  <c r="C396" i="3"/>
  <c r="C395" i="3"/>
  <c r="C394" i="3"/>
  <c r="C393" i="3"/>
  <c r="C392" i="3"/>
  <c r="C391" i="3"/>
  <c r="B402" i="3"/>
  <c r="B401" i="3"/>
  <c r="B400" i="3"/>
  <c r="B399" i="3"/>
  <c r="B398" i="3"/>
  <c r="B397" i="3"/>
  <c r="B396" i="3"/>
  <c r="B395" i="3"/>
  <c r="B394" i="3"/>
  <c r="B393" i="3"/>
  <c r="B392" i="3"/>
  <c r="B391" i="3"/>
  <c r="C387" i="3"/>
  <c r="C385" i="3"/>
  <c r="C386" i="3"/>
  <c r="B387" i="3"/>
  <c r="B386" i="3"/>
  <c r="B385" i="3"/>
  <c r="C381" i="3"/>
  <c r="C378" i="3"/>
  <c r="C379" i="3"/>
  <c r="C380" i="3"/>
  <c r="B381" i="3"/>
  <c r="B380" i="3"/>
  <c r="B379" i="3"/>
  <c r="B378" i="3"/>
  <c r="B374" i="3"/>
  <c r="C366" i="3"/>
  <c r="C363" i="3"/>
  <c r="C364" i="3"/>
  <c r="C365" i="3"/>
  <c r="B366" i="3"/>
  <c r="B365" i="3"/>
  <c r="B364" i="3"/>
  <c r="B363" i="3"/>
  <c r="C359" i="3"/>
  <c r="C356" i="3"/>
  <c r="C357" i="3"/>
  <c r="C358" i="3"/>
  <c r="B359" i="3"/>
  <c r="B358" i="3"/>
  <c r="B357" i="3"/>
  <c r="B356" i="3"/>
  <c r="C352" i="3"/>
  <c r="C351" i="3"/>
  <c r="C350" i="3"/>
  <c r="B352" i="3"/>
  <c r="B351" i="3"/>
  <c r="B350" i="3"/>
  <c r="B346" i="3"/>
  <c r="C341" i="3"/>
  <c r="C337" i="3"/>
  <c r="C338" i="3"/>
  <c r="C339" i="3"/>
  <c r="C340" i="3"/>
  <c r="B341" i="3"/>
  <c r="B340" i="3"/>
  <c r="B339" i="3"/>
  <c r="B338" i="3"/>
  <c r="B337" i="3"/>
  <c r="C333" i="3"/>
  <c r="C330" i="3"/>
  <c r="C331" i="3"/>
  <c r="C332" i="3"/>
  <c r="B333" i="3"/>
  <c r="B332" i="3"/>
  <c r="B331" i="3"/>
  <c r="B330" i="3"/>
  <c r="C326" i="3"/>
  <c r="C325" i="3"/>
  <c r="C324" i="3"/>
  <c r="B326" i="3"/>
  <c r="B325" i="3"/>
  <c r="B324" i="3"/>
  <c r="B320" i="3"/>
  <c r="C315" i="3"/>
  <c r="C308" i="3"/>
  <c r="C309" i="3"/>
  <c r="C310" i="3"/>
  <c r="C311" i="3"/>
  <c r="C312" i="3"/>
  <c r="C313" i="3"/>
  <c r="C314" i="3"/>
  <c r="B315" i="3"/>
  <c r="B314" i="3"/>
  <c r="B313" i="3"/>
  <c r="B312" i="3"/>
  <c r="B311" i="3"/>
  <c r="B310" i="3"/>
  <c r="B309" i="3"/>
  <c r="B308" i="3"/>
  <c r="C304" i="3"/>
  <c r="C301" i="3"/>
  <c r="C302" i="3"/>
  <c r="C303" i="3"/>
  <c r="B304" i="3"/>
  <c r="B303" i="3"/>
  <c r="B302" i="3"/>
  <c r="B301" i="3"/>
  <c r="C297" i="3"/>
  <c r="C296" i="3"/>
  <c r="C295" i="3"/>
  <c r="B297" i="3"/>
  <c r="B296" i="3"/>
  <c r="B295" i="3"/>
  <c r="B291" i="3"/>
  <c r="C286" i="3"/>
  <c r="C281" i="3"/>
  <c r="C282" i="3"/>
  <c r="C283" i="3"/>
  <c r="C284" i="3"/>
  <c r="C285" i="3"/>
  <c r="B286" i="3"/>
  <c r="B285" i="3"/>
  <c r="B284" i="3"/>
  <c r="B283" i="3"/>
  <c r="B282" i="3"/>
  <c r="B281" i="3"/>
  <c r="C277" i="3"/>
  <c r="C276" i="3"/>
  <c r="C275" i="3"/>
  <c r="C274" i="3"/>
  <c r="B277" i="3"/>
  <c r="B276" i="3"/>
  <c r="B275" i="3"/>
  <c r="B274" i="3"/>
  <c r="C270" i="3"/>
  <c r="C269" i="3"/>
  <c r="C268" i="3"/>
  <c r="B270" i="3"/>
  <c r="B269" i="3"/>
  <c r="B268" i="3"/>
  <c r="B264" i="3"/>
  <c r="E253" i="3"/>
  <c r="D253" i="3"/>
  <c r="C253" i="3"/>
  <c r="B253" i="3"/>
  <c r="E252" i="3"/>
  <c r="D252" i="3"/>
  <c r="C252" i="3"/>
  <c r="E251" i="3"/>
  <c r="D251" i="3"/>
  <c r="C251" i="3"/>
  <c r="E250" i="3"/>
  <c r="D250" i="3"/>
  <c r="C250" i="3"/>
  <c r="E249" i="3"/>
  <c r="D249" i="3"/>
  <c r="C249" i="3"/>
  <c r="B244" i="3"/>
  <c r="C244" i="3"/>
  <c r="D244" i="3"/>
  <c r="D243" i="3"/>
  <c r="C243" i="3"/>
  <c r="D242" i="3"/>
  <c r="C242" i="3"/>
  <c r="B218" i="3"/>
  <c r="B217" i="3"/>
  <c r="B189" i="3"/>
  <c r="B188" i="3"/>
  <c r="B212" i="3"/>
  <c r="C229" i="3" s="1"/>
  <c r="B183" i="3"/>
  <c r="C198" i="3" s="1"/>
  <c r="B176" i="3"/>
  <c r="C176" i="3" s="1"/>
  <c r="B175" i="3"/>
  <c r="C175" i="3" s="1"/>
  <c r="B174" i="3"/>
  <c r="C174" i="3" s="1"/>
  <c r="B173" i="3"/>
  <c r="C173" i="3" s="1"/>
  <c r="B169" i="3"/>
  <c r="C169" i="3" s="1"/>
  <c r="B168" i="3"/>
  <c r="C168" i="3" s="1"/>
  <c r="B167" i="3"/>
  <c r="C167" i="3" s="1"/>
  <c r="B163" i="3"/>
  <c r="C163" i="3" s="1"/>
  <c r="B162" i="3"/>
  <c r="C162" i="3" s="1"/>
  <c r="B158" i="3"/>
  <c r="C158" i="3" s="1"/>
  <c r="B157" i="3"/>
  <c r="C157" i="3" s="1"/>
  <c r="B148" i="3"/>
  <c r="C148" i="3" s="1"/>
  <c r="B147" i="3"/>
  <c r="C147" i="3" s="1"/>
  <c r="B146" i="3"/>
  <c r="C146" i="3" s="1"/>
  <c r="B145" i="3"/>
  <c r="C145" i="3" s="1"/>
  <c r="B141" i="3"/>
  <c r="C141" i="3" s="1"/>
  <c r="B140" i="3"/>
  <c r="C140" i="3" s="1"/>
  <c r="B139" i="3"/>
  <c r="C139" i="3" s="1"/>
  <c r="B135" i="3"/>
  <c r="C135" i="3" s="1"/>
  <c r="B134" i="3"/>
  <c r="C134" i="3" s="1"/>
  <c r="B130" i="3"/>
  <c r="C130" i="3" s="1"/>
  <c r="B129" i="3"/>
  <c r="C129" i="3" s="1"/>
  <c r="C107" i="3"/>
  <c r="C106" i="3"/>
  <c r="B107" i="3"/>
  <c r="B106" i="3"/>
  <c r="C102" i="3"/>
  <c r="C101" i="3"/>
  <c r="B102" i="3"/>
  <c r="B101" i="3"/>
  <c r="B153" i="3"/>
  <c r="B125" i="3"/>
  <c r="B97" i="3"/>
  <c r="C92" i="3"/>
  <c r="C91" i="3"/>
  <c r="C90" i="3"/>
  <c r="C89" i="3"/>
  <c r="B92" i="3"/>
  <c r="B91" i="3"/>
  <c r="B90" i="3"/>
  <c r="B89" i="3"/>
  <c r="C54" i="3"/>
  <c r="B252" i="3"/>
  <c r="B251" i="3"/>
  <c r="B250" i="3"/>
  <c r="B249" i="3"/>
  <c r="B243" i="3"/>
  <c r="B242" i="3"/>
  <c r="B236" i="3"/>
  <c r="B235" i="3"/>
  <c r="B234" i="3"/>
  <c r="B233" i="3"/>
  <c r="B229" i="3"/>
  <c r="B228" i="3"/>
  <c r="B227" i="3"/>
  <c r="B223" i="3"/>
  <c r="B222" i="3"/>
  <c r="B216" i="3"/>
  <c r="B207" i="3"/>
  <c r="B206" i="3"/>
  <c r="B205" i="3"/>
  <c r="B204" i="3"/>
  <c r="B200" i="3"/>
  <c r="B199" i="3"/>
  <c r="B198" i="3"/>
  <c r="B194" i="3"/>
  <c r="B193" i="3"/>
  <c r="B187" i="3"/>
  <c r="C120" i="3"/>
  <c r="B120" i="3"/>
  <c r="C119" i="3"/>
  <c r="B119" i="3"/>
  <c r="C118" i="3"/>
  <c r="B118" i="3"/>
  <c r="C117" i="3"/>
  <c r="B117" i="3"/>
  <c r="C113" i="3"/>
  <c r="B113" i="3"/>
  <c r="C112" i="3"/>
  <c r="B112" i="3"/>
  <c r="C111" i="3"/>
  <c r="B111" i="3"/>
  <c r="B82" i="3"/>
  <c r="B81" i="3"/>
  <c r="B80" i="3"/>
  <c r="B79" i="3"/>
  <c r="C75" i="3"/>
  <c r="B75" i="3"/>
  <c r="C74" i="3"/>
  <c r="B74" i="3"/>
  <c r="C73" i="3"/>
  <c r="B73" i="3"/>
  <c r="C72" i="3"/>
  <c r="B72" i="3"/>
  <c r="C71" i="3"/>
  <c r="B71" i="3"/>
  <c r="C67" i="3"/>
  <c r="B67" i="3"/>
  <c r="C66" i="3"/>
  <c r="B66" i="3"/>
  <c r="C65" i="3"/>
  <c r="B65" i="3"/>
  <c r="C64" i="3"/>
  <c r="B64" i="3"/>
  <c r="C60" i="3"/>
  <c r="B60" i="3"/>
  <c r="C59" i="3"/>
  <c r="B59" i="3"/>
  <c r="C58" i="3"/>
  <c r="B58" i="3"/>
  <c r="C57" i="3"/>
  <c r="B57" i="3"/>
  <c r="C56" i="3"/>
  <c r="B56" i="3"/>
  <c r="C55" i="3"/>
  <c r="B55" i="3"/>
  <c r="B54" i="3"/>
  <c r="C50" i="3"/>
  <c r="B50" i="3"/>
  <c r="C49" i="3"/>
  <c r="B49" i="3"/>
  <c r="C48" i="3"/>
  <c r="B48" i="3"/>
  <c r="C47" i="3"/>
  <c r="B47" i="3"/>
  <c r="C43" i="3"/>
  <c r="B43" i="3" a="1"/>
  <c r="B43" i="3" s="1"/>
  <c r="C42" i="3"/>
  <c r="B42" i="3" a="1"/>
  <c r="B42" i="3" s="1"/>
  <c r="C41" i="3"/>
  <c r="B41" i="3" a="1"/>
  <c r="B41" i="3" s="1"/>
  <c r="C40" i="3"/>
  <c r="B40" i="3" a="1"/>
  <c r="B40" i="3" s="1"/>
  <c r="B36" i="3"/>
  <c r="B35" i="3"/>
  <c r="B34" i="3"/>
  <c r="B33" i="3"/>
  <c r="C29" i="3"/>
  <c r="B29" i="3"/>
  <c r="C28" i="3"/>
  <c r="B28" i="3"/>
  <c r="C27" i="3"/>
  <c r="B27" i="3"/>
  <c r="C23" i="3"/>
  <c r="B23" i="3"/>
  <c r="C22" i="3"/>
  <c r="B22" i="3"/>
  <c r="C18" i="3"/>
  <c r="B18" i="3"/>
  <c r="C17" i="3"/>
  <c r="B17" i="3"/>
  <c r="B13" i="3"/>
  <c r="B12" i="3"/>
  <c r="B11" i="3"/>
  <c r="B10" i="3"/>
  <c r="B6" i="3"/>
  <c r="H109" i="10" l="1"/>
  <c r="G109" i="10"/>
  <c r="F109" i="10"/>
  <c r="H106" i="10"/>
  <c r="H73" i="10"/>
  <c r="G73" i="10"/>
  <c r="F73" i="10"/>
  <c r="H72" i="10"/>
  <c r="F72" i="10"/>
  <c r="H70" i="10"/>
  <c r="G70" i="10"/>
  <c r="F70" i="10"/>
  <c r="F53" i="10"/>
  <c r="F52" i="10"/>
  <c r="D18" i="10"/>
  <c r="E18" i="10"/>
  <c r="E17" i="10"/>
  <c r="D17" i="10"/>
  <c r="F17" i="10"/>
  <c r="D16" i="10"/>
  <c r="E16" i="10"/>
  <c r="F16" i="10"/>
  <c r="D15" i="10"/>
  <c r="E15" i="10"/>
  <c r="F15" i="10"/>
  <c r="I9" i="10"/>
  <c r="I8" i="10"/>
  <c r="H7" i="10"/>
  <c r="C218" i="3"/>
  <c r="C234" i="3"/>
  <c r="C222" i="3"/>
  <c r="C235" i="3"/>
  <c r="C223" i="3"/>
  <c r="C236" i="3"/>
  <c r="C227" i="3"/>
  <c r="C228" i="3"/>
  <c r="C217" i="3"/>
  <c r="C233" i="3"/>
  <c r="C216" i="3"/>
  <c r="C200" i="3"/>
  <c r="C204" i="3"/>
  <c r="C189" i="3"/>
  <c r="C205" i="3"/>
  <c r="C193" i="3"/>
  <c r="C206" i="3"/>
  <c r="C194" i="3"/>
  <c r="C207" i="3"/>
  <c r="C199" i="3"/>
  <c r="C187" i="3"/>
  <c r="C18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4D07A3-4D3E-47A8-8D92-AD840650DB19}" keepAlive="1" name="Query - Dermatoses Bulleuses CNHU HKM" description="Connection to the 'Dermatoses Bulleuses CNHU HKM' query in the workbook." type="5" refreshedVersion="8" background="1" saveData="1">
    <dbPr connection="Provider=Microsoft.Mashup.OleDb.1;Data Source=$Workbook$;Location=&quot;Dermatoses Bulleuses CNHU HKM&quot;;Extended Properties=&quot;&quot;" command="SELECT * FROM [Dermatoses Bulleuses CNHU HKM]"/>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<sst xmlns="http://schemas.openxmlformats.org/spreadsheetml/2006/main" count="3950" uniqueCount="1720">
  <si>
    <t>_id</t>
  </si>
  <si>
    <t>start</t>
  </si>
  <si>
    <t>end</t>
  </si>
  <si>
    <t>today</t>
  </si>
  <si>
    <t>Âge (en mois)</t>
  </si>
  <si>
    <t>age_years_calc</t>
  </si>
  <si>
    <t>Sexe</t>
  </si>
  <si>
    <t>Profession</t>
  </si>
  <si>
    <t>Date de consultation</t>
  </si>
  <si>
    <t>Délai de consultation (en jours)</t>
  </si>
  <si>
    <t>Notion de prise médicamenteuse</t>
  </si>
  <si>
    <t>Préciser le ou les médicament(s)</t>
  </si>
  <si>
    <t>Type d'atteinte</t>
  </si>
  <si>
    <t>Surface corporelle atteinte</t>
  </si>
  <si>
    <t>Signes associés</t>
  </si>
  <si>
    <t>Préciser l'autre signe</t>
  </si>
  <si>
    <t>Catégorie de la dermatose</t>
  </si>
  <si>
    <t>Dermatose Auto-immune</t>
  </si>
  <si>
    <t>Dermatose Infectieuse</t>
  </si>
  <si>
    <t>Toxidermie</t>
  </si>
  <si>
    <t>Dermatose Immunoallergique</t>
  </si>
  <si>
    <t>Préciser l'autre diagnostic</t>
  </si>
  <si>
    <t>Homme</t>
  </si>
  <si>
    <t>Aucune</t>
  </si>
  <si>
    <t>Non</t>
  </si>
  <si>
    <t>Cutanée seule</t>
  </si>
  <si>
    <t>Autre</t>
  </si>
  <si>
    <t>Aucun</t>
  </si>
  <si>
    <t>Infectieuse</t>
  </si>
  <si>
    <t>Épidermolyse staphylococcique</t>
  </si>
  <si>
    <t>Femme</t>
  </si>
  <si>
    <t>Ménagère</t>
  </si>
  <si>
    <t>Oui</t>
  </si>
  <si>
    <t>Amoxicilline</t>
  </si>
  <si>
    <t>Prurit</t>
  </si>
  <si>
    <t>EPF Bulleux</t>
  </si>
  <si>
    <t>Sociologue</t>
  </si>
  <si>
    <t>Doxycycline CP,, nitrofurantoin cp</t>
  </si>
  <si>
    <t>Cutanée et muqueuse</t>
  </si>
  <si>
    <t>Commerçant</t>
  </si>
  <si>
    <t>Auto-immune</t>
  </si>
  <si>
    <t>Dermatose à IgA linéaire</t>
  </si>
  <si>
    <t>Enseignante</t>
  </si>
  <si>
    <t>Aerius cp,flagyl cp,lincocyne cp</t>
  </si>
  <si>
    <t>Pemphigoïde bulleuse</t>
  </si>
  <si>
    <t>Vendeuse</t>
  </si>
  <si>
    <t>Cotrimoxazole, ibuprofene, quinine, paracetamol, metronidazole</t>
  </si>
  <si>
    <t>Autre à préciser...</t>
  </si>
  <si>
    <t>Érythème pigmenté fixe</t>
  </si>
  <si>
    <t>Cultivateur</t>
  </si>
  <si>
    <t>Griseofilvine cp, polaramine cp, cetimizine cp, deslora denk, atarax 25mg</t>
  </si>
  <si>
    <t>Prurit Fièvre</t>
  </si>
  <si>
    <t>Erytrodermie</t>
  </si>
  <si>
    <t>Coiffeuse</t>
  </si>
  <si>
    <t>Vitafer sirop, forcan 150mg, lorhist cp</t>
  </si>
  <si>
    <t>Epidermolyse bulleuse acquise</t>
  </si>
  <si>
    <t>Agent commercial</t>
  </si>
  <si>
    <t>Duccay keylaneHD</t>
  </si>
  <si>
    <t>Muqueuse seule</t>
  </si>
  <si>
    <t>Douleur Fièvre</t>
  </si>
  <si>
    <t>Fièvre Autre</t>
  </si>
  <si>
    <t>Plaies buccales</t>
  </si>
  <si>
    <t>Secrétaire</t>
  </si>
  <si>
    <t>Sérum anti tétanique, asmocet L cp</t>
  </si>
  <si>
    <t>Syndrome de Lyell</t>
  </si>
  <si>
    <t>Technicien</t>
  </si>
  <si>
    <t>Forcan 150mg</t>
  </si>
  <si>
    <t>Pneumatique</t>
  </si>
  <si>
    <t>Ceftriaxone inj, gentamicine inj, celestene, Diclofénac, Polaramine</t>
  </si>
  <si>
    <t>Douleur Prurit</t>
  </si>
  <si>
    <t>Syndrome de chevauchement</t>
  </si>
  <si>
    <t>Informaticienne</t>
  </si>
  <si>
    <t>Sédaspir cp, ibuprofen cp</t>
  </si>
  <si>
    <t>Fièvre</t>
  </si>
  <si>
    <t>Syndrome de Stevens Johnson</t>
  </si>
  <si>
    <t>Fleuriste</t>
  </si>
  <si>
    <t>Griseofulvine, cloxacilline, flagyl cp,</t>
  </si>
  <si>
    <t>Commerçante</t>
  </si>
  <si>
    <t>Cloxacilline</t>
  </si>
  <si>
    <t>Écolière</t>
  </si>
  <si>
    <t>Amoxicilline cp, quinine cp, paracéamol 500mg, bactrim cp, fluconazole suspension, doprex collyre</t>
  </si>
  <si>
    <t>Élève</t>
  </si>
  <si>
    <t>Ciprofloxacin comprimés</t>
  </si>
  <si>
    <t>Érythème polymorphe mineur</t>
  </si>
  <si>
    <t>Étudiant</t>
  </si>
  <si>
    <t>Épidermolyse bulleuse acquise</t>
  </si>
  <si>
    <t>Écolier</t>
  </si>
  <si>
    <t>Phytothérapie</t>
  </si>
  <si>
    <t>Douleur</t>
  </si>
  <si>
    <t>Frissons</t>
  </si>
  <si>
    <t>Revendeuse</t>
  </si>
  <si>
    <t>Pemphigus paranéoplasique</t>
  </si>
  <si>
    <t>Cotrimoxazole</t>
  </si>
  <si>
    <t>Douleur Autre</t>
  </si>
  <si>
    <t>Sensation de brulure</t>
  </si>
  <si>
    <t>Amoxicilline, paracétamol cp</t>
  </si>
  <si>
    <t>Coartem, aspirine</t>
  </si>
  <si>
    <t>Étudiante</t>
  </si>
  <si>
    <t>Dermatite herpétiforme</t>
  </si>
  <si>
    <t>Technicienne de laboratoire</t>
  </si>
  <si>
    <t>Diclofenac comprimés</t>
  </si>
  <si>
    <t>Impétigo bulleux</t>
  </si>
  <si>
    <t>Phenobarbital, previscan, myorel, cortancyl</t>
  </si>
  <si>
    <t>Retraité</t>
  </si>
  <si>
    <t>Xeloda, caprcitabine</t>
  </si>
  <si>
    <t>Sulfadoxine-pyriméthamine</t>
  </si>
  <si>
    <t>Sulfadoxine-pyriméthamine, amoxicilline, paracétamol</t>
  </si>
  <si>
    <t>Agent de PTT</t>
  </si>
  <si>
    <t>Erythromicine, flucoxacilline cp, cloxacilline cp</t>
  </si>
  <si>
    <t>Bactrim cp, paracétamol cp, vermifuge</t>
  </si>
  <si>
    <t>Douleur Prurit Fièvre</t>
  </si>
  <si>
    <t>Médecin chirurgien</t>
  </si>
  <si>
    <t>Neuroleptil</t>
  </si>
  <si>
    <t>Fucomax cp, Advil sirop, ceftriaxone inj, gentamicine injectable, aspegic injectable</t>
  </si>
  <si>
    <t>Professeur à la retraite</t>
  </si>
  <si>
    <t>Nifelat retard</t>
  </si>
  <si>
    <t>Apprentie coiffeuse</t>
  </si>
  <si>
    <t>Ibuprofene cp, sulfamides cp</t>
  </si>
  <si>
    <t>Administrateur en gestion de projet</t>
  </si>
  <si>
    <t>Métamizole cp, spiramycine cp, metronidazole cp</t>
  </si>
  <si>
    <t>Prurit Autre</t>
  </si>
  <si>
    <t>Picotements et chaleur</t>
  </si>
  <si>
    <t>Moringa</t>
  </si>
  <si>
    <t>Rougeur conjonctivale, érosion buccale</t>
  </si>
  <si>
    <t>Nifluril cp, bactrim cp,</t>
  </si>
  <si>
    <t>Militaire</t>
  </si>
  <si>
    <t>Metronidazole cp, powergésic, deslora denk, cotipred, atarax 25mg</t>
  </si>
  <si>
    <t>Érythème polymorphe majeur</t>
  </si>
  <si>
    <t>Paracétamol</t>
  </si>
  <si>
    <t>Lamotrigine</t>
  </si>
  <si>
    <t>Enseignant</t>
  </si>
  <si>
    <t>Zona</t>
  </si>
  <si>
    <t>Lupus bulleux</t>
  </si>
  <si>
    <t>Comptable</t>
  </si>
  <si>
    <t>Non précisé</t>
  </si>
  <si>
    <t>Arthemeter lumefantrine, paracétamol</t>
  </si>
  <si>
    <t>Pemphigus vulgaire</t>
  </si>
  <si>
    <t>Guérisseur traditionnel</t>
  </si>
  <si>
    <t>Paracétamol, ibuprofène</t>
  </si>
  <si>
    <t>Metamizole sodique</t>
  </si>
  <si>
    <t>Bronquidiazina</t>
  </si>
  <si>
    <t>Couturière</t>
  </si>
  <si>
    <t>Epidermolyse bulleuse héréditaire</t>
  </si>
  <si>
    <t>Infirmière</t>
  </si>
  <si>
    <t>Immunoallergique</t>
  </si>
  <si>
    <t>Lichen bulleux</t>
  </si>
  <si>
    <t>Juriste</t>
  </si>
  <si>
    <t>DHBANN</t>
  </si>
  <si>
    <t>Paracétamol, phytothérapie</t>
  </si>
  <si>
    <t>Chauffeur</t>
  </si>
  <si>
    <t>Directeur de microfinances</t>
  </si>
  <si>
    <t>Arthemeter lumefantrine</t>
  </si>
  <si>
    <t>Réalisateur de films</t>
  </si>
  <si>
    <t>Mécanicien</t>
  </si>
  <si>
    <t>Trimethoprine + sulfamethoxazole</t>
  </si>
  <si>
    <t>Technicien multimédia</t>
  </si>
  <si>
    <t>Décoratrice</t>
  </si>
  <si>
    <t>AsuDenk (Artesunate + Sulfamethoxypyrazine)</t>
  </si>
  <si>
    <t>Institutrice</t>
  </si>
  <si>
    <t>Tegretol LP 400mg</t>
  </si>
  <si>
    <t>Rivotril cp(clonazépam)</t>
  </si>
  <si>
    <t>Ibuprofène</t>
  </si>
  <si>
    <t>Exanthème véiculo bulleux</t>
  </si>
  <si>
    <t>Dexamethazone</t>
  </si>
  <si>
    <t>Ibuprofene cp, antibiotique x, antalgiques y</t>
  </si>
  <si>
    <t>Arthemeter lumefantrine, phytothérapie</t>
  </si>
  <si>
    <t>Assistante de direction</t>
  </si>
  <si>
    <t>Arthéméther luméfantrine, cac1000</t>
  </si>
  <si>
    <t>Triexyphénidyle chlorhydrate cp, halopenidol cp, phénobarbital cp, carbamazépine cp</t>
  </si>
  <si>
    <t>Inconnu</t>
  </si>
  <si>
    <t>Astaph cp</t>
  </si>
  <si>
    <t>Ingénieur</t>
  </si>
  <si>
    <t>Vitrier</t>
  </si>
  <si>
    <t>Sulfate de pyrymethadoxine</t>
  </si>
  <si>
    <t>Amoxicilline cp</t>
  </si>
  <si>
    <t>Eczéma bulleux</t>
  </si>
  <si>
    <t>RAPPORT DERMATOSES BULLEUSES CNHU HKM</t>
  </si>
  <si>
    <t>SECTION 1: POPULATION TOTALE</t>
  </si>
  <si>
    <t>Nombre total de répondants:</t>
  </si>
  <si>
    <t>STATISTIQUES D'ÂGE (en années)</t>
  </si>
  <si>
    <t>Statistique</t>
  </si>
  <si>
    <t>Valeur</t>
  </si>
  <si>
    <t>Moyenne</t>
  </si>
  <si>
    <t>Médiane</t>
  </si>
  <si>
    <t>Mode</t>
  </si>
  <si>
    <t>Écart-type</t>
  </si>
  <si>
    <t>SEXE</t>
  </si>
  <si>
    <t>Fréquence</t>
  </si>
  <si>
    <t>Pourcentage</t>
  </si>
  <si>
    <t>NOTION DE PRISE MÉDICAMENTEUSE</t>
  </si>
  <si>
    <t>TYPE D'ATTEINTE</t>
  </si>
  <si>
    <t>SURFACE CORPORELLE ATTEINTE</t>
  </si>
  <si>
    <t>SIGNES ASSOCIÉS</t>
  </si>
  <si>
    <t>CATÉGORIE DE LA DERMATOSE</t>
  </si>
  <si>
    <t>DERMATOSE AUTO-IMMUNE</t>
  </si>
  <si>
    <t>DERMATOSE INFECTIEUSE</t>
  </si>
  <si>
    <t>TOXIDERMIE</t>
  </si>
  <si>
    <t>DÉLAI DE CONSULTATION (en jours)</t>
  </si>
  <si>
    <t>SECTION 2: ANALYSE PAR TRANCHE D'ÂGE</t>
  </si>
  <si>
    <t>RÉPARTITION PAR TRANCHE D'ÂGE</t>
  </si>
  <si>
    <t>Tranche d'âge</t>
  </si>
  <si>
    <t>0-18 ans</t>
  </si>
  <si>
    <t>TOTAL</t>
  </si>
  <si>
    <t>2.1 TRANCHE D'ÂGE: 0-18 ANS</t>
  </si>
  <si>
    <t>Effectif (0-18 ans):</t>
  </si>
  <si>
    <t>SEXE (0-18 ans)</t>
  </si>
  <si>
    <t>NOTION DE PRISE MÉDICAMENTEUSE (0-18 ans)</t>
  </si>
  <si>
    <t>TYPE D'ATTEINTE (0-18 ans)</t>
  </si>
  <si>
    <t>CATÉGORIE DE LA DERMATOSE (0-18 ans)</t>
  </si>
  <si>
    <t>SECTION 3: ANALYSE PAR SEXE</t>
  </si>
  <si>
    <t>3.1 SEXE: FEMME</t>
  </si>
  <si>
    <t>Effectif (Femmes):</t>
  </si>
  <si>
    <t>RÉPARTITION PAR ÂGE (Femmes)</t>
  </si>
  <si>
    <t>NOTION DE PRISE MÉDICAMENTEUSE (Femmes)</t>
  </si>
  <si>
    <t>TYPE D'ATTEINTE (Femmes)</t>
  </si>
  <si>
    <t>CATÉGORIE DE LA DERMATOSE (Femmes)</t>
  </si>
  <si>
    <t>3.2 SEXE: HOMME</t>
  </si>
  <si>
    <t>Effectif (Hommes):</t>
  </si>
  <si>
    <t>RÉPARTITION PAR ÂGE (Hommes)</t>
  </si>
  <si>
    <t>NOTION DE PRISE MÉDICAMENTEUSE (Hommes)</t>
  </si>
  <si>
    <t>TYPE D'ATTEINTE (Hommes)</t>
  </si>
  <si>
    <t>CATÉGORIE DE LA DERMATOSE (Hommes)</t>
  </si>
  <si>
    <t>SECTION 4: TABLEAU CROISÉ SEXE x TRANCHE D'ÂGE</t>
  </si>
  <si>
    <t>Total</t>
  </si>
  <si>
    <t>TABLEAU CROISÉ CATÉGORIE DE DERMATOSE x TRANCHE D'ÂGE</t>
  </si>
  <si>
    <t>Catégorie</t>
  </si>
  <si>
    <t>Variable</t>
  </si>
  <si>
    <t>Toxidermie Sévère</t>
  </si>
  <si>
    <t>Effectif</t>
  </si>
  <si>
    <t>Prise Médicamenteuse</t>
  </si>
  <si>
    <t>Odds Ratio</t>
  </si>
  <si>
    <t>IC 95% Inf</t>
  </si>
  <si>
    <t>IC 95% Sup</t>
  </si>
  <si>
    <t>Min</t>
  </si>
  <si>
    <t>Max</t>
  </si>
  <si>
    <t>Coefficient (β)</t>
  </si>
  <si>
    <t>Erreur Std</t>
  </si>
  <si>
    <t>Intercept (β₀)</t>
  </si>
  <si>
    <t>-</t>
  </si>
  <si>
    <t>Facteur</t>
  </si>
  <si>
    <t>Prise médicamenteuse</t>
  </si>
  <si>
    <t>p-value</t>
  </si>
  <si>
    <t>&lt;0.001</t>
  </si>
  <si>
    <t>Interprétation</t>
  </si>
  <si>
    <t>Observations</t>
  </si>
  <si>
    <t>AUC-ROC</t>
  </si>
  <si>
    <t>Accuracy</t>
  </si>
  <si>
    <t>Surface corporelle</t>
  </si>
  <si>
    <t>Âge</t>
  </si>
  <si>
    <t>Type Atteinte</t>
  </si>
  <si>
    <t>Type atteinte (Cut+Muq)</t>
  </si>
  <si>
    <t>Paramètre</t>
  </si>
  <si>
    <t>Effectif total</t>
  </si>
  <si>
    <t>Âge moyen (années)</t>
  </si>
  <si>
    <t>Âge médian (années)</t>
  </si>
  <si>
    <t>Femmes</t>
  </si>
  <si>
    <t>Hommes</t>
  </si>
  <si>
    <t>Statut</t>
  </si>
  <si>
    <t>Type</t>
  </si>
  <si>
    <t>Signif.</t>
  </si>
  <si>
    <t>Indicateur</t>
  </si>
  <si>
    <t>Excellent pouvoir discriminant (&gt;0.8)</t>
  </si>
  <si>
    <t>Bonne classification globale</t>
  </si>
  <si>
    <t>IC 95%</t>
  </si>
  <si>
    <t>Interprétation Clinique</t>
  </si>
  <si>
    <t>🔴 Prise médicamenteuse</t>
  </si>
  <si>
    <t>FACTEUR MAJEUR: Multiplie le risque par 17</t>
  </si>
  <si>
    <t>🟡 Surface corporelle</t>
  </si>
  <si>
    <t>%</t>
  </si>
  <si>
    <t>FAIBLE</t>
  </si>
  <si>
    <t>Sévérité</t>
  </si>
  <si>
    <t>19-59 ans</t>
  </si>
  <si>
    <t>60 ans et plus</t>
  </si>
  <si>
    <t>2.2 TRANCHE D'ÂGE: 19-59 ANS</t>
  </si>
  <si>
    <t>2.3 TRANCHE D'ÂGE: 60 ANS ET PLUS</t>
  </si>
  <si>
    <t>Effectif (19-59 ans):</t>
  </si>
  <si>
    <t>SEXE (19-59 ans)</t>
  </si>
  <si>
    <t>NOTION DE PRISE MÉDICAMENTEUSE (19-59 ans)</t>
  </si>
  <si>
    <t>TYPE D'ATTEINTE (19-59 ans)</t>
  </si>
  <si>
    <t>CATÉGORIE DE LA DERMATOSE (19-59 ans)</t>
  </si>
  <si>
    <t>Effectif (60 ans et plus):</t>
  </si>
  <si>
    <t>SEXE (60 ans et plus)</t>
  </si>
  <si>
    <t>NOTION DE PRISE MÉDICAMENTEUSE (60 ans et plus)</t>
  </si>
  <si>
    <t>TYPE D'ATTEINTE (60 ans et plus)</t>
  </si>
  <si>
    <t>CATÉGORIE DE LA DERMATOSE (60 ans et plus)</t>
  </si>
  <si>
    <t>SECTION 5: ANALYSE DÉTAILLÉE PAR CATÉGORIE DE DERMATOSE</t>
  </si>
  <si>
    <t>5.1 CATÉGORIE: TOXIDERMIE</t>
  </si>
  <si>
    <t>Effectif (Toxidermie):</t>
  </si>
  <si>
    <t>SEXE (Toxidermie)</t>
  </si>
  <si>
    <t>TRANCHE D'ÂGE (Toxidermie)</t>
  </si>
  <si>
    <t>SOUS-CATÉGORIES DE TOXIDERMIE</t>
  </si>
  <si>
    <t>Sous-catégorie</t>
  </si>
  <si>
    <t>5.2 CATÉGORIE: AUTO-IMMUNE</t>
  </si>
  <si>
    <t>Effectif (Auto-immune):</t>
  </si>
  <si>
    <t>SEXE (Auto-immune)</t>
  </si>
  <si>
    <t>TRANCHE D'ÂGE (Auto-immune)</t>
  </si>
  <si>
    <t>SOUS-CATÉGORIES DE DERMATOSE AUTO-IMMUNE</t>
  </si>
  <si>
    <t>5.3 CATÉGORIE: INFECTIEUSE</t>
  </si>
  <si>
    <t>Effectif (Infectieuse):</t>
  </si>
  <si>
    <t>SEXE (Infectieuse)</t>
  </si>
  <si>
    <t>TRANCHE D'ÂGE (Infectieuse)</t>
  </si>
  <si>
    <t>SOUS-CATÉGORIES DE DERMATOSE INFECTIEUSE</t>
  </si>
  <si>
    <t>5.4 CATÉGORIE: IMMUNOALLERGIQUE</t>
  </si>
  <si>
    <t>Effectif (Immunoallergique):</t>
  </si>
  <si>
    <t>SEXE (Immunoallergique)</t>
  </si>
  <si>
    <t>TRANCHE D'ÂGE (Immunoallergique)</t>
  </si>
  <si>
    <t>SOUS-CATÉGORIES DE DERMATOSE IMMUNOALLERGIQUE</t>
  </si>
  <si>
    <t>Pemphigoïde gravidique</t>
  </si>
  <si>
    <t>SECTION 6: ANALYSE DÉTAILLÉE PAR GROUPE D'ÂGE</t>
  </si>
  <si>
    <t>6.1 GROUPE D'ÂGE: 0-18 ANS</t>
  </si>
  <si>
    <t>SURFACE CORPORELLE ATTEINTE (0-18 ans)</t>
  </si>
  <si>
    <t>Tranche de surface</t>
  </si>
  <si>
    <t>0-10%</t>
  </si>
  <si>
    <t>11-29%</t>
  </si>
  <si>
    <t>≥30%</t>
  </si>
  <si>
    <t>PRISE MÉDICAMENTEUSE (0-18 ans)</t>
  </si>
  <si>
    <t>RÉPARTITION DES PATHOLOGIES (0-18 ans)</t>
  </si>
  <si>
    <t>Pathologie</t>
  </si>
  <si>
    <t>6.2 GROUPE D'ÂGE: 19-59 ANS</t>
  </si>
  <si>
    <t>SURFACE CORPORELLE ATTEINTE (19-59 ans)</t>
  </si>
  <si>
    <t>PRISE MÉDICAMENTEUSE (19-59 ans)</t>
  </si>
  <si>
    <t>RÉPARTITION DES PATHOLOGIES (19-59 ans)</t>
  </si>
  <si>
    <t>6.3 GROUPE D'ÂGE: 60 ANS ET PLUS</t>
  </si>
  <si>
    <t>SURFACE CORPORELLE ATTEINTE (60 ans et plus)</t>
  </si>
  <si>
    <t>PRISE MÉDICAMENTEUSE (60 ans et plus)</t>
  </si>
  <si>
    <t>RÉPARTITION DES PATHOLOGIES (60 ans et plus)</t>
  </si>
  <si>
    <t>SECTION 7: MÉDICAMENTS LES PLUS FRÉQUENTS PAR GROUPE D'ÂGE</t>
  </si>
  <si>
    <t>Note: Les médicaments sont extraits de la colonne "Préciser le ou les médicament(s)" pour les patients ayant déclaré une prise médicamenteuse.</t>
  </si>
  <si>
    <t>7.1 MÉDICAMENTS FRÉQUENTS (0-18 ans)</t>
  </si>
  <si>
    <t>Médicament</t>
  </si>
  <si>
    <t>Fréquence de mention</t>
  </si>
  <si>
    <t>Cotrimoxazole/Bactrim</t>
  </si>
  <si>
    <t>Quinine</t>
  </si>
  <si>
    <t>Métronidazole/Flagyl</t>
  </si>
  <si>
    <t>Ciprofloxacine</t>
  </si>
  <si>
    <t>Ceftriaxone</t>
  </si>
  <si>
    <t>7.2 MÉDICAMENTS FRÉQUENTS (19-59 ans)</t>
  </si>
  <si>
    <t>Fluconazole/Forcan</t>
  </si>
  <si>
    <t>Griséofulvine</t>
  </si>
  <si>
    <t>Doxycycline</t>
  </si>
  <si>
    <t>7.3 MÉDICAMENTS FRÉQUENTS (60 ans et plus)</t>
  </si>
  <si>
    <t>Céfixime</t>
  </si>
  <si>
    <t>Tramadol</t>
  </si>
  <si>
    <t>Corticoïdes</t>
  </si>
  <si>
    <t>SECTION 8: TABLEAUX CROISÉS RÉCAPITULATIFS</t>
  </si>
  <si>
    <t>8.1 TABLEAU CROISÉ: SURFACE CORPORELLE x CATÉGORIE DE DERMATOSE</t>
  </si>
  <si>
    <t>8.2 TABLEAU CROISÉ: SEXE x CATÉGORIE DE DERMATOSE</t>
  </si>
  <si>
    <t>8.3 TABLEAU CROISÉ: PRISE MÉDICAMENTEUSE x CATÉGORIE DE DERMATOSE</t>
  </si>
  <si>
    <t>SECTION 9: SYNTHÈSE ET POINTS CLÉS</t>
  </si>
  <si>
    <t>POINTS CLÉS DE L'ANALYSE:</t>
  </si>
  <si>
    <t>1. RÉPARTITION PAR CATÉGORIE:</t>
  </si>
  <si>
    <t xml:space="preserve">   - Toxidermie: 75 cas (57.69%) - catégorie dominante</t>
  </si>
  <si>
    <t xml:space="preserve">   - Auto-immune: 31 cas (23.85%)</t>
  </si>
  <si>
    <t xml:space="preserve">   - Infectieuse: 19 cas (14.62%)</t>
  </si>
  <si>
    <t xml:space="preserve">   - Immunoallergique: 5 cas (3.85%)</t>
  </si>
  <si>
    <t>2. ANALYSE PAR ÂGE:</t>
  </si>
  <si>
    <t xml:space="preserve">   - 0-18 ans: 43 cas (33.08%) - majorité toxidermie et infectieuse</t>
  </si>
  <si>
    <t xml:space="preserve">   - 19-59 ans: 58 cas (44.62%) - prédominance toxidermie</t>
  </si>
  <si>
    <t xml:space="preserve">   - 60+ ans: 29 cas (22.31%) - forte proportion auto-immune</t>
  </si>
  <si>
    <t>3. PRISE MÉDICAMENTEUSE:</t>
  </si>
  <si>
    <t xml:space="preserve">   - 68 patients (52.31%) ont déclaré une prise médicamenteuse</t>
  </si>
  <si>
    <t xml:space="preserve">   - 65/75 cas de toxidermie sont liés à une prise médicamenteuse (86.67%)</t>
  </si>
  <si>
    <t xml:space="preserve">   - Association forte médicaments-toxidermie confirmée</t>
  </si>
  <si>
    <t>4. SURFACE CORPORELLE ATTEINTE:</t>
  </si>
  <si>
    <t xml:space="preserve">   - 0-10%: 55 cas (42.31%)</t>
  </si>
  <si>
    <t xml:space="preserve">   - 11-29%: 34 cas (26.15%)</t>
  </si>
  <si>
    <t xml:space="preserve">   - ≥30%: 41 cas (31.54%) - atteintes étendues fréquentes</t>
  </si>
  <si>
    <t>5. PATHOLOGIES DOMINANTES:</t>
  </si>
  <si>
    <t xml:space="preserve">   - EPF Bulleux: 25 cas</t>
  </si>
  <si>
    <t xml:space="preserve">   - Syndrome de Stevens-Johnson: 20 cas</t>
  </si>
  <si>
    <t xml:space="preserve">   - Pemphigoïde bulleuse: 15 cas</t>
  </si>
  <si>
    <t xml:space="preserve">   - Syndrome de Lyell: 15 cas</t>
  </si>
  <si>
    <t xml:space="preserve">   - Impétigo bulleux: 10 cas</t>
  </si>
  <si>
    <t>ANALYSE STATISTIQUE APPROFONDIE - DERMATOSES BULLEUSES CNHU HKM</t>
  </si>
  <si>
    <t>Analyse par Régression Logistique Multivariée pour chaque Catégorie de Dermatose</t>
  </si>
  <si>
    <t>SECTION 1: RÉSUMÉ STATISTIQUE DES DONNÉES</t>
  </si>
  <si>
    <t>N</t>
  </si>
  <si>
    <t>Âge (années)</t>
  </si>
  <si>
    <t>Surface corporelle (%)</t>
  </si>
  <si>
    <t>Délai consultation (jours)</t>
  </si>
  <si>
    <t>SECTION 2: DISTRIBUTION DES CATÉGORIES DE DERMATOSE</t>
  </si>
  <si>
    <t>Proportion</t>
  </si>
  <si>
    <t>Test Chi²</t>
  </si>
  <si>
    <t>p-value Chi² (df=3):</t>
  </si>
  <si>
    <t>→ Distribution significativement non uniforme</t>
  </si>
  <si>
    <t>SECTION 3: TESTS D'ASSOCIATION (Chi² et Odds Ratios)</t>
  </si>
  <si>
    <t>3.1 Association Prise Médicamenteuse × Catégorie de Dermatose</t>
  </si>
  <si>
    <t>Prise Med = Oui</t>
  </si>
  <si>
    <t>Prise Med = Non</t>
  </si>
  <si>
    <t>Chi² calculé:</t>
  </si>
  <si>
    <t>3.2 Association Sexe × Catégorie de Dermatose</t>
  </si>
  <si>
    <t>SECTION 4: RÉGRESSION LOGISTIQUE - PRÉDICTION DE TOXIDERMIE</t>
  </si>
  <si>
    <t>Variable dépendante Y = 1 si Toxidermie, 0 sinon | Modèle: logit(P) = β₀ + β₁×Âge + β₂×Sexe + β₃×PriseMed + β₄×Surface</t>
  </si>
  <si>
    <t>Wald z</t>
  </si>
  <si>
    <t>Sexe (Femme=1)</t>
  </si>
  <si>
    <t>PERFORMANCE DU MODÈLE TOXIDERMIE</t>
  </si>
  <si>
    <t>Pseudo R² (McFadden)</t>
  </si>
  <si>
    <t>Sensibilité</t>
  </si>
  <si>
    <t>Spécificité</t>
  </si>
  <si>
    <t>VPP</t>
  </si>
  <si>
    <t>VPN</t>
  </si>
  <si>
    <t>SECTION 5: RÉGRESSION LOGISTIQUE - PRÉDICTION DE DERMATOSE AUTO-IMMUNE</t>
  </si>
  <si>
    <t>Variable dépendante Y = 1 si Auto-immune, 0 sinon | Modèle: logit(P) = β₀ + β₁×Âge + β₂×Sexe + β₃×PriseMed + β₄×Surface</t>
  </si>
  <si>
    <t>PERFORMANCE DU MODÈLE AUTO-IMMUNE</t>
  </si>
  <si>
    <t>Pseudo R²</t>
  </si>
  <si>
    <t>SECTION 6: RÉGRESSION LOGISTIQUE - PRÉDICTION DE DERMATOSE INFECTIEUSE</t>
  </si>
  <si>
    <t>Variable dépendante Y = 1 si Infectieuse, 0 sinon | Modèle: logit(P) = β₀ + β₁×Âge + β₂×Sexe + β₃×PriseMed + β₄×Surface</t>
  </si>
  <si>
    <t>Sexe (Homme=1)</t>
  </si>
  <si>
    <t>PERFORMANCE DU MODÈLE INFECTIEUSE</t>
  </si>
  <si>
    <t>SECTION 7: RÉGRESSION LOGISTIQUE - PRÉDICTION DE DERMATOSE IMMUNOALLERGIQUE</t>
  </si>
  <si>
    <t>Variable dépendante Y = 1 si Immunoallergique, 0 sinon | Modèle: logit(P) = β₀ + β₁×Âge + β₂×Sexe + β₃×PriseMed + β₄×Surface</t>
  </si>
  <si>
    <t>⚠️ ATTENTION: Effectif faible (n=5) - Résultats à interpréter avec prudence. IC très larges.</t>
  </si>
  <si>
    <t>PERFORMANCE DU MODÈLE IMMUNOALLERGIQUE</t>
  </si>
  <si>
    <t>SECTION 8: RÉGRESSION LOGISTIQUE - TOXIDERMIE SÉVÈRE (Stevens-Johnson / Lyell)</t>
  </si>
  <si>
    <t>Variable dépendante Y = 1 si SJS ou Lyell, 0 sinon | MODÈLE PRINCIPAL DE L'ÉTUDE</t>
  </si>
  <si>
    <t>Effectif Sévère (Y=1):</t>
  </si>
  <si>
    <t>Proportion:</t>
  </si>
  <si>
    <t>Légende: *** p&lt;0.001  ** p&lt;0.01  * p&lt;0.05  NS: Non significatif</t>
  </si>
  <si>
    <t>PERFORMANCE DU MODÈLE TOXIDERMIE SÉVÈRE (Meilleur Modèle)</t>
  </si>
  <si>
    <t>Bon (&gt;0.2 acceptable)</t>
  </si>
  <si>
    <t>Excellent (&gt;0.8)</t>
  </si>
  <si>
    <t>Bonne classification</t>
  </si>
  <si>
    <t>Détection cas sévères</t>
  </si>
  <si>
    <t>Exclusion cas non-sévères</t>
  </si>
  <si>
    <t>Log-Likelihood</t>
  </si>
  <si>
    <t>Ajustement du modèle</t>
  </si>
  <si>
    <t>SECTION 9: COMPARAISON DES MODÈLES DE RÉGRESSION LOGISTIQUE</t>
  </si>
  <si>
    <t>Modèle (Y=)</t>
  </si>
  <si>
    <t>Variable la plus significative</t>
  </si>
  <si>
    <t>OR Max</t>
  </si>
  <si>
    <t>Recommandation</t>
  </si>
  <si>
    <t>Bon modèle</t>
  </si>
  <si>
    <t>Excellent</t>
  </si>
  <si>
    <t>Effectif faible</t>
  </si>
  <si>
    <t>Toxidermie Sévère ⭐</t>
  </si>
  <si>
    <t>MEILLEUR MODÈLE</t>
  </si>
  <si>
    <t>SECTION 10: INTERPRÉTATION CLINIQUE ET CONCLUSIONS</t>
  </si>
  <si>
    <t>10.1 Facteurs de Risque Significatifs Identifiés</t>
  </si>
  <si>
    <t>Catégorie concernée</t>
  </si>
  <si>
    <t>Multiplie le risque par ~17</t>
  </si>
  <si>
    <t>🟠 Âge jeune</t>
  </si>
  <si>
    <t>&lt;0.01</t>
  </si>
  <si>
    <t>Risque diminue de 2.5% par année</t>
  </si>
  <si>
    <t>+1.8% risque par % de surface</t>
  </si>
  <si>
    <t>🟢 Âge avancé</t>
  </si>
  <si>
    <t>Risque augmente avec l'âge</t>
  </si>
  <si>
    <t>🔵 Sexe masculin</t>
  </si>
  <si>
    <t>&lt;0.05</t>
  </si>
  <si>
    <t>Hommes plus à risque</t>
  </si>
  <si>
    <t>10.2 Conclusions et Recommandations</t>
  </si>
  <si>
    <t>1. TOXIDERMIE (n=75, 57.69%):</t>
  </si>
  <si>
    <t xml:space="preserve">   - Catégorie la plus fréquente, fortement liée à la prise médicamenteuse (OR=17.48)</t>
  </si>
  <si>
    <t xml:space="preserve">   - Population à risque: patients jeunes sous traitement médicamenteux</t>
  </si>
  <si>
    <t xml:space="preserve">   - Prévention: vigilance accrue lors de prescription de sulfamides, antipaludéens</t>
  </si>
  <si>
    <t>2. AUTO-IMMUNE (n=31, 23.85%):</t>
  </si>
  <si>
    <t xml:space="preserve">   - Association forte avec l'âge avancé (OR=1.04 par année)</t>
  </si>
  <si>
    <t xml:space="preserve">   - Pemphigoïde bulleuse prédominante (48% des cas auto-immuns)</t>
  </si>
  <si>
    <t xml:space="preserve">   - Population à risque: sujets âgés &gt;60 ans</t>
  </si>
  <si>
    <t>3. INFECTIEUSE (n=19, 14.62%):</t>
  </si>
  <si>
    <t xml:space="preserve">   - Prédominance pédiatrique (68% des cas chez 0-18 ans)</t>
  </si>
  <si>
    <t xml:space="preserve">   - Impétigo bulleux principal diagnostic (53% des cas infectieux)</t>
  </si>
  <si>
    <t xml:space="preserve">   - Prédominance masculine significative</t>
  </si>
  <si>
    <t>4. IMMUNOALLERGIQUE (n=5, 3.85%):</t>
  </si>
  <si>
    <t xml:space="preserve">   - Effectif faible - analyse limitée</t>
  </si>
  <si>
    <t xml:space="preserve">   - Nécessite études complémentaires</t>
  </si>
  <si>
    <t>5. MEILLEUR MODÈLE PRÉDICTIF:</t>
  </si>
  <si>
    <t xml:space="preserve">   - Régression logistique pour Toxidermie Sévère (SJS/Lyell)</t>
  </si>
  <si>
    <t xml:space="preserve">   - AUC-ROC = 0.823 (excellent pouvoir discriminant)</t>
  </si>
  <si>
    <t xml:space="preserve">   - Variables clés: Prise médicamenteuse, Âge, Surface corporelle</t>
  </si>
  <si>
    <t>SECTION 11: DONNÉES POUR VISUALISATIONS</t>
  </si>
  <si>
    <t>Log(OR)</t>
  </si>
  <si>
    <t>Surface Corporelle</t>
  </si>
  <si>
    <t>Seuil</t>
  </si>
  <si>
    <t>1-Spécificité</t>
  </si>
  <si>
    <t>Point ROC</t>
  </si>
  <si>
    <t>≥60 ans</t>
  </si>
  <si>
    <t>SECTION 12: ÉQUATIONS DES MODÈLES DE RÉGRESSION LOGISTIQUE</t>
  </si>
  <si>
    <t>12.1 Modèle Toxidermie</t>
  </si>
  <si>
    <t>logit(P[Toxidermie]) = β₀ + (-0.025)×Âge + β₂×Sexe + β₃×PriseMed + (0.012)×Surface</t>
  </si>
  <si>
    <t>P(Toxidermie) = 1 / (1 + exp(-logit))</t>
  </si>
  <si>
    <t>12.2 Modèle Auto-immune</t>
  </si>
  <si>
    <t>logit(P[Auto-immune]) = β₀ + (0.042)×Âge + β₂×Sexe + β₃×PriseMed + (0.008)×Surface</t>
  </si>
  <si>
    <t>12.3 Modèle Infectieuse</t>
  </si>
  <si>
    <t>logit(P[Infectieuse]) = β₀ + (-0.065)×Âge + β₂×Sexe + β₃×PriseMed + (-0.015)×Surface</t>
  </si>
  <si>
    <t>12.4 MEILLEUR MODÈLE - Toxidermie Sévère (SJS/Lyell)</t>
  </si>
  <si>
    <t>logit(P[Sévère]) = -2.85 + (-0.025)×Âge + (0.46)×Sexe + (2.86)×PriseMed + (0.31)×TypeAtteinte + (0.018)×Surface</t>
  </si>
  <si>
    <t>Exemple de calcul: Patient 25 ans, Homme, Prise médicamenteuse, Atteinte cutanéo-muqueuse, Surface 40%</t>
  </si>
  <si>
    <t>logit =</t>
  </si>
  <si>
    <t>P(Sévère) =</t>
  </si>
  <si>
    <t>SECTION 13: NOTES MÉTHODOLOGIQUES</t>
  </si>
  <si>
    <t>MÉTHODOLOGIE:</t>
  </si>
  <si>
    <t>• Type d'étude: Analyse rétrospective de données transversales</t>
  </si>
  <si>
    <t>• Population: 130 patients atteints de dermatoses bulleuses au CNHU HKM (Janvier 2016 - Avril 2026)</t>
  </si>
  <si>
    <t>• Modèle statistique: Régression logistique multivariée</t>
  </si>
  <si>
    <t>• Variables explicatives: Âge, Sexe, Prise médicamenteuse, Type d'atteinte, Surface corporelle</t>
  </si>
  <si>
    <t>INTERPRÉTATION DES ODDS RATIOS:</t>
  </si>
  <si>
    <t>• OR &gt; 1: Facteur de risque (augmente la probabilité de l'événement)</t>
  </si>
  <si>
    <t>• OR &lt; 1: Facteur protecteur (diminue la probabilité de l'événement)</t>
  </si>
  <si>
    <t>• OR = 1: Pas d'association</t>
  </si>
  <si>
    <t>• IC 95% ne contenant pas 1: Association statistiquement significative</t>
  </si>
  <si>
    <t>LIMITES DE L'ÉTUDE:</t>
  </si>
  <si>
    <t>• Effectif limité pour certaines catégories (Immunoallergique n=5)</t>
  </si>
  <si>
    <t>• Données rétrospectives - biais de sélection possible</t>
  </si>
  <si>
    <t>• Les coefficients de régression sont estimés par la méthode des Odds Ratios univariés</t>
  </si>
  <si>
    <t>• Pour une analyse complète, un logiciel statistique spécialisé (R, SPSS, Stata) est recommandé</t>
  </si>
  <si>
    <t>RÉFÉRENCES:</t>
  </si>
  <si>
    <t>• Hosmer DW, Lemeshow S. Applied Logistic Regression. 2nd ed. 2000.</t>
  </si>
  <si>
    <t>• Agresti A. Categorical Data Analysis. 3rd ed. 2013.</t>
  </si>
  <si>
    <t>ANALYSE STATISTIQUE COMPLÈTE - DERMATOSES BULLEUSES CNHU HKM</t>
  </si>
  <si>
    <t>Régression Logistique Multivariée par Catégorie de Dermatose</t>
  </si>
  <si>
    <t>Analyse réalisée avec Python dans Excel</t>
  </si>
  <si>
    <t>═══════════════════════════════════════════════════════════════════════════════════════════════════════</t>
  </si>
  <si>
    <t>SECTION 1: STATISTIQUES DESCRIPTIVES DE LA POPULATION</t>
  </si>
  <si>
    <t>N/Valeur</t>
  </si>
  <si>
    <t>VARIABLES QUANTITATIVES</t>
  </si>
  <si>
    <t>Surface corporelle moyenne (%)</t>
  </si>
  <si>
    <t>VARIABLES CATÉGORIELLES</t>
  </si>
  <si>
    <t>Sexe - Femme</t>
  </si>
  <si>
    <t>Sexe - Homme</t>
  </si>
  <si>
    <t>Prise médicamenteuse - Oui</t>
  </si>
  <si>
    <t>Prise médicamenteuse - Non</t>
  </si>
  <si>
    <t>Atteinte cutanée et muqueuse</t>
  </si>
  <si>
    <t>DISTRIBUTION DES CATÉGORIES DE DERMATOSE</t>
  </si>
  <si>
    <t>Chi²</t>
  </si>
  <si>
    <t>Test Chi² global (df=3):</t>
  </si>
  <si>
    <t>p-value:</t>
  </si>
  <si>
    <t>&lt;0.0001</t>
  </si>
  <si>
    <t>TOXIDERMIE SÉVÈRE (SJS + Lyell)</t>
  </si>
  <si>
    <t>Cas sévères (Y=1)</t>
  </si>
  <si>
    <t>Cas non-sévères (Y=0)</t>
  </si>
  <si>
    <t>SECTION 2: RÉGRESSION LOGISTIQUE - MODÈLE TOXIDERMIE</t>
  </si>
  <si>
    <t>Variable dépendante: Y = 1 si Toxidermie, 0 sinon</t>
  </si>
  <si>
    <t>Modèle: logit(P) = β₀ + β₁×Âge + β₂×Sexe + β₃×PriseMed + β₄×TypeAtteinte + β₅×Surface</t>
  </si>
  <si>
    <t>NS</t>
  </si>
  <si>
    <t>**</t>
  </si>
  <si>
    <t>***</t>
  </si>
  <si>
    <t>Type atteinte (Mixte)</t>
  </si>
  <si>
    <t>*</t>
  </si>
  <si>
    <t>Excellent (&gt;0.2)</t>
  </si>
  <si>
    <t>Très bonne classification</t>
  </si>
  <si>
    <t>Bonne détection</t>
  </si>
  <si>
    <t>Excellente exclusion</t>
  </si>
  <si>
    <t>SECTION 3: RÉGRESSION LOGISTIQUE - MODÈLE AUTO-IMMUNE</t>
  </si>
  <si>
    <t>Variable dépendante: Y = 1 si Auto-immune, 0 sinon</t>
  </si>
  <si>
    <t>Bon (&gt;0.2)</t>
  </si>
  <si>
    <t>Acceptable</t>
  </si>
  <si>
    <t>Très bonne</t>
  </si>
  <si>
    <t>SECTION 4: RÉGRESSION LOGISTIQUE - MODÈLE INFECTIEUSE</t>
  </si>
  <si>
    <t>Variable dépendante: Y = 1 si Infectieuse, 0 sinon</t>
  </si>
  <si>
    <t>Modérée</t>
  </si>
  <si>
    <t>Excellente</t>
  </si>
  <si>
    <t>SECTION 5: RÉGRESSION LOGISTIQUE - MODÈLE IMMUNOALLERGIQUE</t>
  </si>
  <si>
    <t>Variable dépendante: Y = 1 si Immunoallergique, 0 sinon</t>
  </si>
  <si>
    <t>⚠️ ATTENTION: Effectif faible (n=5) - Résultats à interpréter avec prudence</t>
  </si>
  <si>
    <t>Faible (&lt;0.2) - Effectif insuffisant</t>
  </si>
  <si>
    <t>Acceptable (0.6-0.7)</t>
  </si>
  <si>
    <t>Élevée (mais biaisée par prévalence)</t>
  </si>
  <si>
    <t>Faible - effectif limité</t>
  </si>
  <si>
    <t>Très élevée</t>
  </si>
  <si>
    <t>SECTION 6: RÉGRESSION LOGISTIQUE - TOXIDERMIE SÉVÈRE (MODÈLE PRINCIPAL) ⭐</t>
  </si>
  <si>
    <t>Variable dépendante: Y = 1 si Syndrome de Stevens-Johnson OU Syndrome de Lyell</t>
  </si>
  <si>
    <t>Définition: Toxidermie Sévère = SJS (n=20) + Lyell (n=15) = 35 cas (26.92%)</t>
  </si>
  <si>
    <t>PERFORMANCE DU MODÈLE TOXIDERMIE SÉVÈRE (MEILLEUR MODÈLE)</t>
  </si>
  <si>
    <t>Bon ajustement (&gt;0.2)</t>
  </si>
  <si>
    <t>Bonne détection des cas sévères</t>
  </si>
  <si>
    <t>Bonne exclusion des non-sévères</t>
  </si>
  <si>
    <t>ÉQUATION DU MODÈLE PRÉDICTIF:</t>
  </si>
  <si>
    <t>logit(P) = -2.85 - 0.025×Âge + 0.46×Sexe + 2.86×PriseMed + 0.31×TypeAtteinte + 0.018×Surface</t>
  </si>
  <si>
    <t>P = 1 / (1 + e^(-logit(P)))</t>
  </si>
  <si>
    <t>SECTION 7: COMPARAISON DES MODÈLES DE RÉGRESSION LOGISTIQUE</t>
  </si>
  <si>
    <t>Effectif Y=1</t>
  </si>
  <si>
    <t>Prévalence</t>
  </si>
  <si>
    <t>Meilleur Prédicteur</t>
  </si>
  <si>
    <t>OR</t>
  </si>
  <si>
    <t>Qualité</t>
  </si>
  <si>
    <t>⭐⭐⭐ Excellent</t>
  </si>
  <si>
    <t>⭐⭐ Bon</t>
  </si>
  <si>
    <t>⚠️ Effectif faible</t>
  </si>
  <si>
    <t>⭐⭐⭐ MEILLEUR</t>
  </si>
  <si>
    <t>CRITÈRES DE QUALITÉ DES MODÈLES:</t>
  </si>
  <si>
    <t>Seuil Excellent</t>
  </si>
  <si>
    <t>Seuil Bon</t>
  </si>
  <si>
    <t>Seuil Acceptable</t>
  </si>
  <si>
    <t>Seuil Faible</t>
  </si>
  <si>
    <t>&gt; 0.80</t>
  </si>
  <si>
    <t>0.70 - 0.80</t>
  </si>
  <si>
    <t>0.60 - 0.70</t>
  </si>
  <si>
    <t>&lt; 0.60</t>
  </si>
  <si>
    <t>&gt; 0.40</t>
  </si>
  <si>
    <t>0.20 - 0.40</t>
  </si>
  <si>
    <t>0.10 - 0.20</t>
  </si>
  <si>
    <t>&lt; 0.10</t>
  </si>
  <si>
    <t>&gt; 85%</t>
  </si>
  <si>
    <t>75% - 85%</t>
  </si>
  <si>
    <t>65% - 75%</t>
  </si>
  <si>
    <t>&lt; 65%</t>
  </si>
  <si>
    <t>SECTION 8: FACTEURS DE RISQUE SIGNIFICATIFS IDENTIFIÉS (p &lt; 0.05)</t>
  </si>
  <si>
    <t>Direction</t>
  </si>
  <si>
    <t>Interprétation clinique</t>
  </si>
  <si>
    <t>🔴 TOXIDERMIE</t>
  </si>
  <si>
    <t>[40.66 - 312.20]</t>
  </si>
  <si>
    <t>↑↑↑</t>
  </si>
  <si>
    <t>FACTEUR MAJEUR: Multiplie le risque par 113</t>
  </si>
  <si>
    <t>[0.96 - 0.99]</t>
  </si>
  <si>
    <t>↓</t>
  </si>
  <si>
    <t>[1.00 - 1.02]</t>
  </si>
  <si>
    <t>↑</t>
  </si>
  <si>
    <t>+1.2% de risque par % de surface</t>
  </si>
  <si>
    <t>🟠 AUTO-IMMUNE</t>
  </si>
  <si>
    <t>[1.02 - 1.07]</t>
  </si>
  <si>
    <t>↑↑</t>
  </si>
  <si>
    <t>Risque augmente de 4.3% par année</t>
  </si>
  <si>
    <t>[0.01 - 0.12]</t>
  </si>
  <si>
    <t>↓↓↓</t>
  </si>
  <si>
    <t>Effet protecteur: divise le risque par 29</t>
  </si>
  <si>
    <t>🟡 INFECTIEUSE</t>
  </si>
  <si>
    <t>[0.90 - 0.97]</t>
  </si>
  <si>
    <t>↓↓</t>
  </si>
  <si>
    <t>Risque diminue de 6.3% par année (pédiatrie)</t>
  </si>
  <si>
    <t>Sexe masculin</t>
  </si>
  <si>
    <t>[1.02 - 6.69]</t>
  </si>
  <si>
    <t>Hommes 2.6× plus à risque</t>
  </si>
  <si>
    <t>[0.01 - 0.15]</t>
  </si>
  <si>
    <t>Effet protecteur: divise le risque par 27</t>
  </si>
  <si>
    <t>🔵 IMMUNOALLERGIQUE</t>
  </si>
  <si>
    <t>[0.01 - 0.49]</t>
  </si>
  <si>
    <t>Effet protecteur (résultat à confirmer n=5)</t>
  </si>
  <si>
    <t>⭐ TOXIDERMIE SÉVÈRE (SJS/Lyell)</t>
  </si>
  <si>
    <t>[4.98 - 61.22]</t>
  </si>
  <si>
    <t>Jeunes plus à risque (-2.5%/an)</t>
  </si>
  <si>
    <t>[1.01 - 1.03]</t>
  </si>
  <si>
    <t>+1.8% de risque par % de surface</t>
  </si>
  <si>
    <t>SECTION 9: CONCLUSIONS ET RECOMMANDATIONS CLINIQUES</t>
  </si>
  <si>
    <t>CONCLUSIONS PRINCIPALES:</t>
  </si>
  <si>
    <t>1. TOXIDERMIE (n=75, 57.69% des cas):</t>
  </si>
  <si>
    <t xml:space="preserve">   • Catégorie la plus fréquente dans notre série</t>
  </si>
  <si>
    <t xml:space="preserve">   • La prise médicamenteuse est le facteur de risque MAJEUR (OR=112.67, p&lt;0.0001)</t>
  </si>
  <si>
    <t xml:space="preserve">   • Population à risque: patients sous traitement médicamenteux, tous âges</t>
  </si>
  <si>
    <t xml:space="preserve">   • Le modèle a une excellente capacité discriminante (AUC=0.94)</t>
  </si>
  <si>
    <t>2. TOXIDERMIE SÉVÈRE (SJS/Lyell, n=35, 26.92%):</t>
  </si>
  <si>
    <t xml:space="preserve">   • Représente 46.67% des toxidermies (35/75)</t>
  </si>
  <si>
    <t xml:space="preserve">   • Prise médicamenteuse: multiplie le risque par 17 (OR=17.46)</t>
  </si>
  <si>
    <t xml:space="preserve">   • Âge jeune: facteur de risque (-2.5% de risque par année)</t>
  </si>
  <si>
    <t xml:space="preserve">   • Surface corporelle: marqueur de sévérité (+1.8%/% surface)</t>
  </si>
  <si>
    <t>3. AUTO-IMMUNE (n=31, 23.85%):</t>
  </si>
  <si>
    <t xml:space="preserve">   • Fortement associée à l'âge avancé (OR=1.04 par année)</t>
  </si>
  <si>
    <t xml:space="preserve">   • Pemphigoïde bulleuse: diagnostic prédominant (48% des cas auto-immuns)</t>
  </si>
  <si>
    <t xml:space="preserve">   • Population à risque: sujets âgés &gt; 60 ans</t>
  </si>
  <si>
    <t>4. INFECTIEUSE (n=19, 14.62%):</t>
  </si>
  <si>
    <t xml:space="preserve">   • Prédominance pédiatrique (âge jeune: OR=0.94 par année)</t>
  </si>
  <si>
    <t xml:space="preserve">   • Sexe masculin: facteur de risque (OR=2.61)</t>
  </si>
  <si>
    <t xml:space="preserve">   • Impétigo bulleux: diagnostic principal (53% des cas infectieux)</t>
  </si>
  <si>
    <t>5. IMMUNOALLERGIQUE (n=5, 3.85%):</t>
  </si>
  <si>
    <t xml:space="preserve">   • Effectif insuffisant pour une analyse robuste</t>
  </si>
  <si>
    <t xml:space="preserve">   • Résultats à interpréter avec prudence</t>
  </si>
  <si>
    <t>RECOMMANDATIONS CLINIQUES:</t>
  </si>
  <si>
    <t>1. Surveillance renforcée des patients sous médicaments à risque:</t>
  </si>
  <si>
    <t xml:space="preserve">   • Sulfamides (cotrimoxazole, sulfadoxine-pyriméthamine)</t>
  </si>
  <si>
    <t xml:space="preserve">   • Antipaludéens (quinine, artémisinine)</t>
  </si>
  <si>
    <t xml:space="preserve">   • Anti-inflammatoires (ibuprofène, diclofénac)</t>
  </si>
  <si>
    <t xml:space="preserve">   • Antiépileptiques (phénobarbital, lamotrigine)</t>
  </si>
  <si>
    <t>2. Vigilance particulière pour les populations à risque:</t>
  </si>
  <si>
    <t xml:space="preserve">   • Sujets jeunes pour les toxidermies sévères</t>
  </si>
  <si>
    <t xml:space="preserve">   • Sujets âgés pour les dermatoses auto-immunes</t>
  </si>
  <si>
    <t xml:space="preserve">   • Enfants de sexe masculin pour les dermatoses infectieuses</t>
  </si>
  <si>
    <t>3. Prise en charge rapide si surface corporelle atteinte &gt; 30%</t>
  </si>
  <si>
    <t>OR = Odds Ratio | IC = Intervalle de Confiance | AUC = Area Under Curve</t>
  </si>
  <si>
    <t>Transformation</t>
  </si>
  <si>
    <t>Description</t>
  </si>
  <si>
    <t>Quantitative</t>
  </si>
  <si>
    <t>Catégorielle</t>
  </si>
  <si>
    <t>Catégorie dermatose</t>
  </si>
  <si>
    <t>Inertie (WCSS)</t>
  </si>
  <si>
    <t>Silhouette Score</t>
  </si>
  <si>
    <t>3.1 Distribution des Clusters</t>
  </si>
  <si>
    <t>Cluster</t>
  </si>
  <si>
    <t>Profil Principal</t>
  </si>
  <si>
    <t>Cluster 1</t>
  </si>
  <si>
    <t>Cluster 2</t>
  </si>
  <si>
    <t>Cluster 3</t>
  </si>
  <si>
    <t>Cluster 4</t>
  </si>
  <si>
    <t>Global</t>
  </si>
  <si>
    <t>% Femmes</t>
  </si>
  <si>
    <t>% Prise médicamenteuse</t>
  </si>
  <si>
    <t>• Légère prédominance masculine (56%)</t>
  </si>
  <si>
    <t>5.1 Métriques de Qualité du Clustering</t>
  </si>
  <si>
    <t>Métrique</t>
  </si>
  <si>
    <t>Silhouette Score Global</t>
  </si>
  <si>
    <t>&gt;0.5 = Bon</t>
  </si>
  <si>
    <t>Clusters bien séparés</t>
  </si>
  <si>
    <t>Plus élevé = meilleur</t>
  </si>
  <si>
    <t>&lt;1 = Bon</t>
  </si>
  <si>
    <t>5.2 Silhouette Score par Cluster</t>
  </si>
  <si>
    <t>Bon</t>
  </si>
  <si>
    <t>F-statistic</t>
  </si>
  <si>
    <t>Délai consultation</t>
  </si>
  <si>
    <t>6.1 Variance Expliquée par les Composantes Principales</t>
  </si>
  <si>
    <t>Composante</t>
  </si>
  <si>
    <t>PC1</t>
  </si>
  <si>
    <t>PC2</t>
  </si>
  <si>
    <t>PC3</t>
  </si>
  <si>
    <t>PC4</t>
  </si>
  <si>
    <t>PC5</t>
  </si>
  <si>
    <t>Fowlkes-Mallows Index</t>
  </si>
  <si>
    <t>Surveillance</t>
  </si>
  <si>
    <t>K</t>
  </si>
  <si>
    <t>Inertie</t>
  </si>
  <si>
    <t>Silhouette</t>
  </si>
  <si>
    <t>Distribution Clusters</t>
  </si>
  <si>
    <t>C1</t>
  </si>
  <si>
    <t>C2</t>
  </si>
  <si>
    <t>C3</t>
  </si>
  <si>
    <t>C4</t>
  </si>
  <si>
    <t>% Prise Med</t>
  </si>
  <si>
    <t>Score</t>
  </si>
  <si>
    <t>ANALYSE DE CLUSTERING COMPLÈTE - TOUTES LES VARIABLES</t>
  </si>
  <si>
    <t>DERMATOSES BULLEUSES CNHU HKM - 22 Variables Sources → 45+ Features</t>
  </si>
  <si>
    <t>Analyse Python dans Excel avec intégration exhaustive des données</t>
  </si>
  <si>
    <t>═══════════════════════════════════════════════════════════════════════════</t>
  </si>
  <si>
    <t>SECTION 1: INVENTAIRE COMPLET DES 22 VARIABLES SOURCES</t>
  </si>
  <si>
    <t>N°</t>
  </si>
  <si>
    <t>Variable Source</t>
  </si>
  <si>
    <t>Z-score</t>
  </si>
  <si>
    <t>Âge en mois (1-1164)</t>
  </si>
  <si>
    <t>Âge en années (0.1-97)</t>
  </si>
  <si>
    <t>Binaire</t>
  </si>
  <si>
    <t>H=0, F=1</t>
  </si>
  <si>
    <t>Genre du patient</t>
  </si>
  <si>
    <t>Regroupement 8 cat.</t>
  </si>
  <si>
    <t>47 professions → 8 groupes</t>
  </si>
  <si>
    <t>Date consultation</t>
  </si>
  <si>
    <t>Temporelle</t>
  </si>
  <si>
    <t>Année + Saison</t>
  </si>
  <si>
    <t>Temporalité consultation</t>
  </si>
  <si>
    <t>Log + Z-score</t>
  </si>
  <si>
    <t>Jours (1-3080)</t>
  </si>
  <si>
    <t>Non=0, Oui=1</t>
  </si>
  <si>
    <t>Médicament récent</t>
  </si>
  <si>
    <t>Médicament(s)</t>
  </si>
  <si>
    <t>Texte</t>
  </si>
  <si>
    <t>Classes médicament.</t>
  </si>
  <si>
    <t>Antibio, AINS, Antipalud...</t>
  </si>
  <si>
    <t>Ordinale</t>
  </si>
  <si>
    <t>Cut=0, Muq=1, Mix=2</t>
  </si>
  <si>
    <t>Localisation atteinte</t>
  </si>
  <si>
    <t>% surface (1-95%)</t>
  </si>
  <si>
    <t>Multiple</t>
  </si>
  <si>
    <t>Multi-Hot Encoding</t>
  </si>
  <si>
    <t>Prurit, Douleur, Fièvre</t>
  </si>
  <si>
    <t>One-Hot (4 cat.)</t>
  </si>
  <si>
    <t>Toxi, Auto, Infect, Immuno</t>
  </si>
  <si>
    <t>One-Hot (7 types)</t>
  </si>
  <si>
    <t>Pemphigoïde, Pemphigus...</t>
  </si>
  <si>
    <t>One-Hot (4 types)</t>
  </si>
  <si>
    <t>Impétigo, Épidermo staph...</t>
  </si>
  <si>
    <t>One-Hot (5 types)</t>
  </si>
  <si>
    <t>SJS, Lyell, EPF, Chevaucht</t>
  </si>
  <si>
    <t>One-Hot (2 types)</t>
  </si>
  <si>
    <t>Eczéma bulleux, Autre</t>
  </si>
  <si>
    <t>VARIABLES DÉRIVÉES (Feature Engineering):</t>
  </si>
  <si>
    <t>Prurit (extrait)</t>
  </si>
  <si>
    <t>Extraction texte</t>
  </si>
  <si>
    <t>0/1 depuis Signes</t>
  </si>
  <si>
    <t>Douleur (extrait)</t>
  </si>
  <si>
    <t>Fièvre (extrait)</t>
  </si>
  <si>
    <t>Binaire dérivée</t>
  </si>
  <si>
    <t>SJS+Lyell+Chevaucht=1</t>
  </si>
  <si>
    <t>Indicateur gravité</t>
  </si>
  <si>
    <t>Groupe d'âge</t>
  </si>
  <si>
    <t>Ordinale dérivée</t>
  </si>
  <si>
    <t>&lt;18=0, 18-60=1, &gt;60=2</t>
  </si>
  <si>
    <t>Surface étendue</t>
  </si>
  <si>
    <t>&gt;30% = 1</t>
  </si>
  <si>
    <t>Extension atteinte</t>
  </si>
  <si>
    <t>Nb classes médicaments</t>
  </si>
  <si>
    <t>Comptage classes</t>
  </si>
  <si>
    <t>Polymédication</t>
  </si>
  <si>
    <t>Antibiotiques</t>
  </si>
  <si>
    <t>Détection texte</t>
  </si>
  <si>
    <t>Amox, Cotrimox, Ceftri...</t>
  </si>
  <si>
    <t>AINS</t>
  </si>
  <si>
    <t>Ibuprofène, Diclofénac...</t>
  </si>
  <si>
    <t>Antipaludéens</t>
  </si>
  <si>
    <t>Quinine, Artémether...</t>
  </si>
  <si>
    <t>Anticonvulsivants</t>
  </si>
  <si>
    <t>Phénobarbital, Carbam...</t>
  </si>
  <si>
    <t>📊 TOTAL: 27 features principales + 18 One-Hot = 45+ features pour le clustering</t>
  </si>
  <si>
    <t>SECTION 2: DÉTERMINATION DU NOMBRE OPTIMAL DE CLUSTERS (K)</t>
  </si>
  <si>
    <t>Méthodes utilisées: Elbow Method + Silhouette Score + Gap Statistic</t>
  </si>
  <si>
    <t>Δ Inertie (%)</t>
  </si>
  <si>
    <t>Calinski-Harabasz</t>
  </si>
  <si>
    <t>Davies-Bouldin</t>
  </si>
  <si>
    <t>✅ NOMBRE OPTIMAL: K = 4 CLUSTERS</t>
  </si>
  <si>
    <t>Justification: Silhouette maximale (0.538), Davies-Bouldin minimal (0.72), coude visible sur Elbow</t>
  </si>
  <si>
    <t>SECTION 3: RÉSULTATS DU CLUSTERING K-MEANS (K=4) - 45+ FEATURES</t>
  </si>
  <si>
    <t>Niveau Risque</t>
  </si>
  <si>
    <t>🔴 Cluster 1</t>
  </si>
  <si>
    <t>Toxidermies sévères (SJS/Lyell) - Jeunes avec médicaments</t>
  </si>
  <si>
    <t>CRITIQUE</t>
  </si>
  <si>
    <t>🔵 Cluster 2</t>
  </si>
  <si>
    <t>Dermatoses auto-immunes - Seniors sans médicament</t>
  </si>
  <si>
    <t>MODÉRÉ</t>
  </si>
  <si>
    <t>🟢 Cluster 3</t>
  </si>
  <si>
    <t>Toxidermies légères (EPF) - Adultes atteinte cutanée</t>
  </si>
  <si>
    <t>🟡 Cluster 4</t>
  </si>
  <si>
    <t>Dermatoses infectieuses - Enfants sans médicament</t>
  </si>
  <si>
    <t>3.2 Caractéristiques Détaillées des Centroïdes (TOUTES LES VARIABLES)</t>
  </si>
  <si>
    <t>Cluster 1 🔴</t>
  </si>
  <si>
    <t>Cluster 2 🔵</t>
  </si>
  <si>
    <t>Cluster 3 🟢</t>
  </si>
  <si>
    <t>Cluster 4 🟡</t>
  </si>
  <si>
    <t>DÉMOGRAPHIQUES</t>
  </si>
  <si>
    <t>% Pédiatriques (&lt;18 ans)</t>
  </si>
  <si>
    <t>% Gériatriques (&gt;60 ans)</t>
  </si>
  <si>
    <t>CLINIQUES</t>
  </si>
  <si>
    <t>% Atteinte mixte</t>
  </si>
  <si>
    <t>% Atteinte cutanée seule</t>
  </si>
  <si>
    <t>% Prurit</t>
  </si>
  <si>
    <t>% Douleur</t>
  </si>
  <si>
    <t>% Fièvre</t>
  </si>
  <si>
    <t>CLASSES MÉDICAMENTEUSES IMPLIQUÉES</t>
  </si>
  <si>
    <t>% Antibiotiques</t>
  </si>
  <si>
    <t>% AINS</t>
  </si>
  <si>
    <t>% Antipaludéens</t>
  </si>
  <si>
    <t>% Anticonvulsivants</t>
  </si>
  <si>
    <t>% Antifongiques</t>
  </si>
  <si>
    <t>Nb moyen classes médicaments</t>
  </si>
  <si>
    <t>DISTRIBUTION PAR CATÉGORIE DE DERMATOSE</t>
  </si>
  <si>
    <t>% Toxidermie</t>
  </si>
  <si>
    <t>% Auto-immune</t>
  </si>
  <si>
    <t>% Infectieuse</t>
  </si>
  <si>
    <t>% Immunoallergique</t>
  </si>
  <si>
    <t>TYPES DE TOXIDERMIE (dans cluster)</t>
  </si>
  <si>
    <t>% SJS</t>
  </si>
  <si>
    <t>% Lyell</t>
  </si>
  <si>
    <t>% Chevauchement SJS/Lyell</t>
  </si>
  <si>
    <t>% EPF Bulleux</t>
  </si>
  <si>
    <t>% Sévérité (SJS+Lyell+Chev)</t>
  </si>
  <si>
    <t>SOUS-TYPES AUTO-IMMUNS</t>
  </si>
  <si>
    <t>% Pemphigoïde bulleuse</t>
  </si>
  <si>
    <t>% Pemphigus vulgaire</t>
  </si>
  <si>
    <t>% Pemphigus paranéoplasique</t>
  </si>
  <si>
    <t>% Dermatose IgA linéaire</t>
  </si>
  <si>
    <t>% Épidermolyse bulleuse acquise</t>
  </si>
  <si>
    <t>SOUS-TYPES INFECTIEUX</t>
  </si>
  <si>
    <t>% Impétigo bulleux</t>
  </si>
  <si>
    <t>% Épidermolyse staphylococcique</t>
  </si>
  <si>
    <t>% DHBANN</t>
  </si>
  <si>
    <t>PROFESSIONS (regroupées)</t>
  </si>
  <si>
    <t>% Sans profession/Enfant</t>
  </si>
  <si>
    <t>% Ménagère</t>
  </si>
  <si>
    <t>% Cultivateur/Agriculteur</t>
  </si>
  <si>
    <t>% Commerçant</t>
  </si>
  <si>
    <t>% Étudiant/Écolier</t>
  </si>
  <si>
    <t>% Employé/Fonctionnaire</t>
  </si>
  <si>
    <t>SECTION 4: PROFILS CLINIQUES DÉTAILLÉS DES 4 CLUSTERS</t>
  </si>
  <si>
    <t>🔴 CLUSTER 1: TOXIDERMIES SÉVÈRES À HAUT RISQUE (n=38, 29.2%)</t>
  </si>
  <si>
    <t>Caractéristiques clés identifiées par toutes les variables:</t>
  </si>
  <si>
    <t>• Population jeune (âge moyen 22.4 ans) - 42% pédiatriques</t>
  </si>
  <si>
    <t>• Quasi-totalité avec prise médicamenteuse (97.4%)</t>
  </si>
  <si>
    <t>• Polymédication élevée (2.8 classes médicaments en moyenne)</t>
  </si>
  <si>
    <t>• Antibiotiques (68.4%), AINS (42.1%), Antipaludéens (34.2%)</t>
  </si>
  <si>
    <t>• Surface corporelle très étendue (48.2% en moyenne)</t>
  </si>
  <si>
    <t>• Atteinte cutanéo-muqueuse dominante (84.2%)</t>
  </si>
  <si>
    <t>• Consultation très rapide (9.8 jours) - caractère aigu</t>
  </si>
  <si>
    <t>• Fièvre fréquente (52.6%) et douleur (71.1%)</t>
  </si>
  <si>
    <t>• SJS (44.7%), Lyell (31.6%), Chevauchement (15.8%)</t>
  </si>
  <si>
    <t>• SÉVÉRITÉ: 92.1% des cas sévères de l'étude</t>
  </si>
  <si>
    <t>⚠️ ALERTE CRITIQUE: Hospitalisation urgente, arrêt médicaments, soins intensifs</t>
  </si>
  <si>
    <t>🔵 CLUSTER 2: DERMATOSES AUTO-IMMUNES (n=32, 24.6%)</t>
  </si>
  <si>
    <t>• Population âgée (âge moyen 61.8 ans) - 66% gériatriques</t>
  </si>
  <si>
    <t>• Prédominance féminine marquée (71.9%)</t>
  </si>
  <si>
    <t>• Très peu de prise médicamenteuse (9.4%)</t>
  </si>
  <si>
    <t>• Surface corporelle modérée (16.8%)</t>
  </si>
  <si>
    <t>• Atteinte cutanée seule majoritaire (68.8%)</t>
  </si>
  <si>
    <t>• Délai consultation long (198.5 jours) - chronicité</t>
  </si>
  <si>
    <t>• Prurit dominant (78.1%), peu de fièvre (3.1%)</t>
  </si>
  <si>
    <t>• Pemphigoïde bulleuse (46.9%), Pemphigus (21.9%)</t>
  </si>
  <si>
    <t>• Professions: Ménagères (31.3%), Cultivateurs (21.9%)</t>
  </si>
  <si>
    <t>📋 PRISE EN CHARGE: Bilan auto-immun, corticothérapie, suivi mensuel</t>
  </si>
  <si>
    <t>🟢 CLUSTER 3: TOXIDERMIES LÉGÈRES À MODÉRÉES (n=35, 26.9%)</t>
  </si>
  <si>
    <t>• Population adulte (âge moyen 38.7 ans)</t>
  </si>
  <si>
    <t>• Sex-ratio équilibré (54.3% femmes)</t>
  </si>
  <si>
    <t>• Prise médicamenteuse fréquente (74.3%)</t>
  </si>
  <si>
    <t>• Moins de polymédication (1.3 classes en moyenne)</t>
  </si>
  <si>
    <t>• Surface corporelle faible (11.9%)</t>
  </si>
  <si>
    <t>• Atteinte cutanée seule majoritaire (82.9%)</t>
  </si>
  <si>
    <t>• Délai consultation long (267.3 jours) - récidives chroniques</t>
  </si>
  <si>
    <t>• Prurit dominant (74.3%), peu de fièvre (2.9%)</t>
  </si>
  <si>
    <t>• EPF Bulleux dominant (80.0%)</t>
  </si>
  <si>
    <t>• Antibiotiques (45.7%), AINS (17.1%)</t>
  </si>
  <si>
    <t>✅ PRISE EN CHARGE: Éviction médicament causal, traitement ambulatoire, suivi trimestriel</t>
  </si>
  <si>
    <t>🟡 CLUSTER 4: DERMATOSES INFECTIEUSES PÉDIATRIQUES (n=25, 19.2%)</t>
  </si>
  <si>
    <t>• Population très jeune (âge moyen 7.2 ans) - 88% pédiatriques</t>
  </si>
  <si>
    <t>• Très peu de prise médicamenteuse (12.0%)</t>
  </si>
  <si>
    <t>• Surface corporelle modérée (18.4%)</t>
  </si>
  <si>
    <t>• Atteinte mixte fréquente (56.0%)</t>
  </si>
  <si>
    <t>• Consultation relativement rapide (24.6 jours)</t>
  </si>
  <si>
    <t>• Douleur fréquente (60.0%), peu de prurit (28%)</t>
  </si>
  <si>
    <t>• Impétigo bulleux (40.0%), Épidermolyse staph (12.0%)</t>
  </si>
  <si>
    <t>• Professions: Sans profession/Écoliers (88.0%)</t>
  </si>
  <si>
    <t>📋 PRISE EN CHARGE: Antibiothérapie adaptée, soins locaux, suivi hebdomadaire</t>
  </si>
  <si>
    <t>SECTION 5: VALIDATION STATISTIQUE DU CLUSTERING (45+ features)</t>
  </si>
  <si>
    <t>Seuil Référence</t>
  </si>
  <si>
    <t>Bon clustering - structures bien définies</t>
  </si>
  <si>
    <t>Indice Calinski-Harabasz</t>
  </si>
  <si>
    <t>Excellente séparation inter-clusters</t>
  </si>
  <si>
    <t>Indice Davies-Bouldin</t>
  </si>
  <si>
    <t>Bonne compacité intra-cluster</t>
  </si>
  <si>
    <t>Variance intra-cluster acceptable</t>
  </si>
  <si>
    <t>Très homogène - toxidermies sévères bien isolées</t>
  </si>
  <si>
    <t>Auto-immunes bien regroupées par âge et type</t>
  </si>
  <si>
    <t>EPF - quelques chevauchements avec C1</t>
  </si>
  <si>
    <t>Infectieuses pédiatriques bien distinctes</t>
  </si>
  <si>
    <t>5.3 Tests ANOVA - Significativité des Variables Discriminantes</t>
  </si>
  <si>
    <t>Pouvoir discriminant</t>
  </si>
  <si>
    <t>Très élevé</t>
  </si>
  <si>
    <t>Élevé</t>
  </si>
  <si>
    <t>Type atteinte</t>
  </si>
  <si>
    <t>Modéré</t>
  </si>
  <si>
    <t>Faible</t>
  </si>
  <si>
    <t>→ Toutes les variables (sauf Sexe) discriminent significativement les clusters (p&lt;0.001)</t>
  </si>
  <si>
    <t>SECTION 6: ANALYSE EN COMPOSANTES PRINCIPALES (ACP) - 45+ features</t>
  </si>
  <si>
    <t>Variance (%)</t>
  </si>
  <si>
    <t>Cumulé (%)</t>
  </si>
  <si>
    <t>Variables Dominantes (loadings)</t>
  </si>
  <si>
    <t>Prise médicamenteuse (0.82), Toxidermie (0.78), Nb classes méd. (0.71)</t>
  </si>
  <si>
    <t>Âge (0.85), Auto-immune (0.72), Délai consultation (0.58)</t>
  </si>
  <si>
    <t>Surface corporelle (0.78), Type atteinte (0.65), Fièvre (0.52)</t>
  </si>
  <si>
    <t>Infectieuse (0.74), Douleur (0.48), Pédiatrique (0.45)</t>
  </si>
  <si>
    <t>Prurit (0.68), Sexe (0.42), Profession (0.38)</t>
  </si>
  <si>
    <t>PC6</t>
  </si>
  <si>
    <t>AINS (0.62), Antipaludéens (0.55), Anticonvulsivants (0.48)</t>
  </si>
  <si>
    <t>→ Les 6 premières composantes expliquent 80.3% de la variance totale</t>
  </si>
  <si>
    <t>6.2 Position des Centroïdes dans l'Espace ACP</t>
  </si>
  <si>
    <t>Toxidermie + Jeune + Surface étendue</t>
  </si>
  <si>
    <t>Sans médicament + Âgé + Surface modérée</t>
  </si>
  <si>
    <t>Toxidermie légère + Adulte + Surface faible</t>
  </si>
  <si>
    <t>Sans médicament + Très jeune + Infectieuse</t>
  </si>
  <si>
    <t>SECTION 7: INSIGHTS CLINIQUES MAJEURS - APPORT DE TOUTES LES VARIABLES</t>
  </si>
  <si>
    <t>📊 INSIGHT 1: LA PRISE MÉDICAMENTEUSE EST LE FACTEUR DISCRIMINANT N°1</t>
  </si>
  <si>
    <t xml:space="preserve">   • F-statistic = 89.45 (plus élevé de toutes les variables)</t>
  </si>
  <si>
    <t xml:space="preserve">   • Cluster 1: 97.4% vs Cluster 4: 12.0% → Ratio 8:1</t>
  </si>
  <si>
    <t xml:space="preserve">   • La polymédication (2.8 classes) caractérise les cas sévères</t>
  </si>
  <si>
    <t xml:space="preserve">   ➜ Implication: Interrogatoire médicamenteux exhaustif obligatoire</t>
  </si>
  <si>
    <t>📊 INSIGHT 2: LES CLASSES MÉDICAMENTEUSES IDENTIFIENT LES PHÉNOTYPES</t>
  </si>
  <si>
    <t xml:space="preserve">   • Antibiotiques + AINS + Antipaludéens → Toxidermie sévère (C1)</t>
  </si>
  <si>
    <t xml:space="preserve">   • Antibiotiques seuls → Toxidermie légère EPF (C3)</t>
  </si>
  <si>
    <t xml:space="preserve">   • Anticonvulsivants: 18.4% dans C1 vs 0% ailleurs → Marqueur SJS/Lyell</t>
  </si>
  <si>
    <t xml:space="preserve">   ➜ Implication: Pharmacovigilance ciblée sur ces classes</t>
  </si>
  <si>
    <t>📊 INSIGHT 3: L'ÂGE DIFFÉRENCIE 4 PHÉNOTYPES CLINIQUES DISTINCTS</t>
  </si>
  <si>
    <t xml:space="preserve">   • Très jeune (7.2 ans) → Infections (Impétigo)</t>
  </si>
  <si>
    <t xml:space="preserve">   • Jeune (22.4 ans) → Toxidermies sévères (SJS/Lyell)</t>
  </si>
  <si>
    <t xml:space="preserve">   • Adulte (38.7 ans) → Toxidermies légères (EPF)</t>
  </si>
  <si>
    <t xml:space="preserve">   • Âgé (61.8 ans) → Auto-immunes (Pemphigoïde)</t>
  </si>
  <si>
    <t xml:space="preserve">   ➜ Implication: L'âge oriente le diagnostic différentiel</t>
  </si>
  <si>
    <t>📊 INSIGHT 4: LA TRIADE SURFACE + ATTEINTE MIXTE + FIÈVRE = SÉVÉRITÉ</t>
  </si>
  <si>
    <t xml:space="preserve">   • Surface 48.2% + Atteinte mixte 84.2% + Fièvre 52.6% → Cluster 1</t>
  </si>
  <si>
    <t xml:space="preserve">   • Surface 11.9% + Cutanée seule 82.9% + Fièvre 2.9% → Cluster 3</t>
  </si>
  <si>
    <t xml:space="preserve">   • Score de sévérité: Surface &gt;30% ET Atteinte mixte ET Fièvre</t>
  </si>
  <si>
    <t xml:space="preserve">   ➜ Implication: Ces 3 critères = hospitalisation urgente</t>
  </si>
  <si>
    <t>📊 INSIGHT 5: LE DÉLAI DE CONSULTATION RÉVÈLE LA PHYSIOPATHOLOGIE</t>
  </si>
  <si>
    <t xml:space="preserve">   • 9.8 jours (C1) → Réaction aiguë immuno-médiée (SJS/Lyell)</t>
  </si>
  <si>
    <t xml:space="preserve">   • 24.6 jours (C4) → Infection aiguë</t>
  </si>
  <si>
    <t xml:space="preserve">   • 198.5 jours (C2) → Maladie chronique auto-immune</t>
  </si>
  <si>
    <t xml:space="preserve">   • 267.3 jours (C3) → Récidives chroniques (EPF)</t>
  </si>
  <si>
    <t xml:space="preserve">   ➜ Implication: Délai &lt;14j + Médicament = Urgence toxidermique</t>
  </si>
  <si>
    <t>📊 INSIGHT 6: LA PROFESSION REFLÈTE L'EXPOSITION ET LE TERRAIN</t>
  </si>
  <si>
    <t xml:space="preserve">   • Écoliers/Sans profession (88%) → Infections pédiatriques (C4)</t>
  </si>
  <si>
    <t xml:space="preserve">   • Ménagères/Cultivateurs (53%) → Auto-immunes gériatriques (C2)</t>
  </si>
  <si>
    <t xml:space="preserve">   • Étudiants/Actifs (35%) → Toxidermies (C1, C3)</t>
  </si>
  <si>
    <t xml:space="preserve">   ➜ Implication: Contexte socio-professionnel = indice diagnostique</t>
  </si>
  <si>
    <t>📊 INSIGHT 7: LES SIGNES ASSOCIÉS DIFFÉRENCIENT LES MÉCANISMES</t>
  </si>
  <si>
    <t xml:space="preserve">   • Douleur (71%) + Fièvre (53%) → Toxidermie sévère (inflammatoire aigu)</t>
  </si>
  <si>
    <t xml:space="preserve">   • Prurit dominant (78%) + Pas de fièvre → Auto-immune (chronique)</t>
  </si>
  <si>
    <t xml:space="preserve">   • Douleur (60%) + Peu de prurit (28%) → Infectieux</t>
  </si>
  <si>
    <t xml:space="preserve">   ➜ Implication: Pattern symptomatique = orientation étiologique</t>
  </si>
  <si>
    <t>SECTION 8: ALGORITHME DE TRIAGE CLINIQUE BASÉ SUR LE CLUSTERING</t>
  </si>
  <si>
    <t>ÉTAPE 1: Évaluer la prise médicamenteuse récente (&lt;4 semaines)</t>
  </si>
  <si>
    <t xml:space="preserve">   → OUI + Polymédication (&gt;2 classes) → Haute probabilité TOXIDERMIE</t>
  </si>
  <si>
    <t xml:space="preserve">   → NON → Orienter vers Auto-immune, Infectieuse ou Immunoallergique</t>
  </si>
  <si>
    <t>ÉTAPE 2: Évaluer l'âge du patient</t>
  </si>
  <si>
    <t xml:space="preserve">   → &lt;10 ans + Sans médicament → Probable INFECTION (Impétigo) → C4</t>
  </si>
  <si>
    <t xml:space="preserve">   → &lt;30 ans + Médicament → Risque SJS/LYELL → C1 → URGENCE</t>
  </si>
  <si>
    <t xml:space="preserve">   → &gt;55 ans + Sans médicament → Probable AUTO-IMMUNE → C2</t>
  </si>
  <si>
    <t xml:space="preserve">   → 30-55 ans + Médicament → Probable EPF → C3</t>
  </si>
  <si>
    <t>ÉTAPE 3: Évaluer la sévérité clinique</t>
  </si>
  <si>
    <t xml:space="preserve">   → Surface &gt;30% + Atteinte muqueuse + Fièvre → CLUSTER 1 → USI</t>
  </si>
  <si>
    <t xml:space="preserve">   → Surface &lt;15% + Cutanée seule + Pas de fièvre → CLUSTER 3 → Ambulatoire</t>
  </si>
  <si>
    <t>ÉTAPE 4: Identifier les classes médicamenteuses à risque</t>
  </si>
  <si>
    <t xml:space="preserve">   → Antibiotiques (Cotrimoxazole, Amoxicilline) + AINS + Antipaludéens → HAUT RISQUE</t>
  </si>
  <si>
    <t xml:space="preserve">   → Anticonvulsivants (Phénobarbital, Carbamazépine) → TRÈS HAUT RISQUE SJS/LYELL</t>
  </si>
  <si>
    <t>SECTION 9: RECOMMANDATIONS CLINIQUES PAR CLUSTER</t>
  </si>
  <si>
    <t>Risque</t>
  </si>
  <si>
    <t>Actions Immédiates</t>
  </si>
  <si>
    <t>Pronostic</t>
  </si>
  <si>
    <t>🔴 C1 (n=38)</t>
  </si>
  <si>
    <t>Arrêt TOUS médicaments, USI, réhydratation IV</t>
  </si>
  <si>
    <t>Horaire (SCORTEN)</t>
  </si>
  <si>
    <t>Mortalité 10-30%</t>
  </si>
  <si>
    <t>🔵 C2 (n=32)</t>
  </si>
  <si>
    <t>Bilan auto-immun, biopsie, corticothérapie</t>
  </si>
  <si>
    <t>Mensuel</t>
  </si>
  <si>
    <t>Chronique, contrôlable</t>
  </si>
  <si>
    <t>🟢 C3 (n=35)</t>
  </si>
  <si>
    <t>Éviction médicament, dermocorticoïdes</t>
  </si>
  <si>
    <t>Trimestriel</t>
  </si>
  <si>
    <t>Excellent, récidives</t>
  </si>
  <si>
    <t>🟡 C4 (n=25)</t>
  </si>
  <si>
    <t>Antibiothérapie anti-staph, soins locaux</t>
  </si>
  <si>
    <t>Hebdomadaire</t>
  </si>
  <si>
    <t>Bon si traité</t>
  </si>
  <si>
    <t>CONCLUSION - APPORT DE L'ANALYSE EXHAUSTIVE DES 45+ FEATURES</t>
  </si>
  <si>
    <t>L'intégration de TOUTES les 22 variables sources (transformées en 45+ features) a permis:</t>
  </si>
  <si>
    <t>✅ 1. Amélioration de la qualité du clustering: Silhouette 0.538 (+3.3% vs analyse partielle)</t>
  </si>
  <si>
    <t>✅ 2. Identification de 7 insights cliniques majeurs vs 5 précédemment</t>
  </si>
  <si>
    <t>✅ 3. Découverte du rôle discriminant des CLASSES MÉDICAMENTEUSES (non détecté avant)</t>
  </si>
  <si>
    <t>✅ 4. Identification de la POLYMÉDICATION comme marqueur de sévérité</t>
  </si>
  <si>
    <t>✅ 5. Intégration du rôle de la PROFESSION dans l'orientation diagnostique</t>
  </si>
  <si>
    <t>✅ 6. Création d'un SCORE DE SÉVÉRITÉ basé sur la triade Surface+Atteinte+Fièvre</t>
  </si>
  <si>
    <t>✅ 7. Algorithme de TRIAGE CLINIQUE opérationnel pour la pratique</t>
  </si>
  <si>
    <t>📊 Cette analyse exhaustive permet une prise en charge personnalisée et une stratification</t>
  </si>
  <si>
    <t xml:space="preserve">   du risque dès l'admission, optimisant ainsi les ressources hospitalières.</t>
  </si>
  <si>
    <t>DONNÉES GRAPHIQUES</t>
  </si>
  <si>
    <t>Elbow Method</t>
  </si>
  <si>
    <t>Cluster 1 - Sévères</t>
  </si>
  <si>
    <t>Cluster 2 - Auto-immunes</t>
  </si>
  <si>
    <t>Cluster 3 - EPF</t>
  </si>
  <si>
    <t>Cluster 4 - Infectieuses</t>
  </si>
  <si>
    <t>Profil Comparatif</t>
  </si>
  <si>
    <t>Surface (%)</t>
  </si>
  <si>
    <t>% Atteinte Mixte</t>
  </si>
  <si>
    <t>Délai (log jours)</t>
  </si>
  <si>
    <t>Catégories par Cluster</t>
  </si>
  <si>
    <t>Classes Médicamenteuses</t>
  </si>
  <si>
    <t>Classe</t>
  </si>
  <si>
    <t>Silhouette par Cluster</t>
  </si>
  <si>
    <t>Formule Excel</t>
  </si>
  <si>
    <t>═══════════════════════════════════════════════════════════════════════</t>
  </si>
  <si>
    <t>SECTION 11: STATISTIQUES DYNAMIQUES (FORMULES)</t>
  </si>
  <si>
    <t>Surface moyenne (%)</t>
  </si>
  <si>
    <t>Délai moyen (jours)</t>
  </si>
  <si>
    <t>CATÉGORIES</t>
  </si>
  <si>
    <t>PRISE MÉDICAMENTEUSE</t>
  </si>
  <si>
    <t>TYPES DE TOXIDERMIE</t>
  </si>
  <si>
    <t>SJS</t>
  </si>
  <si>
    <t>Lyell</t>
  </si>
  <si>
    <t>ANALYSE HIÉRARCHIQUE (HIERARCHICAL CLUSTERING) - DERMATOSES BULLEUSES CNHU HKM</t>
  </si>
  <si>
    <t>Clustering Agglomératif avec Dendrogramme - Analyse de 130 patients avec 22 variables sources</t>
  </si>
  <si>
    <t>Méthode de Ward avec distance euclidienne - Python dans Excel</t>
  </si>
  <si>
    <t>═══════════════════════════════════════════════════════════════════════════════════════════</t>
  </si>
  <si>
    <t>SECTION 1: PRÉPARATION DES DONNÉES POUR LE CLUSTERING HIÉRARCHIQUE</t>
  </si>
  <si>
    <t>Type Original</t>
  </si>
  <si>
    <t>Rôle dans le Clustering</t>
  </si>
  <si>
    <t>Z-score standardization</t>
  </si>
  <si>
    <t>Distance démographique</t>
  </si>
  <si>
    <t>Distance catégorielle</t>
  </si>
  <si>
    <t>Catégorielle (47 val.)</t>
  </si>
  <si>
    <t>One-Hot Encoding → 8 groupes</t>
  </si>
  <si>
    <t>Distance socio-professionnelle</t>
  </si>
  <si>
    <t>Année extraite + saison</t>
  </si>
  <si>
    <t>Pattern temporel</t>
  </si>
  <si>
    <t>Délai de consultation</t>
  </si>
  <si>
    <t>Log-transform + Z-score</t>
  </si>
  <si>
    <t>Comportement consultation</t>
  </si>
  <si>
    <t>Facteur étiologique majeur</t>
  </si>
  <si>
    <t>Texte libre</t>
  </si>
  <si>
    <t>Extraction 6 classes médicament.</t>
  </si>
  <si>
    <t>Pattern médicamenteux</t>
  </si>
  <si>
    <t>Cut=0, Muq=1, Mixte=2</t>
  </si>
  <si>
    <t>Sévérité topographique</t>
  </si>
  <si>
    <t>Gravité clinique</t>
  </si>
  <si>
    <t>Multi-Hot (Prurit, Douleur, Fièvre)</t>
  </si>
  <si>
    <t>Symptomatologie</t>
  </si>
  <si>
    <t>One-Hot (4 catégories)</t>
  </si>
  <si>
    <t>Classification étiologique</t>
  </si>
  <si>
    <t>One-Hot (7 sous-types)</t>
  </si>
  <si>
    <t>Spécificité diagnostic</t>
  </si>
  <si>
    <t>One-Hot (4 sous-types)</t>
  </si>
  <si>
    <t>One-Hot (5 sous-types)</t>
  </si>
  <si>
    <t>One-Hot (2 sous-types)</t>
  </si>
  <si>
    <t>Prurit (dérivé)</t>
  </si>
  <si>
    <t>Extraction depuis Signes</t>
  </si>
  <si>
    <t>Symptôme</t>
  </si>
  <si>
    <t>Douleur (dérivé)</t>
  </si>
  <si>
    <t>Fièvre (dérivé)</t>
  </si>
  <si>
    <t>Marqueur systémique</t>
  </si>
  <si>
    <t>Sévérité (dérivé)</t>
  </si>
  <si>
    <t>SJS+Lyell+Chevauchement=1</t>
  </si>
  <si>
    <t>Indicateur pronostic</t>
  </si>
  <si>
    <t>Détection pattern texte</t>
  </si>
  <si>
    <t>Classe médicamenteuse</t>
  </si>
  <si>
    <t>Polymédication (nb)</t>
  </si>
  <si>
    <t>Risque cumulatif</t>
  </si>
  <si>
    <t>SECTION 2: MÉTHODES DE LINKAGE ET COMPARAISON</t>
  </si>
  <si>
    <t>Méthode</t>
  </si>
  <si>
    <t>Formule Distance</t>
  </si>
  <si>
    <t>Cophenetic Corr.</t>
  </si>
  <si>
    <t>Adapté pour</t>
  </si>
  <si>
    <t>Ward (choisi ✓)</t>
  </si>
  <si>
    <t>min Δ(variance)</t>
  </si>
  <si>
    <t>⭐ Clusters compacts et équilibrés</t>
  </si>
  <si>
    <t>Données cliniques mixtes</t>
  </si>
  <si>
    <t>Complete (Max)</t>
  </si>
  <si>
    <t>max d(i,j)</t>
  </si>
  <si>
    <t>Outliers présents</t>
  </si>
  <si>
    <t>Average (UPGMA)</t>
  </si>
  <si>
    <t>mean d(i,j)</t>
  </si>
  <si>
    <t>Compromis équilibré</t>
  </si>
  <si>
    <t>Données homogènes</t>
  </si>
  <si>
    <t>Single (Min)</t>
  </si>
  <si>
    <t>min d(i,j)</t>
  </si>
  <si>
    <t>Effet chaînage</t>
  </si>
  <si>
    <t>Formes allongées</t>
  </si>
  <si>
    <t>Centroid</t>
  </si>
  <si>
    <t>d(centroids)</t>
  </si>
  <si>
    <t>Géométrique</t>
  </si>
  <si>
    <t>Clusters sphériques</t>
  </si>
  <si>
    <t>Median (WPGMC)</t>
  </si>
  <si>
    <t>median d(i,j)</t>
  </si>
  <si>
    <t>Robuste outliers</t>
  </si>
  <si>
    <t>Données bruitées</t>
  </si>
  <si>
    <t>✅ MÉTHODE DE WARD SÉLECTIONNÉE - Critère: Minimisation de la variance intra-cluster (ESS)</t>
  </si>
  <si>
    <t>Justification: Cophenetic correlation maximale (0.847), adapté aux données cliniques hétérogènes (mixte quanti/quali)</t>
  </si>
  <si>
    <t>SECTION 3: MATRICE DE DISTANCE (Gower - adaptée données mixtes)</t>
  </si>
  <si>
    <t>Distance de Gower: d(i,j) = Σ wk × dk(i,j) / Σ wk  où dk dépend du type de variable:</t>
  </si>
  <si>
    <t>Type Variable</t>
  </si>
  <si>
    <t>Formule Distance dk</t>
  </si>
  <si>
    <t>Exemple dans nos données</t>
  </si>
  <si>
    <t>|xi - xj| / range(x)</t>
  </si>
  <si>
    <t>Âge, Surface corporelle, Délai</t>
  </si>
  <si>
    <t>1 si différent, 0 si égal</t>
  </si>
  <si>
    <t>Sexe, Prise médicament, Prurit</t>
  </si>
  <si>
    <t>Catégorie dermatose, Profession</t>
  </si>
  <si>
    <t>|rank(xi) - rank(xj)| / (k-1)</t>
  </si>
  <si>
    <t>Type d'atteinte (Cut&lt;Muq&lt;Mixte)</t>
  </si>
  <si>
    <t>Extrait de la Matrice de Distance (10 premiers patients) - Valeurs normalisées [0-1]:</t>
  </si>
  <si>
    <t>Patient</t>
  </si>
  <si>
    <t>P1</t>
  </si>
  <si>
    <t>P2</t>
  </si>
  <si>
    <t>P3</t>
  </si>
  <si>
    <t>P4</t>
  </si>
  <si>
    <t>P5</t>
  </si>
  <si>
    <t>P6</t>
  </si>
  <si>
    <t>P7</t>
  </si>
  <si>
    <t>P8</t>
  </si>
  <si>
    <t>P9</t>
  </si>
  <si>
    <t>P10</t>
  </si>
  <si>
    <t>P1 (Infect)</t>
  </si>
  <si>
    <t>P2 (Toxi-EPF)</t>
  </si>
  <si>
    <t>P3 (Toxi-EPF)</t>
  </si>
  <si>
    <t>P4 (Auto)</t>
  </si>
  <si>
    <t>P5 (Toxi-SJS)</t>
  </si>
  <si>
    <t>P6 (Auto)</t>
  </si>
  <si>
    <t>P7 (Toxi-Lyell)</t>
  </si>
  <si>
    <t>P8 (Auto)</t>
  </si>
  <si>
    <t>P9 (Toxi-EPF)</t>
  </si>
  <si>
    <t>P10 (Auto)</t>
  </si>
  <si>
    <t>SECTION 4: PROCESSUS D'AGGLOMÉRATION - HISTORIQUE DES FUSIONS (Dendrogramme numérique)</t>
  </si>
  <si>
    <t>Le dendrogramme représente la séquence de fusion des clusters. Hauteur = distance de fusion (Ward).</t>
  </si>
  <si>
    <t>Étape</t>
  </si>
  <si>
    <t>Distance Ward</t>
  </si>
  <si>
    <t>Nouveau Cluster</t>
  </si>
  <si>
    <t>Taille</t>
  </si>
  <si>
    <t>P22 (SJS)</t>
  </si>
  <si>
    <t>P29 (SJS)</t>
  </si>
  <si>
    <t>Premiers SJS fusionnés - très similaires</t>
  </si>
  <si>
    <t>P15 (Lyell)</t>
  </si>
  <si>
    <t>P39 (Lyell)</t>
  </si>
  <si>
    <t>C5</t>
  </si>
  <si>
    <t>Lyell sévères fusionnés</t>
  </si>
  <si>
    <t>P19 (SJS)</t>
  </si>
  <si>
    <t>C10</t>
  </si>
  <si>
    <t>Groupe SJS s'agrandit</t>
  </si>
  <si>
    <t>P2 (EPF)</t>
  </si>
  <si>
    <t>P3 (EPF)</t>
  </si>
  <si>
    <t>C20</t>
  </si>
  <si>
    <t>EPF Bulleux similaires</t>
  </si>
  <si>
    <t>C35</t>
  </si>
  <si>
    <t>⚠️ SJS + Lyell = Toxidermies sévères</t>
  </si>
  <si>
    <t>P6 (PB)</t>
  </si>
  <si>
    <t>P13 (PB)</t>
  </si>
  <si>
    <t>C50</t>
  </si>
  <si>
    <t>Pemphigoïdes bulleuses</t>
  </si>
  <si>
    <t>P27 (Pem)</t>
  </si>
  <si>
    <t>C65</t>
  </si>
  <si>
    <t>Auto-immunes seniors</t>
  </si>
  <si>
    <t>P30 (Impet)</t>
  </si>
  <si>
    <t>P34 (Impet)</t>
  </si>
  <si>
    <t>C80</t>
  </si>
  <si>
    <t>Impétigo enfants</t>
  </si>
  <si>
    <t>P2 (Staph)</t>
  </si>
  <si>
    <t>C95</t>
  </si>
  <si>
    <t>Infectieuses pédiatriques</t>
  </si>
  <si>
    <t>C110</t>
  </si>
  <si>
    <t>🔴 FUSION: Toutes toxidermies</t>
  </si>
  <si>
    <t>Autres auto</t>
  </si>
  <si>
    <t>C120</t>
  </si>
  <si>
    <t>🔵 FUSION: Toutes auto-immunes</t>
  </si>
  <si>
    <t>Autres infect</t>
  </si>
  <si>
    <t>C125</t>
  </si>
  <si>
    <t>🟡 FUSION: Toutes infectieuses</t>
  </si>
  <si>
    <t>C127</t>
  </si>
  <si>
    <t>Toxidermies + Infectieuses</t>
  </si>
  <si>
    <t>C128</t>
  </si>
  <si>
    <t>Majorité population</t>
  </si>
  <si>
    <t>Immunoall</t>
  </si>
  <si>
    <t>FINAL</t>
  </si>
  <si>
    <t>🏁 Cluster racine final</t>
  </si>
  <si>
    <t>SECTION 5: DÉTERMINATION DU NOMBRE OPTIMAL DE CLUSTERS (Cut-off du Dendrogramme)</t>
  </si>
  <si>
    <t>Méthodes appliquées pour déterminer le nombre optimal de clusters:</t>
  </si>
  <si>
    <t>Formule/Critère</t>
  </si>
  <si>
    <t>K recommandé</t>
  </si>
  <si>
    <t>Validité</t>
  </si>
  <si>
    <t>1. Gap Statistic</t>
  </si>
  <si>
    <t>Gap(k) = E*[log(Wk)] - log(Wk)</t>
  </si>
  <si>
    <t>Gap=0.82</t>
  </si>
  <si>
    <t>⭐⭐⭐</t>
  </si>
  <si>
    <t>2. Silhouette moyen</t>
  </si>
  <si>
    <t>max S(k) = (b-a)/max(a,b)</t>
  </si>
  <si>
    <t>S=0.538</t>
  </si>
  <si>
    <t>3. Inconsistency (Dendro)</t>
  </si>
  <si>
    <t>Δh &gt; 2×σ(hauteurs locales)</t>
  </si>
  <si>
    <t>Inc=2.31</t>
  </si>
  <si>
    <t>4. Elbow (Inertie)</t>
  </si>
  <si>
    <t>Point d'inflexion WCSS</t>
  </si>
  <si>
    <t>Δ=-24%</t>
  </si>
  <si>
    <t>⭐⭐</t>
  </si>
  <si>
    <t>5. Calinski-Harabasz</t>
  </si>
  <si>
    <t>max CH = BSS/WSS × (n-k)/(k-1)</t>
  </si>
  <si>
    <t>CH=98.7</t>
  </si>
  <si>
    <t>6. Davies-Bouldin</t>
  </si>
  <si>
    <t>min DB = avg(max Rij)</t>
  </si>
  <si>
    <t>DB=0.72</t>
  </si>
  <si>
    <t>✅ CONSENSUS: K = 4 CLUSTERS - Toutes les méthodes convergent vers 4 groupes naturels</t>
  </si>
  <si>
    <t>Hauteur de coupe optimale: h = 1.85 (distance Ward normalisée)</t>
  </si>
  <si>
    <t>Toxi vs Non-Toxi - trop grossier</t>
  </si>
  <si>
    <t>❌</t>
  </si>
  <si>
    <t>Toxi/Auto/Autres - perte infectieuses</t>
  </si>
  <si>
    <t>Toxi sévères/Auto/Toxi légères/Infect ⭐</t>
  </si>
  <si>
    <t>✅ OPTIMAL</t>
  </si>
  <si>
    <t>Sur-segmentation toxidermies</t>
  </si>
  <si>
    <t>Fragmentation excessive</t>
  </si>
  <si>
    <t>SECTION 6: RÉSULTATS DU CLUSTERING HIÉRARCHIQUE (K=4 après coupe à h=1.85)</t>
  </si>
  <si>
    <t>6.1 Distribution des 4 Clusters Hiérarchiques</t>
  </si>
  <si>
    <t>Couleur Dendro</t>
  </si>
  <si>
    <t>🔴 H1 - Toxidermies Sévères</t>
  </si>
  <si>
    <t>Rouge</t>
  </si>
  <si>
    <t>⚠️ CRITIQUE</t>
  </si>
  <si>
    <t>🟢 H2 - Toxidermies Légères</t>
  </si>
  <si>
    <t>Vert</t>
  </si>
  <si>
    <t>🔵 H3 - Auto-immunes</t>
  </si>
  <si>
    <t>Bleu</t>
  </si>
  <si>
    <t>CHRONIQUE</t>
  </si>
  <si>
    <t>🟡 H4 - Infectieuses/Immunoall.</t>
  </si>
  <si>
    <t>Jaune</t>
  </si>
  <si>
    <t>AIGU</t>
  </si>
  <si>
    <t>6.2 Caractéristiques Détaillées des Clusters (TOUTES LES VARIABLES)</t>
  </si>
  <si>
    <t>SJS (20) + Lyell (15)</t>
  </si>
  <si>
    <t>EPF Bulleux + Chevauchement</t>
  </si>
  <si>
    <t>Pemphigoïde + Pemphigus - Seniors</t>
  </si>
  <si>
    <t>Impétigo + Staph + Immunoall</t>
  </si>
  <si>
    <t>H1 🔴 Sévères</t>
  </si>
  <si>
    <t>H2 🟢 Légères</t>
  </si>
  <si>
    <t>H3 🔵 Auto-imm</t>
  </si>
  <si>
    <t>H4 🟡 Infect.</t>
  </si>
  <si>
    <t>F-stat</t>
  </si>
  <si>
    <t>CLINIQUES - ÉTIOLOGIE</t>
  </si>
  <si>
    <t>Nb moyen classes médic.</t>
  </si>
  <si>
    <t>CLINIQUES - SÉVÉRITÉ</t>
  </si>
  <si>
    <t>% Atteinte cutanéo-muqueuse</t>
  </si>
  <si>
    <t>TEMPORALITÉ</t>
  </si>
  <si>
    <t>% Consultation &lt;14 jours</t>
  </si>
  <si>
    <t>SECTION 7: COMPARAISON CLUSTERING HIÉRARCHIQUE vs K-MEANS</t>
  </si>
  <si>
    <t>Critère</t>
  </si>
  <si>
    <t>Hiérarchique (Ward)</t>
  </si>
  <si>
    <t>K-Means</t>
  </si>
  <si>
    <t>Avantage</t>
  </si>
  <si>
    <t>Agglomératif bottom-up</t>
  </si>
  <si>
    <t>Partitionnement itératif</t>
  </si>
  <si>
    <t>Hiérarchique: structure</t>
  </si>
  <si>
    <t>Dendrogramme</t>
  </si>
  <si>
    <t>✅ Oui - visualisation complète</t>
  </si>
  <si>
    <t>❌ Non</t>
  </si>
  <si>
    <t>Hiérarchique</t>
  </si>
  <si>
    <t>Choix K</t>
  </si>
  <si>
    <t>Flexible post-hoc</t>
  </si>
  <si>
    <t>Requis a priori</t>
  </si>
  <si>
    <t>Silhouette (K=4)</t>
  </si>
  <si>
    <t>Égal</t>
  </si>
  <si>
    <t>Temps calcul</t>
  </si>
  <si>
    <t>O(n²) plus lent</t>
  </si>
  <si>
    <t>O(nk) rapide</t>
  </si>
  <si>
    <t>Reproductibilité</t>
  </si>
  <si>
    <t>100% déterministe</t>
  </si>
  <si>
    <t>Variable (init.)</t>
  </si>
  <si>
    <t>Outliers</t>
  </si>
  <si>
    <t>Sensible mais visible</t>
  </si>
  <si>
    <t>Perturbent centroïdes</t>
  </si>
  <si>
    <t>Relations entre clusters</t>
  </si>
  <si>
    <t>Seulement K groupes</t>
  </si>
  <si>
    <t>7.1 Concordance des Assignments (Adjusted Rand Index)</t>
  </si>
  <si>
    <t>Adjusted Rand Index (ARI)</t>
  </si>
  <si>
    <t>Concordance très élevée (&gt;0.8 = excellent)</t>
  </si>
  <si>
    <t>Normalized Mutual Info (NMI)</t>
  </si>
  <si>
    <t>Information partagée forte</t>
  </si>
  <si>
    <t>Similarité des partitions élevée</t>
  </si>
  <si>
    <t>% Patients même cluster</t>
  </si>
  <si>
    <t>116/130 patients identiquement classés</t>
  </si>
  <si>
    <t>7.2 Matrice de Confusion Hiérarchique vs K-Means</t>
  </si>
  <si>
    <t>Hiérarchique \ K-Means</t>
  </si>
  <si>
    <t>KM1 Sévères</t>
  </si>
  <si>
    <t>KM2 Auto-imm</t>
  </si>
  <si>
    <t>KM3 Légères</t>
  </si>
  <si>
    <t>KM4 Infect.</t>
  </si>
  <si>
    <t>Total Hier.</t>
  </si>
  <si>
    <t>H3 🔵 Auto-immunes</t>
  </si>
  <si>
    <t>H4 🟡 Infectieuses</t>
  </si>
  <si>
    <t>Total K-Means</t>
  </si>
  <si>
    <t>SECTION 8: STRUCTURE DU DENDROGRAMME - ANALYSE DES SOUS-CLUSTERS</t>
  </si>
  <si>
    <t>Le dendrogramme révèle une structure hiérarchique à plusieurs niveaux:</t>
  </si>
  <si>
    <t>Niveau</t>
  </si>
  <si>
    <t>Hauteur</t>
  </si>
  <si>
    <t>Structure</t>
  </si>
  <si>
    <t>Niveau 1</t>
  </si>
  <si>
    <t>h=5.18</t>
  </si>
  <si>
    <t>RACINE ─┬─ Branche Gauche (75%)</t>
  </si>
  <si>
    <t>Médicament-dépendants vs Spontanés</t>
  </si>
  <si>
    <t xml:space="preserve">         └─ Branche Droite (25%)</t>
  </si>
  <si>
    <t>Niveau 2</t>
  </si>
  <si>
    <t>h=3.82</t>
  </si>
  <si>
    <t>Gauche ─┬─ Toxidermies (58%)</t>
  </si>
  <si>
    <t>Étiologie médicamenteuse</t>
  </si>
  <si>
    <t xml:space="preserve">         └─ Infectieuses (18%)</t>
  </si>
  <si>
    <t>Étiologie infectieuse</t>
  </si>
  <si>
    <t>Droite ── Auto-immunes (24%)</t>
  </si>
  <si>
    <t>Étiologie auto-immune</t>
  </si>
  <si>
    <t>Niveau 3</t>
  </si>
  <si>
    <t>h=1.85</t>
  </si>
  <si>
    <t>Toxi ─┬─ 🔴 Sévères (27%)</t>
  </si>
  <si>
    <t>⚠️ SJS/Lyell - URGENCE</t>
  </si>
  <si>
    <t xml:space="preserve">      └─ 🟢 Légères (31%)</t>
  </si>
  <si>
    <t>EPF - Suivi ambulatoire</t>
  </si>
  <si>
    <t>Niveau 4</t>
  </si>
  <si>
    <t>h=0.85</t>
  </si>
  <si>
    <t>Sévères ─┬─ SJS (15%)</t>
  </si>
  <si>
    <t>Stevens-Johnson</t>
  </si>
  <si>
    <t xml:space="preserve">         └─ Lyell (12%)</t>
  </si>
  <si>
    <t>Nécrolyse épidermique</t>
  </si>
  <si>
    <t>Légères ─┬─ EPF (19%)</t>
  </si>
  <si>
    <t xml:space="preserve">         └─ Chevaucht (7%)</t>
  </si>
  <si>
    <t>Syndrome intermédiaire</t>
  </si>
  <si>
    <t>8.1 Représentation Schématique du Dendrogramme (Hauteur Ward):</t>
  </si>
  <si>
    <t>SECTION 9: INSIGHTS CLINIQUES MAJEURS DU CLUSTERING HIÉRARCHIQUE</t>
  </si>
  <si>
    <t>Insight</t>
  </si>
  <si>
    <t>Variable(s) discriminante(s)</t>
  </si>
  <si>
    <t>Implication Clinique</t>
  </si>
  <si>
    <t>Action Recommandée</t>
  </si>
  <si>
    <t>Interrogatoire médicamenteux SYSTÉMATIQUE</t>
  </si>
  <si>
    <t>Surface + Fièvre + Atteinte mixte</t>
  </si>
  <si>
    <t>ÂGE = MARQUEUR DE BRANCHE</t>
  </si>
  <si>
    <t>Âge (F=42.85, p&lt;0.0001)</t>
  </si>
  <si>
    <t>H1 (2.4 classes) vs H2 (1.3 classes)</t>
  </si>
  <si>
    <t>CLASSES MÉDICAMENTEUSES TOXIQUES</t>
  </si>
  <si>
    <t>Antibio + AINS + Antipalud</t>
  </si>
  <si>
    <t>Sévères: 8j / Chroniques: 200-285j</t>
  </si>
  <si>
    <t>Urgence si délai court + médicament</t>
  </si>
  <si>
    <t>FIÈVRE = ALARME SYSTÉMIQUE</t>
  </si>
  <si>
    <t>Fièvre (F=42.12)</t>
  </si>
  <si>
    <t>PRURIT protecteur relatif</t>
  </si>
  <si>
    <t>Prurit (inverse)</t>
  </si>
  <si>
    <t>Faible dans sévères (28.6%)</t>
  </si>
  <si>
    <t>AUTO-IMMUNES: profil distinct</t>
  </si>
  <si>
    <t>Âge + Sexe + Absence médic.</t>
  </si>
  <si>
    <t>Femmes 62 ans, sans médicament</t>
  </si>
  <si>
    <t>INFECTIEUSES: population pédiatrique</t>
  </si>
  <si>
    <t>Âge &lt;10 ans + Homme</t>
  </si>
  <si>
    <t>83% pédiatriques, 58% garçons</t>
  </si>
  <si>
    <t>SECTION 10: ALGORITHME DE TRIAGE CLINIQUE BASÉ SUR LA STRUCTURE HIÉRARCHIQUE</t>
  </si>
  <si>
    <t>DICHOTOMIE FONDAMENTALE (h=5.18)</t>
  </si>
  <si>
    <t>75% des cas médicament-dépendants</t>
  </si>
  <si>
    <t>GRADIENT DE SÉVÉRITÉ toxidermies</t>
  </si>
  <si>
    <t>Branche sévères vs légères</t>
  </si>
  <si>
    <t>Score = Surface + Mixte + Fièvre</t>
  </si>
  <si>
    <t>Enfants→Infect, Jeunes→Toxi, Seniors→Auto</t>
  </si>
  <si>
    <t>Orientation diagnostique selon âge</t>
  </si>
  <si>
    <t>POLYMÉDICATION amplifie sévérité</t>
  </si>
  <si>
    <t>Éviter associations à risque</t>
  </si>
  <si>
    <t>71% antibiotiques cluster sévère</t>
  </si>
  <si>
    <t>Pharmacovigilance antibiotiques</t>
  </si>
  <si>
    <t>DÉLAI distingue aigu/chronique</t>
  </si>
  <si>
    <t>62.9% sévères vs 2-8% autres</t>
  </si>
  <si>
    <t>Fièvre + bulles = hospitalisation</t>
  </si>
  <si>
    <t>Prurit sans fièvre = meilleur pronostic</t>
  </si>
  <si>
    <t>Bilan immunologique si &gt;60 ans</t>
  </si>
  <si>
    <t>Penser infection chez enfant avec bulles</t>
  </si>
  <si>
    <t>ÉTAPE 1: PRISE MÉDICAMENTEUSE RÉCENTE? (Niveau h=5.18)</t>
  </si>
  <si>
    <t xml:space="preserve">   ├── OUI → Aller à ÉTAPE 2A (Branche Toxidermie)</t>
  </si>
  <si>
    <t xml:space="preserve">   └── NON → Aller à ÉTAPE 2B (Branche Non-médicamenteuse)</t>
  </si>
  <si>
    <t>ÉTAPE 2A: ÉVALUATION SÉVÉRITÉ (Niveau h=1.85)</t>
  </si>
  <si>
    <t xml:space="preserve">   Calculer Score = Surface&gt;30% (+2) + Atteinte mixte (+2) + Fièvre (+3) + Polymédication (+1)</t>
  </si>
  <si>
    <t xml:space="preserve">   ├── Score ≥ 5 → 🔴 CLUSTER H1: URGENCE - SJS/Lyell probable → USI/Brûlés</t>
  </si>
  <si>
    <t xml:space="preserve">   └── Score &lt; 5 → 🟢 CLUSTER H2: EPF probable → Ambulatoire + Éviction médicament</t>
  </si>
  <si>
    <t>ÉTAPE 2B: ÂGE DU PATIENT (Niveau h=3.82)</t>
  </si>
  <si>
    <t xml:space="preserve">   ├── Âge &lt; 15 ans → 🟡 CLUSTER H4: Infectieuse probable → Antibiothérapie</t>
  </si>
  <si>
    <t xml:space="preserve">   └── Âge ≥ 15 ans → Aller à ÉTAPE 3</t>
  </si>
  <si>
    <t>ÉTAPE 3: CARACTÉRISTIQUES AUTO-IMMUNES</t>
  </si>
  <si>
    <t xml:space="preserve">   ├── Âge &gt; 50 ans + Femme + Chronique (&gt;30j) → 🔵 CLUSTER H3: Auto-immune → Bilan immunologique</t>
  </si>
  <si>
    <t xml:space="preserve">   └── Autres → 🟡 CLUSTER H4: Immunoallergique/Autre → Bilan allergologique</t>
  </si>
  <si>
    <t>SECTION 11: VALIDATION STATISTIQUE DU CLUSTERING HIÉRARCHIQUE</t>
  </si>
  <si>
    <t>11.1 Métriques de Qualité du Clustering</t>
  </si>
  <si>
    <t>Cophenetic Correlation</t>
  </si>
  <si>
    <t>&gt;0.75</t>
  </si>
  <si>
    <t>&gt;0.5</t>
  </si>
  <si>
    <t>⭐⭐⭐ Bon</t>
  </si>
  <si>
    <t>Calinski-Harabasz Index</t>
  </si>
  <si>
    <t>&gt;50</t>
  </si>
  <si>
    <t>Davies-Bouldin Index</t>
  </si>
  <si>
    <t>&lt;1.0</t>
  </si>
  <si>
    <t>Gap Statistic</t>
  </si>
  <si>
    <t>Dunn Index</t>
  </si>
  <si>
    <t>&gt;0.2</t>
  </si>
  <si>
    <t>⭐⭐ Acceptable</t>
  </si>
  <si>
    <t>11.2 Tests ANOVA - Significativité des Variables Discriminantes</t>
  </si>
  <si>
    <t>η² (Effect Size)</t>
  </si>
  <si>
    <t>★★★ Effet très large</t>
  </si>
  <si>
    <t>★★★ Effet large</t>
  </si>
  <si>
    <t>★★☆ Effet moyen-large</t>
  </si>
  <si>
    <t>Atteinte cutanéo-muqueuse</t>
  </si>
  <si>
    <t>★★☆ Effet moyen</t>
  </si>
  <si>
    <t>★☆☆ Effet faible-moyen</t>
  </si>
  <si>
    <t>★☆☆ Effet faible</t>
  </si>
  <si>
    <t>SECTION 12: CONCLUSIONS ET RECOMMANDATIONS CLINIQUES</t>
  </si>
  <si>
    <t>12.1 Conclusions Principales du Clustering Hiérarchique</t>
  </si>
  <si>
    <t>1️⃣ STRUCTURE NATURELLE EN 4 CLUSTERS confirmée avec Cophenetic = 0.847</t>
  </si>
  <si>
    <t xml:space="preserve">   • H1 (26.9%): Toxidermies sévères (SJS/Lyell) - URGENCES VITALES</t>
  </si>
  <si>
    <t xml:space="preserve">   • H2 (30.8%): Toxidermies légères (EPF) - Prise en charge ambulatoire</t>
  </si>
  <si>
    <t xml:space="preserve">   • H3 (23.8%): Auto-immunes - Suivi dermatologique spécialisé chronique</t>
  </si>
  <si>
    <t xml:space="preserve">   • H4 (18.5%): Infectieuses/Immunoallergiques - Traitement étiologique</t>
  </si>
  <si>
    <t>2️⃣ HIÉRARCHIE ÉTIOLOGIQUE révélée par le dendrogramme:</t>
  </si>
  <si>
    <t xml:space="preserve">   Niveau 1: Médicament-dépendant (75%) vs Spontané (25%)</t>
  </si>
  <si>
    <t xml:space="preserve">   Niveau 2: Sévérité clinique (sévère vs légère)</t>
  </si>
  <si>
    <t xml:space="preserve">   Niveau 3: Diagnostic spécifique (SJS vs Lyell vs EPF...)</t>
  </si>
  <si>
    <t>3️⃣ FACTEURS DISCRIMINANTS MAJEURS (par ordre d'importance):</t>
  </si>
  <si>
    <t xml:space="preserve">   1. Prise médicamenteuse (η²=0.68) - FACTEUR DOMINANT</t>
  </si>
  <si>
    <t xml:space="preserve">   2. Âge (η²=0.51) - Orientation diagnostique</t>
  </si>
  <si>
    <t xml:space="preserve">   3. Fièvre (η²=0.50) - Marqueur de sévérité</t>
  </si>
  <si>
    <t xml:space="preserve">   4. Atteinte cutanéo-muqueuse (η²=0.43)</t>
  </si>
  <si>
    <t xml:space="preserve">   5. Surface corporelle (η²=0.41)</t>
  </si>
  <si>
    <t>12.2 Recommandations pour la Pratique Clinique</t>
  </si>
  <si>
    <t>✅ RECOMMANDATION 1: Interrogatoire médicamenteux SYSTÉMATIQUE et EXHAUSTIF</t>
  </si>
  <si>
    <t xml:space="preserve">   → Rechercher antibiotiques, AINS, antipaludéens, anticonvulsivants</t>
  </si>
  <si>
    <t xml:space="preserve">   → Évaluer la polymédication (≥2 classes = risque majoré de toxidermie sévère)</t>
  </si>
  <si>
    <t>✅ RECOMMANDATION 2: Score de Sévérité Hiérarchique (SSH)</t>
  </si>
  <si>
    <t xml:space="preserve">   SSH = Surface&gt;30% (2pts) + Atteinte mixte (2pts) + Fièvre (3pts) + Polymédication (1pt)</t>
  </si>
  <si>
    <t xml:space="preserve">   • SSH ≥ 5: Hospitalisation USI/Brûlés immédiate</t>
  </si>
  <si>
    <t xml:space="preserve">   • SSH 2-4: Hospitalisation dermatologie</t>
  </si>
  <si>
    <t xml:space="preserve">   • SSH 0-1: Ambulatoire avec éviction médicamenteuse</t>
  </si>
  <si>
    <t>✅ RECOMMANDATION 3: Orientation diagnostique selon le profil</t>
  </si>
  <si>
    <t xml:space="preserve">   • Jeune + Médicament + Fièvre + Surface étendue → SJS/Lyell (H1)</t>
  </si>
  <si>
    <t xml:space="preserve">   • Adulte + Médicament + Prurit + Surface limitée → EPF (H2)</t>
  </si>
  <si>
    <t xml:space="preserve">   • Senior + Femme + Sans médicament + Chronique → Auto-immune (H3)</t>
  </si>
  <si>
    <t xml:space="preserve">   • Enfant + Sans médicament + Aigu → Infectieuse (H4)</t>
  </si>
  <si>
    <t>SECTION 13: DONNÉES GRAPHIQUES ET FORMULES DYNAMIQUES</t>
  </si>
  <si>
    <t>Distribution Clusters Hiérarchiques</t>
  </si>
  <si>
    <t>H1 - Sévères 🔴</t>
  </si>
  <si>
    <t>H2 - Légères 🟢</t>
  </si>
  <si>
    <t>H3 - Auto-immunes 🔵</t>
  </si>
  <si>
    <t>H4 - Infectieuses 🟡</t>
  </si>
  <si>
    <t>Comparaison Méthodes Linkage</t>
  </si>
  <si>
    <t>Cophenetic</t>
  </si>
  <si>
    <t>Ward</t>
  </si>
  <si>
    <t>Complete</t>
  </si>
  <si>
    <t>Average</t>
  </si>
  <si>
    <t>Single</t>
  </si>
  <si>
    <t>Profil Comparatif des Clusters</t>
  </si>
  <si>
    <t>H1</t>
  </si>
  <si>
    <t>H2</t>
  </si>
  <si>
    <t>H3</t>
  </si>
  <si>
    <t>H4</t>
  </si>
  <si>
    <t>Délai (jours)</t>
  </si>
  <si>
    <t>Hauteurs de Fusion (Dendrogramme)</t>
  </si>
  <si>
    <t>Hauteur Ward</t>
  </si>
  <si>
    <t>Métriques par Nombre de Clusters</t>
  </si>
  <si>
    <t>13.1 Statistiques Dynamiques (Formules Excel liées aux données sources)</t>
  </si>
  <si>
    <t>Nb Femmes</t>
  </si>
  <si>
    <t>Nb Prise médicamenteuse</t>
  </si>
  <si>
    <t>Nb Toxidermie</t>
  </si>
  <si>
    <t>Nb Auto-immune</t>
  </si>
  <si>
    <t>Nb Infectieuse</t>
  </si>
  <si>
    <t>Nb Immunoallergique</t>
  </si>
  <si>
    <t>Nb SJS</t>
  </si>
  <si>
    <t>Nb Lyell</t>
  </si>
  <si>
    <t>Nb EPF Bulleux</t>
  </si>
  <si>
    <t>Total Sévères (SJS+Lyell)</t>
  </si>
  <si>
    <t>% Sévères</t>
  </si>
  <si>
    <t>Concordance Hier. vs K-Means</t>
  </si>
  <si>
    <t>ARI</t>
  </si>
  <si>
    <t>NMI</t>
  </si>
  <si>
    <t>Fowlkes-Mallows</t>
  </si>
  <si>
    <t>% Concordance</t>
  </si>
  <si>
    <t>RAPPORT D'ÉTUDE : DERMATOSES BULLEUSES AU CNHU HKM</t>
  </si>
  <si>
    <t>Structure IMRAD (Introduction, Méthodes, Résultats, And Discussion)</t>
  </si>
  <si>
    <t>1. INTRODUCTION</t>
  </si>
  <si>
    <t>1.1 Contexte et Justification</t>
  </si>
  <si>
    <t>Les dermatoses bulleuses constituent un groupe hétérogène d'affections cutanées caractérisées par la formation de bulles. Ces pathologies, bien que relativement rares, présentent un intérêt clinique majeur en raison de leur potentiel de gravité et de leur impact sur la qualité de vie des patients. Au Centre National Hospitalier Universitaire Hubert Koutoukou Maga (CNHU HKM) du Bénin, ces affections représentent une part significative des consultations dermatologiques.</t>
  </si>
  <si>
    <t>Cette étude vise à analyser le profil épidémiologique, clinique et étiologique des dermatoses bulleuses observées au CNHU HKM, afin d'identifier les facteurs de risque et les patterns cliniques caractéristiques de chaque catégorie diagnostique.</t>
  </si>
  <si>
    <t>1.2 Objectifs de l'étude</t>
  </si>
  <si>
    <t>• Décrire les caractéristiques démographiques et cliniques des patients atteints de dermatoses bulleuses</t>
  </si>
  <si>
    <t>• Identifier les facteurs associés à chaque catégorie de dermatose (Toxidermie, Auto-immune, Infectieuse, Immunoallergique)</t>
  </si>
  <si>
    <t>• Évaluer les facteurs prédictifs de sévérité, notamment pour les toxidermies graves (Syndrome de Stevens-Johnson et Lyell)</t>
  </si>
  <si>
    <t>• Proposer une classification des patients par analyse de clustering</t>
  </si>
  <si>
    <t>• Formuler des recommandations pour la prise en charge clinique</t>
  </si>
  <si>
    <t>2. MATÉRIELS ET MÉTHODES</t>
  </si>
  <si>
    <t>2.1 Type et cadre de l'étude</t>
  </si>
  <si>
    <t>Type d'étude:</t>
  </si>
  <si>
    <t>Étude transversale descriptive et analytique</t>
  </si>
  <si>
    <t>Lieu:</t>
  </si>
  <si>
    <t>Service de Dermatologie, CNHU HKM, Cotonou, Bénin</t>
  </si>
  <si>
    <t>Période:</t>
  </si>
  <si>
    <t>2016-2019 (consultations de Janvier 2016 à Décembre 2018)</t>
  </si>
  <si>
    <t>Population:</t>
  </si>
  <si>
    <t>Patients présentant une dermatose bulleuse confirmée cliniquement</t>
  </si>
  <si>
    <t>2.2 Population d'étude</t>
  </si>
  <si>
    <t>Effectif total analysé:</t>
  </si>
  <si>
    <t>Critères d'inclusion:</t>
  </si>
  <si>
    <t>• Patients de tout âge consultant pour une dermatose bulleuse</t>
  </si>
  <si>
    <t>• Diagnostic clinique confirmé par un dermatologue</t>
  </si>
  <si>
    <t>• Dossier médical complet avec les variables d'intérêt</t>
  </si>
  <si>
    <t>2.3 Variables étudiées (22 variables sources)</t>
  </si>
  <si>
    <t>Variables</t>
  </si>
  <si>
    <t>Démographiques</t>
  </si>
  <si>
    <t>Âge, Sexe, Profession</t>
  </si>
  <si>
    <t>Caractéristiques socio-démographiques</t>
  </si>
  <si>
    <t>Temporelles</t>
  </si>
  <si>
    <t>Date consultation, Délai consultation</t>
  </si>
  <si>
    <t>Aspects chronologiques</t>
  </si>
  <si>
    <t>Médicamenteuses</t>
  </si>
  <si>
    <t>Prise médicamenteuse, Médicament(s)</t>
  </si>
  <si>
    <t>Exposition aux médicaments</t>
  </si>
  <si>
    <t>Cliniques</t>
  </si>
  <si>
    <t>Type d'atteinte, Surface corporelle, Signes associés</t>
  </si>
  <si>
    <t>Manifestations cliniques</t>
  </si>
  <si>
    <t>Diagnostiques</t>
  </si>
  <si>
    <t>Catégorie dermatose, Sous-types spécifiques</t>
  </si>
  <si>
    <t>Classification nosologique</t>
  </si>
  <si>
    <t>Dérivées</t>
  </si>
  <si>
    <t>Sévérité, Classes médicamenteuses, Groupe d'âge</t>
  </si>
  <si>
    <t>Variables calculées pour l'analyse</t>
  </si>
  <si>
    <t>2.4 Analyses statistiques</t>
  </si>
  <si>
    <t>Application</t>
  </si>
  <si>
    <t>Logiciel</t>
  </si>
  <si>
    <t>Statistiques descriptives</t>
  </si>
  <si>
    <t>Moyennes, médianes, écart-types, IC 95%</t>
  </si>
  <si>
    <t>Excel + Python</t>
  </si>
  <si>
    <t>Test Chi² d'indépendance</t>
  </si>
  <si>
    <t>Association entre variables catégorielles</t>
  </si>
  <si>
    <t>Excel</t>
  </si>
  <si>
    <t>Régression logistique multivariée</t>
  </si>
  <si>
    <t>Facteurs prédictifs par catégorie de dermatose</t>
  </si>
  <si>
    <t>Python (statsmodels)</t>
  </si>
  <si>
    <t>Clustering K-Means</t>
  </si>
  <si>
    <t>Classification non supervisée (K=4 clusters)</t>
  </si>
  <si>
    <t>Python (scikit-learn)</t>
  </si>
  <si>
    <t>Clustering Hiérarchique</t>
  </si>
  <si>
    <t>Méthode de Ward avec distance de Gower</t>
  </si>
  <si>
    <t>Python (scipy)</t>
  </si>
  <si>
    <t>Indices de validation</t>
  </si>
  <si>
    <t>Silhouette, Calinski-Harabasz, Davies-Bouldin</t>
  </si>
  <si>
    <t>Python</t>
  </si>
  <si>
    <t>Seuil de significativité</t>
  </si>
  <si>
    <t>p &lt; 0.05</t>
  </si>
  <si>
    <t>3. RÉSULTATS</t>
  </si>
  <si>
    <t>3.1 Caractéristiques de la population étudiée</t>
  </si>
  <si>
    <t>Source</t>
  </si>
  <si>
    <t>Rapport_Complet</t>
  </si>
  <si>
    <t>Écart-type âge</t>
  </si>
  <si>
    <t>Sexe féminin (n)</t>
  </si>
  <si>
    <t>Sexe féminin (%)</t>
  </si>
  <si>
    <t>Surface corporelle médiane (%)</t>
  </si>
  <si>
    <t>Prise médicamenteuse Oui (n)</t>
  </si>
  <si>
    <t>3.2 Répartition par tranche d'âge</t>
  </si>
  <si>
    <t>0-18 ans (Pédiatrique)</t>
  </si>
  <si>
    <t>19-59 ans (Adulte)</t>
  </si>
  <si>
    <t>60 ans et plus (Gériatrique)</t>
  </si>
  <si>
    <t>3.3 Distribution des catégories de dermatose</t>
  </si>
  <si>
    <t>Interprétation: p-value &lt; 0.0001 → La distribution est significativement non uniforme, avec une nette prédominance des toxidermies.</t>
  </si>
  <si>
    <t>3.4 Sous-types de Toxidermie</t>
  </si>
  <si>
    <t>Sous-type</t>
  </si>
  <si>
    <t>Syndrome de Stevens-Johnson</t>
  </si>
  <si>
    <t>Toxidermies sévères (SJS + Lyell):</t>
  </si>
  <si>
    <t>cas soit</t>
  </si>
  <si>
    <t>3.5 Analyse multivariée - Modèle Toxidermie</t>
  </si>
  <si>
    <t>Performance du modèle Toxidermie:</t>
  </si>
  <si>
    <t>3.6 Synthèse des modèles de régression logistique</t>
  </si>
  <si>
    <t>Modèle</t>
  </si>
  <si>
    <t>Immunoallergique*</t>
  </si>
  <si>
    <t>* Effectif faible (n=5) - Résultats à interpréter avec prudence</t>
  </si>
  <si>
    <t>3.7 Facteurs prédictifs significatifs (p &lt; 0.05)</t>
  </si>
  <si>
    <t>Facteur de risque majeur (OR ≈ 113)</t>
  </si>
  <si>
    <t>Âge (jeune)</t>
  </si>
  <si>
    <t>Protection relative (OR &lt; 1)</t>
  </si>
  <si>
    <t>Association positive (OR ≈ 1.01)</t>
  </si>
  <si>
    <t>AUTO-IMMUNE</t>
  </si>
  <si>
    <t>Âge (élevé)</t>
  </si>
  <si>
    <t>Facteur de risque (OR ≈ 1.04)</t>
  </si>
  <si>
    <t>Facteur protecteur (OR ≈ 0.03)</t>
  </si>
  <si>
    <t>INFECTIEUSE</t>
  </si>
  <si>
    <t>Facteur de risque (OR &lt; 1)</t>
  </si>
  <si>
    <t>Facteur de risque (OR ≈ 2.6)</t>
  </si>
  <si>
    <t>Facteur protecteur (OR ≈ 0.04)</t>
  </si>
  <si>
    <t>3.8 Analyse de Clustering K-Means (K=4)</t>
  </si>
  <si>
    <t>Justification du choix de K=4: Silhouette maximale (0.538), Davies-Bouldin minimal (0.72)</t>
  </si>
  <si>
    <t>Caractéristiques des centroïdes:</t>
  </si>
  <si>
    <t>% Pédiatriques (&lt;18)</t>
  </si>
  <si>
    <t>% Gériatriques (&gt;60)</t>
  </si>
  <si>
    <t>3.9 Analyse de Clustering Hiérarchique (Méthode de Ward)</t>
  </si>
  <si>
    <t>Justification: Cophenetic correlation = 0.847 (excellente), adapté aux données cliniques mixtes</t>
  </si>
  <si>
    <t>Cluster Hiérarchique</t>
  </si>
  <si>
    <t>Profil</t>
  </si>
  <si>
    <t>Toxidermies graves avec prise médicamenteuse</t>
  </si>
  <si>
    <t>Toxidermies légères (EPF principalement)</t>
  </si>
  <si>
    <t>Dermatoses auto-immunes chez seniors</t>
  </si>
  <si>
    <t>Dermatoses infectieuses chez enfants</t>
  </si>
  <si>
    <t>Concordance K-Means vs Hiérarchique:</t>
  </si>
  <si>
    <t>ARI (Adjusted Rand Index)</t>
  </si>
  <si>
    <t>NMI (Normalized Mutual Info)</t>
  </si>
  <si>
    <t>% Concordance globale</t>
  </si>
  <si>
    <t>Interprétation: Excellente concordance entre les deux méthodes (&gt;87%), validant la robustesse de la classification.</t>
  </si>
  <si>
    <t>4. DISCUSSION</t>
  </si>
  <si>
    <t>4.1 Principaux résultats</t>
  </si>
  <si>
    <t>Cette étude portant sur 130 patients atteints de dermatoses bulleuses au CNHU HKM révèle plusieurs constats majeurs :</t>
  </si>
  <si>
    <t>• Prédominance nette des toxidermies (57.69%), suivies des dermatoses auto-immunes (23.85%)</t>
  </si>
  <si>
    <t>• Population à prédominance féminine (56.92%) avec un âge moyen de 36 ans</t>
  </si>
  <si>
    <t>• La prise médicamenteuse constitue le facteur de risque majeur pour les toxidermies (OR = 112.67)</t>
  </si>
  <si>
    <t>• Les dermatoses auto-immunes touchent préférentiellement les sujets âgés (OR âge = 1.04)</t>
  </si>
  <si>
    <t>• Les dermatoses infectieuses concernent principalement les enfants de sexe masculin</t>
  </si>
  <si>
    <t>• L'analyse de clustering identifie 4 profils patients distincts avec une excellente concordance entre méthodes (87.2%)</t>
  </si>
  <si>
    <t>4.2 Comparaison avec la littérature</t>
  </si>
  <si>
    <t>La forte association entre prise médicamenteuse et toxidermie (OR = 112.67, p &lt; 0.0001) confirme le rôle étiologique central des médicaments, particulièrement les antibiotiques, les AINS et les antipaludéens identifiés dans l'analyse des clusters.</t>
  </si>
  <si>
    <t>4.3 Implications cliniques</t>
  </si>
  <si>
    <t>Profil patient</t>
  </si>
  <si>
    <t>Caractéristiques</t>
  </si>
  <si>
    <t>Cluster 1 (Sévères)</t>
  </si>
  <si>
    <t>Jeune, prise médicamenteuse, surface étendue, fièvre</t>
  </si>
  <si>
    <t>Urgence dermatologique - Arrêt immédiat médicament suspect - Hospitalisation</t>
  </si>
  <si>
    <t>Cluster 2 (Auto-immunes)</t>
  </si>
  <si>
    <t>Senior &gt;60 ans, sans médicament, atteinte cutanée seule</t>
  </si>
  <si>
    <t>Bilan immunologique - Corticothérapie - Suivi long terme</t>
  </si>
  <si>
    <t>Cluster 3 (EPF)</t>
  </si>
  <si>
    <t>Adulte, prise médicamenteuse, atteinte localisée</t>
  </si>
  <si>
    <t>Éviction médicament - Traitement local - Prévention récidive</t>
  </si>
  <si>
    <t>Cluster 4 (Infectieuses)</t>
  </si>
  <si>
    <t>Enfant, sans médicament, atteinte mixte possible</t>
  </si>
  <si>
    <t>Antibiothérapie adaptée - Soins locaux - Éducation hygiène</t>
  </si>
  <si>
    <t>4.4 Forces et limites de l'étude</t>
  </si>
  <si>
    <t>Forces:</t>
  </si>
  <si>
    <t>• Approche multivariée avec régression logistique permettant d'identifier les facteurs indépendants</t>
  </si>
  <si>
    <t>• Double validation par clustering K-Means et hiérarchique avec excellente concordance</t>
  </si>
  <si>
    <t>• Analyse exhaustive des 22 variables sources transformées en 45+ features</t>
  </si>
  <si>
    <t>• Performances élevées des modèles prédictifs (AUC-ROC &gt; 0.82 pour tous les modèles)</t>
  </si>
  <si>
    <t>Limites:</t>
  </si>
  <si>
    <t>• Étude monocentrique limitant la généralisation des résultats</t>
  </si>
  <si>
    <t>• Effectif faible pour la catégorie immunoallergique (n=5)</t>
  </si>
  <si>
    <t>• Données rétrospectives avec possible biais de sélection</t>
  </si>
  <si>
    <t>• Absence de confirmation histologique systématique</t>
  </si>
  <si>
    <t>5. CONCLUSION</t>
  </si>
  <si>
    <t>Cette étude démontre que les dermatoses bulleuses au CNHU HKM sont dominées par les toxidermies, fortement associées à la prise médicamenteuse. L'identification de quatre profils patients distincts permet d'optimiser la prise en charge diagnostique et thérapeutique.</t>
  </si>
  <si>
    <t>Les principales recommandations issues de cette analyse sont :</t>
  </si>
  <si>
    <t>1. Renforcer la pharmacovigilance et l'éducation sur les risques de l'automédication</t>
  </si>
  <si>
    <t>2. Développer des protocoles de prise en charge rapide pour les toxidermies sévères (SJS/Lyell)</t>
  </si>
  <si>
    <t>3. Sensibiliser les praticiens aux profils à risque identifiés par cette étude</t>
  </si>
  <si>
    <t>4. Poursuivre les études multicentriques pour valider ces résultats à l'échelle nationale</t>
  </si>
  <si>
    <t>5. Mettre en place un registre national des dermatoses bulleuses graves</t>
  </si>
  <si>
    <t>6. RÉFÉRENCES MÉTHODOLOGIQUES</t>
  </si>
  <si>
    <t>Source de données</t>
  </si>
  <si>
    <t>Feuille/Référence</t>
  </si>
  <si>
    <t>Données brutes patients</t>
  </si>
  <si>
    <t>Dermatoses Bulleuses CNHU HKM (131 lignes × 22 colonnes)</t>
  </si>
  <si>
    <t>Rapport descriptif complet</t>
  </si>
  <si>
    <t>Rapport_Complet (570 lignes × 8 colonnes)</t>
  </si>
  <si>
    <t>Analyses statistiques et régressions</t>
  </si>
  <si>
    <t>Analyse_Statistique + Statistic_Analysis</t>
  </si>
  <si>
    <t>Clustering K-Means (45+ features)</t>
  </si>
  <si>
    <t>Clustering_Analysis (405 lignes)</t>
  </si>
  <si>
    <t>Clustering Hiérarchique (Ward)</t>
  </si>
  <si>
    <t>Hierachical_Analysis (391 lignes)</t>
  </si>
  <si>
    <t>Ce rapport IMRAD</t>
  </si>
  <si>
    <t>Rapport_Etude</t>
  </si>
  <si>
    <t>TABLEAU RÉCAPITULATIF DES INDICATEURS CLÉS</t>
  </si>
  <si>
    <t>EFFECTIF TOTAL</t>
  </si>
  <si>
    <t>Rapport_Complet!B6</t>
  </si>
  <si>
    <t>Rapport_Complet!B10</t>
  </si>
  <si>
    <t>Rapport_Complet!C17</t>
  </si>
  <si>
    <t>% Toxidermies</t>
  </si>
  <si>
    <t>Rapport_Complet!C47</t>
  </si>
  <si>
    <t>% Auto-immunes</t>
  </si>
  <si>
    <t>Rapport_Complet!C48</t>
  </si>
  <si>
    <t>% Infectieuses</t>
  </si>
  <si>
    <t>Rapport_Complet!C49</t>
  </si>
  <si>
    <t>% Cas sévères (SJS+Lyell)</t>
  </si>
  <si>
    <t>Statistic_Analysis!C35</t>
  </si>
  <si>
    <t>OR Prise Med → Toxidermie</t>
  </si>
  <si>
    <t>Statistic_Analysis!F50</t>
  </si>
  <si>
    <t>AUC-ROC Modèle Toxidermie</t>
  </si>
  <si>
    <t>Statistic_Analysis!B57</t>
  </si>
  <si>
    <t>Silhouette K-Means (K=4)</t>
  </si>
  <si>
    <t>Clustering_Analysis!D52</t>
  </si>
  <si>
    <t>Cophenetic Correlation Ward</t>
  </si>
  <si>
    <t>Hierachical_Analysis!C43</t>
  </si>
  <si>
    <t>Concordance K-Means vs Hier.</t>
  </si>
  <si>
    <t>Hierachical_Analysis!Q55</t>
  </si>
  <si>
    <t>Effectif Cluster 1 (Sévères)</t>
  </si>
  <si>
    <t>Clustering_Analysis!B69</t>
  </si>
  <si>
    <t>Effectif Cluster 2 (Auto-imm.)</t>
  </si>
  <si>
    <t>Clustering_Analysis!B70</t>
  </si>
  <si>
    <t>Effectif Cluster 3 (EPF)</t>
  </si>
  <si>
    <t>Clustering_Analysis!B71</t>
  </si>
  <si>
    <t>═══════════════════════════════════════════════════════════════════════════════</t>
  </si>
  <si>
    <t>La prédominance des toxidermies dans notre série est cohérente avec les données africaines, où l'automédication et l'accès aux médicaments sans ordonnance favorisent ce type d'affection. La proportion de syndromes de Stevens-Johnson et de Lyell (29.20% des cas) souligne l'importance du diagnostic précoce et de la prise en charge adéquate.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</si>
</sst>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000"/>
  </numFmts>
  <fonts count="39" x14ac:knownFonts="1">
    <font>
      <sz val="10"/>
      <color theme="1"/>
      <name val="ADLaM Display"/>
      <family val="2"/>
    </font>
    <font>
      <b/>
      <sz val="18"/>
      <color theme="1"/>
      <name val="ADLaM Display"/>
    </font>
    <font>
      <sz val="10"/>
      <color theme="1"/>
      <name val="ADLaM Display"/>
    </font>
    <font>
      <i/>
      <sz val="10"/>
      <color theme="1"/>
      <name val="ADLaM Display"/>
    </font>
    <font>
      <b/>
      <sz val="14"/>
      <color rgb="FFFFFFFF"/>
      <name val="ADLaM Display"/>
    </font>
    <font>
      <b/>
      <sz val="10"/>
      <color theme="1"/>
      <name val="ADLaM Display"/>
    </font>
    <font>
      <b/>
      <sz val="12"/>
      <color rgb="FFFFFFFF"/>
      <name val="ADLaM Display"/>
    </font>
    <font>
      <b/>
      <sz val="10"/>
      <color theme="1"/>
      <name val="ADLaM Display"/>
      <family val="2"/>
    </font>
    <font>
      <b/>
      <sz val="14"/>
      <color rgb="FFFFFFFF"/>
      <name val="ADLaM Display"/>
      <family val="2"/>
    </font>
    <font>
      <b/>
      <sz val="10"/>
      <color rgb="FFFFFFFF"/>
      <name val="ADLaM Display"/>
      <family val="2"/>
    </font>
    <font>
      <b/>
      <i/>
      <sz val="10"/>
      <color theme="1"/>
      <name val="ADLaM Display"/>
      <family val="2"/>
    </font>
    <font>
      <i/>
      <sz val="10"/>
      <color theme="1"/>
      <name val="ADLaM Display"/>
      <family val="2"/>
    </font>
    <font>
      <b/>
      <sz val="10"/>
      <color rgb="FFFFFFFF"/>
      <name val="ADLaM Display"/>
    </font>
    <font>
      <i/>
      <sz val="12"/>
      <color theme="1"/>
      <name val="ADLaM Display"/>
      <family val="2"/>
    </font>
    <font>
      <b/>
      <sz val="12"/>
      <color theme="1"/>
      <name val="ADLaM Display"/>
      <family val="2"/>
    </font>
    <font>
      <b/>
      <sz val="16"/>
      <color rgb="FFFFFFFF"/>
      <name val="ADLaM Display"/>
      <family val="2"/>
    </font>
    <font>
      <i/>
      <sz val="10"/>
      <color rgb="FFC00000"/>
      <name val="ADLaM Display"/>
      <family val="2"/>
    </font>
    <font>
      <sz val="10"/>
      <color theme="1"/>
      <name val="Consolas"/>
    </font>
    <font>
      <b/>
      <sz val="10"/>
      <color theme="1"/>
      <name val="Consolas"/>
    </font>
    <font>
      <b/>
      <sz val="16"/>
      <color rgb="FF1F4E79"/>
      <name val="ADLaM Display"/>
      <family val="2"/>
    </font>
    <font>
      <sz val="12"/>
      <color theme="1"/>
      <name val="ADLaM Display"/>
      <family val="2"/>
    </font>
    <font>
      <sz val="11"/>
      <color rgb="FF2E75B6"/>
      <name val="ADLaM Display"/>
      <family val="2"/>
    </font>
    <font>
      <b/>
      <sz val="13"/>
      <color rgb="FF1F4E79"/>
      <name val="ADLaM Display"/>
      <family val="2"/>
    </font>
    <font>
      <b/>
      <sz val="11"/>
      <color theme="1"/>
      <name val="ADLaM Display"/>
      <family val="2"/>
    </font>
    <font>
      <b/>
      <sz val="14"/>
      <color rgb="FFC00000"/>
      <name val="ADLaM Display"/>
      <family val="2"/>
    </font>
    <font>
      <sz val="10"/>
      <color rgb="FFFFFFFF"/>
      <name val="ADLaM Display"/>
      <family val="2"/>
    </font>
    <font>
      <sz val="10"/>
      <color rgb="FF2E7D32"/>
      <name val="ADLaM Display"/>
      <family val="2"/>
    </font>
    <font>
      <b/>
      <sz val="10"/>
      <color rgb="FFC62828"/>
      <name val="ADLaM Display"/>
      <family val="2"/>
    </font>
    <font>
      <b/>
      <sz val="10"/>
      <color rgb="FF375623"/>
      <name val="ADLaM Display"/>
      <family val="2"/>
    </font>
    <font>
      <b/>
      <sz val="12"/>
      <color rgb="FF375623"/>
      <name val="ADLaM Display"/>
      <family val="2"/>
    </font>
    <font>
      <sz val="9"/>
      <color theme="1"/>
      <name val="Consolas"/>
    </font>
    <font>
      <b/>
      <sz val="18"/>
      <color rgb="FFFFFFFF"/>
      <name val="ADLaM Display"/>
    </font>
    <font>
      <i/>
      <sz val="12"/>
      <color rgb="FFFFFFFF"/>
      <name val="ADLaM Display"/>
    </font>
    <font>
      <b/>
      <sz val="12"/>
      <color rgb="FF1F4E79"/>
      <name val="ADLaM Display"/>
    </font>
    <font>
      <b/>
      <sz val="10"/>
      <color rgb="FFC65911"/>
      <name val="ADLaM Display"/>
    </font>
    <font>
      <b/>
      <sz val="10"/>
      <color rgb="FF006400"/>
      <name val="ADLaM Display"/>
    </font>
    <font>
      <sz val="11"/>
      <color theme="1"/>
      <name val="ADLaM Display"/>
    </font>
    <font>
      <sz val="10"/>
      <color rgb="FF1F4E79"/>
      <name val="ADLaM Display"/>
    </font>
    <font>
      <b/>
      <i/>
      <sz val="10"/>
      <color theme="1"/>
      <name val="ADLaM Display"/>
    </font>
  </fonts>
  <fills count="58">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70AD47"/>
        <bgColor indexed="64"/>
      </patternFill>
    </fill>
    <fill>
      <patternFill patternType="solid">
        <fgColor rgb="FFE2EFDA"/>
        <bgColor indexed="64"/>
      </patternFill>
    </fill>
    <fill>
      <patternFill patternType="solid">
        <fgColor rgb="FFED7D31"/>
        <bgColor indexed="64"/>
      </patternFill>
    </fill>
    <fill>
      <patternFill patternType="solid">
        <fgColor rgb="FFFCE4D6"/>
        <bgColor indexed="64"/>
      </patternFill>
    </fill>
    <fill>
      <patternFill patternType="solid">
        <fgColor rgb="FF7030A0"/>
        <bgColor indexed="64"/>
      </patternFill>
    </fill>
    <fill>
      <patternFill patternType="solid">
        <fgColor rgb="FFE2D5F1"/>
        <bgColor indexed="64"/>
      </patternFill>
    </fill>
    <fill>
      <patternFill patternType="solid">
        <fgColor rgb="FFFF69B4"/>
        <bgColor indexed="64"/>
      </patternFill>
    </fill>
    <fill>
      <patternFill patternType="solid">
        <fgColor rgb="FFFFB6C1"/>
        <bgColor indexed="64"/>
      </patternFill>
    </fill>
    <fill>
      <patternFill patternType="solid">
        <fgColor rgb="FF4169E1"/>
        <bgColor indexed="64"/>
      </patternFill>
    </fill>
    <fill>
      <patternFill patternType="solid">
        <fgColor rgb="FFADD8E6"/>
        <bgColor indexed="64"/>
      </patternFill>
    </fill>
    <fill>
      <patternFill patternType="solid">
        <fgColor rgb="FF1F4E79"/>
        <bgColor indexed="64"/>
      </patternFill>
    </fill>
    <fill>
      <patternFill patternType="solid">
        <fgColor rgb="FF2E75B6"/>
        <bgColor indexed="64"/>
      </patternFill>
    </fill>
    <fill>
      <patternFill patternType="solid">
        <fgColor rgb="FFC00000"/>
        <bgColor indexed="64"/>
      </patternFill>
    </fill>
    <fill>
      <patternFill patternType="solid">
        <fgColor rgb="FFD6DCE4"/>
        <bgColor indexed="64"/>
      </patternFill>
    </fill>
    <fill>
      <patternFill patternType="solid">
        <fgColor rgb="FFFFF2CC"/>
        <bgColor indexed="64"/>
      </patternFill>
    </fill>
    <fill>
      <patternFill patternType="solid">
        <fgColor rgb="FFC6EFCE"/>
        <bgColor indexed="64"/>
      </patternFill>
    </fill>
    <fill>
      <patternFill patternType="solid">
        <fgColor rgb="FF8FAADC"/>
        <bgColor indexed="64"/>
      </patternFill>
    </fill>
    <fill>
      <patternFill patternType="solid">
        <fgColor rgb="FFF4B183"/>
        <bgColor indexed="64"/>
      </patternFill>
    </fill>
    <fill>
      <patternFill patternType="solid">
        <fgColor rgb="FF002060"/>
        <bgColor indexed="64"/>
      </patternFill>
    </fill>
    <fill>
      <patternFill patternType="solid">
        <fgColor rgb="FFBDD7EE"/>
        <bgColor indexed="64"/>
      </patternFill>
    </fill>
    <fill>
      <patternFill patternType="solid">
        <fgColor rgb="FFF8CBAD"/>
        <bgColor indexed="64"/>
      </patternFill>
    </fill>
    <fill>
      <patternFill patternType="solid">
        <fgColor rgb="FFDDEBF7"/>
        <bgColor indexed="64"/>
      </patternFill>
    </fill>
    <fill>
      <patternFill patternType="solid">
        <fgColor rgb="FF375623"/>
        <bgColor indexed="64"/>
      </patternFill>
    </fill>
    <fill>
      <patternFill patternType="solid">
        <fgColor rgb="FFE2D5F0"/>
        <bgColor indexed="64"/>
      </patternFill>
    </fill>
    <fill>
      <patternFill patternType="solid">
        <fgColor rgb="FFD6DCE5"/>
        <bgColor indexed="64"/>
      </patternFill>
    </fill>
    <fill>
      <patternFill patternType="solid">
        <fgColor rgb="FFFFF8E7"/>
        <bgColor indexed="64"/>
      </patternFill>
    </fill>
    <fill>
      <patternFill patternType="solid">
        <fgColor rgb="FFFFFFFF"/>
        <bgColor indexed="64"/>
      </patternFill>
    </fill>
    <fill>
      <patternFill patternType="solid">
        <fgColor rgb="FFD6EAF8"/>
        <bgColor indexed="64"/>
      </patternFill>
    </fill>
    <fill>
      <patternFill patternType="solid">
        <fgColor rgb="FFE8F4FD"/>
        <bgColor indexed="64"/>
      </patternFill>
    </fill>
    <fill>
      <patternFill patternType="solid">
        <fgColor rgb="FFE8F8F5"/>
        <bgColor indexed="64"/>
      </patternFill>
    </fill>
    <fill>
      <patternFill patternType="solid">
        <fgColor rgb="FFFFF3E0"/>
        <bgColor indexed="64"/>
      </patternFill>
    </fill>
    <fill>
      <patternFill patternType="solid">
        <fgColor rgb="FFC8E6C9"/>
        <bgColor indexed="64"/>
      </patternFill>
    </fill>
    <fill>
      <patternFill patternType="solid">
        <fgColor rgb="FFA5D6A7"/>
        <bgColor indexed="64"/>
      </patternFill>
    </fill>
    <fill>
      <patternFill patternType="solid">
        <fgColor rgb="FFFFCDD2"/>
        <bgColor indexed="64"/>
      </patternFill>
    </fill>
    <fill>
      <patternFill patternType="solid">
        <fgColor rgb="FFBBDEFB"/>
        <bgColor indexed="64"/>
      </patternFill>
    </fill>
    <fill>
      <patternFill patternType="solid">
        <fgColor rgb="FFFFF9C4"/>
        <bgColor indexed="64"/>
      </patternFill>
    </fill>
    <fill>
      <patternFill patternType="solid">
        <fgColor rgb="FFFCE4EC"/>
        <bgColor indexed="64"/>
      </patternFill>
    </fill>
    <fill>
      <patternFill patternType="solid">
        <fgColor rgb="FFE3F2FD"/>
        <bgColor indexed="64"/>
      </patternFill>
    </fill>
    <fill>
      <patternFill patternType="solid">
        <fgColor rgb="FFF3E5F5"/>
        <bgColor indexed="64"/>
      </patternFill>
    </fill>
    <fill>
      <patternFill patternType="solid">
        <fgColor rgb="FFE8F5E9"/>
        <bgColor indexed="64"/>
      </patternFill>
    </fill>
    <fill>
      <patternFill patternType="solid">
        <fgColor rgb="FFFFEBEE"/>
        <bgColor indexed="64"/>
      </patternFill>
    </fill>
    <fill>
      <patternFill patternType="solid">
        <fgColor rgb="FFE1F5FE"/>
        <bgColor indexed="64"/>
      </patternFill>
    </fill>
    <fill>
      <patternFill patternType="solid">
        <fgColor rgb="FFFFF8E1"/>
        <bgColor indexed="64"/>
      </patternFill>
    </fill>
    <fill>
      <patternFill patternType="solid">
        <fgColor rgb="FFF5F5F5"/>
        <bgColor indexed="64"/>
      </patternFill>
    </fill>
    <fill>
      <patternFill patternType="solid">
        <fgColor rgb="FF4527A0"/>
        <bgColor indexed="64"/>
      </patternFill>
    </fill>
    <fill>
      <patternFill patternType="solid">
        <fgColor rgb="FFD9E1F2"/>
        <bgColor indexed="64"/>
      </patternFill>
    </fill>
    <fill>
      <patternFill patternType="solid">
        <fgColor rgb="FFFFCCCB"/>
        <bgColor indexed="64"/>
      </patternFill>
    </fill>
    <fill>
      <patternFill patternType="solid">
        <fgColor rgb="FFFFFACD"/>
        <bgColor indexed="64"/>
      </patternFill>
    </fill>
    <fill>
      <patternFill patternType="solid">
        <fgColor rgb="FF90EE90"/>
        <bgColor indexed="64"/>
      </patternFill>
    </fill>
    <fill>
      <patternFill patternType="solid">
        <fgColor rgb="FFFFD966"/>
        <bgColor indexed="64"/>
      </patternFill>
    </fill>
    <fill>
      <patternFill patternType="solid">
        <fgColor rgb="FFFFEB9C"/>
        <bgColor indexed="64"/>
      </patternFill>
    </fill>
    <fill>
      <patternFill patternType="solid">
        <fgColor rgb="FFF2F2F2"/>
        <bgColor indexed="64"/>
      </patternFill>
    </fill>
    <fill>
      <patternFill patternType="solid">
        <fgColor rgb="FFFF6B6B"/>
        <bgColor indexed="64"/>
      </patternFill>
    </fill>
    <fill>
      <patternFill patternType="solid">
        <fgColor rgb="FFDEEBF7"/>
        <bgColor indexed="64"/>
      </patternFill>
    </fill>
  </fills>
  <borders count="3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medium">
        <color rgb="FF1F4E79"/>
      </bottom>
      <diagonal/>
    </border>
    <border>
      <left style="thin">
        <color auto="1"/>
      </left>
      <right/>
      <top style="thin">
        <color auto="1"/>
      </top>
      <bottom style="medium">
        <color rgb="FFD9D9D9"/>
      </bottom>
      <diagonal/>
    </border>
    <border>
      <left/>
      <right/>
      <top style="thin">
        <color auto="1"/>
      </top>
      <bottom style="medium">
        <color rgb="FFD9D9D9"/>
      </bottom>
      <diagonal/>
    </border>
    <border>
      <left/>
      <right style="thin">
        <color auto="1"/>
      </right>
      <top style="thin">
        <color auto="1"/>
      </top>
      <bottom style="medium">
        <color rgb="FFD9D9D9"/>
      </bottom>
      <diagonal/>
    </border>
    <border>
      <left style="thin">
        <color auto="1"/>
      </left>
      <right/>
      <top style="medium">
        <color rgb="FFD9D9D9"/>
      </top>
      <bottom style="medium">
        <color rgb="FFD9D9D9"/>
      </bottom>
      <diagonal/>
    </border>
    <border>
      <left/>
      <right/>
      <top style="medium">
        <color rgb="FFD9D9D9"/>
      </top>
      <bottom style="medium">
        <color rgb="FFD9D9D9"/>
      </bottom>
      <diagonal/>
    </border>
    <border>
      <left/>
      <right style="thin">
        <color auto="1"/>
      </right>
      <top style="medium">
        <color rgb="FFD9D9D9"/>
      </top>
      <bottom style="medium">
        <color rgb="FFD9D9D9"/>
      </bottom>
      <diagonal/>
    </border>
    <border>
      <left style="thin">
        <color auto="1"/>
      </left>
      <right/>
      <top style="medium">
        <color rgb="FFD9D9D9"/>
      </top>
      <bottom style="thin">
        <color auto="1"/>
      </bottom>
      <diagonal/>
    </border>
    <border>
      <left/>
      <right/>
      <top style="medium">
        <color rgb="FFD9D9D9"/>
      </top>
      <bottom style="thin">
        <color auto="1"/>
      </bottom>
      <diagonal/>
    </border>
    <border>
      <left/>
      <right style="thin">
        <color auto="1"/>
      </right>
      <top style="medium">
        <color rgb="FFD9D9D9"/>
      </top>
      <bottom style="thin">
        <color auto="1"/>
      </bottom>
      <diagonal/>
    </border>
    <border>
      <left style="thin">
        <color auto="1"/>
      </left>
      <right/>
      <top style="thin">
        <color auto="1"/>
      </top>
      <bottom style="thin">
        <color rgb="FFD9D9D9"/>
      </bottom>
      <diagonal/>
    </border>
    <border>
      <left/>
      <right/>
      <top style="thin">
        <color auto="1"/>
      </top>
      <bottom style="thin">
        <color rgb="FFD9D9D9"/>
      </bottom>
      <diagonal/>
    </border>
    <border>
      <left/>
      <right style="thin">
        <color auto="1"/>
      </right>
      <top style="thin">
        <color auto="1"/>
      </top>
      <bottom style="thin">
        <color rgb="FFD9D9D9"/>
      </bottom>
      <diagonal/>
    </border>
    <border>
      <left style="thin">
        <color auto="1"/>
      </left>
      <right/>
      <top style="thin">
        <color rgb="FFD9D9D9"/>
      </top>
      <bottom style="thin">
        <color rgb="FFD9D9D9"/>
      </bottom>
      <diagonal/>
    </border>
    <border>
      <left/>
      <right/>
      <top style="thin">
        <color rgb="FFD9D9D9"/>
      </top>
      <bottom style="thin">
        <color rgb="FFD9D9D9"/>
      </bottom>
      <diagonal/>
    </border>
    <border>
      <left/>
      <right style="thin">
        <color auto="1"/>
      </right>
      <top style="thin">
        <color rgb="FFD9D9D9"/>
      </top>
      <bottom style="thin">
        <color rgb="FFD9D9D9"/>
      </bottom>
      <diagonal/>
    </border>
    <border>
      <left style="thin">
        <color auto="1"/>
      </left>
      <right/>
      <top style="thin">
        <color rgb="FFD9D9D9"/>
      </top>
      <bottom style="thin">
        <color auto="1"/>
      </bottom>
      <diagonal/>
    </border>
    <border>
      <left/>
      <right/>
      <top style="thin">
        <color rgb="FFD9D9D9"/>
      </top>
      <bottom style="thin">
        <color auto="1"/>
      </bottom>
      <diagonal/>
    </border>
    <border>
      <left/>
      <right style="thin">
        <color auto="1"/>
      </right>
      <top style="thin">
        <color rgb="FFD9D9D9"/>
      </top>
      <bottom style="thin">
        <color auto="1"/>
      </bottom>
      <diagonal/>
    </border>
    <border>
      <left style="thin">
        <color auto="1"/>
      </left>
      <right style="thin">
        <color rgb="FFD9D9D9"/>
      </right>
      <top style="thin">
        <color auto="1"/>
      </top>
      <bottom style="medium">
        <color rgb="FFD9D9D9"/>
      </bottom>
      <diagonal/>
    </border>
    <border>
      <left style="thin">
        <color rgb="FFD9D9D9"/>
      </left>
      <right style="thin">
        <color rgb="FFD9D9D9"/>
      </right>
      <top style="thin">
        <color auto="1"/>
      </top>
      <bottom style="medium">
        <color rgb="FFD9D9D9"/>
      </bottom>
      <diagonal/>
    </border>
    <border>
      <left style="thin">
        <color rgb="FFD9D9D9"/>
      </left>
      <right style="thin">
        <color auto="1"/>
      </right>
      <top style="thin">
        <color auto="1"/>
      </top>
      <bottom style="medium">
        <color rgb="FFD9D9D9"/>
      </bottom>
      <diagonal/>
    </border>
    <border>
      <left style="thin">
        <color auto="1"/>
      </left>
      <right style="thin">
        <color rgb="FFD9D9D9"/>
      </right>
      <top style="medium">
        <color rgb="FFD9D9D9"/>
      </top>
      <bottom style="medium">
        <color rgb="FFD9D9D9"/>
      </bottom>
      <diagonal/>
    </border>
    <border>
      <left style="thin">
        <color rgb="FFD9D9D9"/>
      </left>
      <right style="thin">
        <color rgb="FFD9D9D9"/>
      </right>
      <top style="medium">
        <color rgb="FFD9D9D9"/>
      </top>
      <bottom style="medium">
        <color rgb="FFD9D9D9"/>
      </bottom>
      <diagonal/>
    </border>
    <border>
      <left style="thin">
        <color rgb="FFD9D9D9"/>
      </left>
      <right style="thin">
        <color auto="1"/>
      </right>
      <top style="medium">
        <color rgb="FFD9D9D9"/>
      </top>
      <bottom style="medium">
        <color rgb="FFD9D9D9"/>
      </bottom>
      <diagonal/>
    </border>
    <border>
      <left style="thin">
        <color auto="1"/>
      </left>
      <right style="thin">
        <color rgb="FFD9D9D9"/>
      </right>
      <top style="medium">
        <color rgb="FFD9D9D9"/>
      </top>
      <bottom style="thin">
        <color auto="1"/>
      </bottom>
      <diagonal/>
    </border>
    <border>
      <left style="thin">
        <color rgb="FFD9D9D9"/>
      </left>
      <right style="thin">
        <color rgb="FFD9D9D9"/>
      </right>
      <top style="medium">
        <color rgb="FFD9D9D9"/>
      </top>
      <bottom style="thin">
        <color auto="1"/>
      </bottom>
      <diagonal/>
    </border>
    <border>
      <left style="thin">
        <color rgb="FFD9D9D9"/>
      </left>
      <right style="thin">
        <color auto="1"/>
      </right>
      <top style="medium">
        <color rgb="FFD9D9D9"/>
      </top>
      <bottom style="thin">
        <color auto="1"/>
      </bottom>
      <diagonal/>
    </border>
  </borders>
  <cellStyleXfs count="1">
    <xf numFmtId="0" fontId="0" fillId="0" borderId="0"/>
  </cellStyleXfs>
  <cellXfs count="311">
    <xf numFmtId="0" fontId="0" fillId="0" borderId="0" xfId="0"/>
    <xf numFmtId="22" fontId="0" fillId="0" borderId="0" xfId="0" applyNumberFormat="1"/>
    <xf numFmtId="14" fontId="0" fillId="0" borderId="0" xfId="0" applyNumberFormat="1"/>
    <xf numFmtId="0" fontId="2" fillId="0" borderId="0" xfId="0" applyFont="1"/>
    <xf numFmtId="0" fontId="5" fillId="0" borderId="0" xfId="0" applyFont="1"/>
    <xf numFmtId="0" fontId="5" fillId="3" borderId="0" xfId="0" applyFont="1" applyFill="1"/>
    <xf numFmtId="2" fontId="2" fillId="0" borderId="0" xfId="0" applyNumberFormat="1" applyFont="1"/>
    <xf numFmtId="0" fontId="7" fillId="0" borderId="0" xfId="0" applyFont="1"/>
    <xf numFmtId="0" fontId="7" fillId="17" borderId="0" xfId="0" applyFont="1" applyFill="1"/>
    <xf numFmtId="10" fontId="0" fillId="0" borderId="0" xfId="0" applyNumberFormat="1"/>
    <xf numFmtId="0" fontId="0" fillId="0" borderId="1" xfId="0" applyBorder="1"/>
    <xf numFmtId="0" fontId="7" fillId="17" borderId="1" xfId="0" applyFont="1" applyFill="1" applyBorder="1"/>
    <xf numFmtId="0" fontId="5" fillId="7" borderId="0" xfId="0" applyFont="1" applyFill="1"/>
    <xf numFmtId="0" fontId="5" fillId="5" borderId="0" xfId="0" applyFont="1" applyFill="1"/>
    <xf numFmtId="0" fontId="14" fillId="0" borderId="0" xfId="0" applyFont="1"/>
    <xf numFmtId="0" fontId="11" fillId="0" borderId="0" xfId="0" applyFont="1"/>
    <xf numFmtId="0" fontId="5" fillId="3" borderId="1" xfId="0" applyFont="1" applyFill="1" applyBorder="1"/>
    <xf numFmtId="0" fontId="2" fillId="0" borderId="1" xfId="0" applyFont="1" applyBorder="1"/>
    <xf numFmtId="0" fontId="5" fillId="9" borderId="1" xfId="0" applyFont="1" applyFill="1" applyBorder="1"/>
    <xf numFmtId="0" fontId="5" fillId="0" borderId="1" xfId="0" applyFont="1" applyBorder="1"/>
    <xf numFmtId="0" fontId="7" fillId="5" borderId="1" xfId="0" applyFont="1" applyFill="1" applyBorder="1"/>
    <xf numFmtId="0" fontId="7" fillId="23" borderId="0" xfId="0" applyFont="1" applyFill="1"/>
    <xf numFmtId="0" fontId="7" fillId="0" borderId="1" xfId="0" applyFont="1" applyBorder="1"/>
    <xf numFmtId="0" fontId="7" fillId="24" borderId="1" xfId="0" applyFont="1" applyFill="1" applyBorder="1"/>
    <xf numFmtId="164" fontId="0" fillId="0" borderId="1" xfId="0" applyNumberFormat="1" applyBorder="1"/>
    <xf numFmtId="165" fontId="0" fillId="0" borderId="1" xfId="0" applyNumberFormat="1" applyBorder="1"/>
    <xf numFmtId="0" fontId="7" fillId="23" borderId="1" xfId="0" applyFont="1" applyFill="1" applyBorder="1"/>
    <xf numFmtId="0" fontId="7" fillId="19" borderId="1" xfId="0" applyFont="1" applyFill="1" applyBorder="1"/>
    <xf numFmtId="0" fontId="7" fillId="5" borderId="0" xfId="0" applyFont="1" applyFill="1"/>
    <xf numFmtId="0" fontId="7" fillId="27" borderId="1" xfId="0" applyFont="1" applyFill="1" applyBorder="1"/>
    <xf numFmtId="10" fontId="0" fillId="0" borderId="1" xfId="0" applyNumberFormat="1" applyBorder="1"/>
    <xf numFmtId="10" fontId="7" fillId="5" borderId="1" xfId="0" applyNumberFormat="1" applyFont="1" applyFill="1" applyBorder="1"/>
    <xf numFmtId="10" fontId="7" fillId="0" borderId="0" xfId="0" applyNumberFormat="1" applyFont="1"/>
    <xf numFmtId="10" fontId="7" fillId="23" borderId="0" xfId="0" applyNumberFormat="1" applyFont="1" applyFill="1"/>
    <xf numFmtId="0" fontId="23" fillId="0" borderId="0" xfId="0" applyFont="1"/>
    <xf numFmtId="0" fontId="9" fillId="2" borderId="0" xfId="0" applyFont="1" applyFill="1"/>
    <xf numFmtId="0" fontId="0" fillId="19" borderId="0" xfId="0" applyFill="1"/>
    <xf numFmtId="0" fontId="7" fillId="19" borderId="0" xfId="0" applyFont="1" applyFill="1"/>
    <xf numFmtId="10" fontId="7" fillId="19" borderId="0" xfId="0" applyNumberFormat="1" applyFont="1" applyFill="1"/>
    <xf numFmtId="0" fontId="7" fillId="18" borderId="0" xfId="0" applyFont="1" applyFill="1"/>
    <xf numFmtId="0" fontId="0" fillId="0" borderId="2" xfId="0" applyBorder="1"/>
    <xf numFmtId="0" fontId="7" fillId="23" borderId="3" xfId="0" applyFont="1" applyFill="1" applyBorder="1"/>
    <xf numFmtId="0" fontId="7" fillId="23" borderId="4" xfId="0" applyFont="1" applyFill="1" applyBorder="1"/>
    <xf numFmtId="0" fontId="0" fillId="0" borderId="5" xfId="0" applyBorder="1"/>
    <xf numFmtId="0" fontId="0" fillId="0" borderId="6" xfId="0" applyBorder="1"/>
    <xf numFmtId="0" fontId="7" fillId="23" borderId="7" xfId="0" applyFont="1" applyFill="1" applyBorder="1"/>
    <xf numFmtId="0" fontId="0" fillId="0" borderId="8" xfId="0" applyBorder="1"/>
    <xf numFmtId="0" fontId="0" fillId="0" borderId="9" xfId="0" applyBorder="1"/>
    <xf numFmtId="0" fontId="0" fillId="0" borderId="3" xfId="0" applyBorder="1"/>
    <xf numFmtId="0" fontId="0" fillId="0" borderId="4" xfId="0" applyBorder="1"/>
    <xf numFmtId="0" fontId="7" fillId="5" borderId="5" xfId="0" applyFont="1" applyFill="1" applyBorder="1"/>
    <xf numFmtId="0" fontId="0" fillId="0" borderId="7" xfId="0" applyBorder="1"/>
    <xf numFmtId="0" fontId="7" fillId="29" borderId="4" xfId="0" applyFont="1" applyFill="1" applyBorder="1"/>
    <xf numFmtId="0" fontId="7" fillId="29" borderId="3" xfId="0" applyFont="1" applyFill="1" applyBorder="1"/>
    <xf numFmtId="0" fontId="7" fillId="29" borderId="7" xfId="0" applyFont="1" applyFill="1" applyBorder="1"/>
    <xf numFmtId="0" fontId="0" fillId="29" borderId="5" xfId="0" applyFill="1" applyBorder="1"/>
    <xf numFmtId="0" fontId="0" fillId="29" borderId="0" xfId="0" applyFill="1"/>
    <xf numFmtId="0" fontId="0" fillId="29" borderId="8" xfId="0" applyFill="1" applyBorder="1"/>
    <xf numFmtId="0" fontId="7" fillId="29" borderId="6" xfId="0" applyFont="1" applyFill="1" applyBorder="1"/>
    <xf numFmtId="0" fontId="7" fillId="29" borderId="2" xfId="0" applyFont="1" applyFill="1" applyBorder="1"/>
    <xf numFmtId="0" fontId="0" fillId="29" borderId="2" xfId="0" applyFill="1" applyBorder="1"/>
    <xf numFmtId="0" fontId="0" fillId="29" borderId="9" xfId="0" applyFill="1" applyBorder="1"/>
    <xf numFmtId="0" fontId="25" fillId="30" borderId="0" xfId="0" applyFont="1" applyFill="1"/>
    <xf numFmtId="0" fontId="20" fillId="0" borderId="0" xfId="0" applyFont="1"/>
    <xf numFmtId="0" fontId="26" fillId="0" borderId="0" xfId="0" applyFont="1"/>
    <xf numFmtId="0" fontId="7" fillId="31" borderId="0" xfId="0" applyFont="1" applyFill="1"/>
    <xf numFmtId="0" fontId="7" fillId="32" borderId="0" xfId="0" applyFont="1" applyFill="1"/>
    <xf numFmtId="0" fontId="7" fillId="33" borderId="0" xfId="0" applyFont="1" applyFill="1"/>
    <xf numFmtId="0" fontId="7" fillId="34" borderId="0" xfId="0" applyFont="1" applyFill="1"/>
    <xf numFmtId="0" fontId="0" fillId="35" borderId="0" xfId="0" applyFill="1"/>
    <xf numFmtId="10" fontId="0" fillId="35" borderId="0" xfId="0" applyNumberFormat="1" applyFill="1"/>
    <xf numFmtId="0" fontId="7" fillId="35" borderId="0" xfId="0" applyFont="1" applyFill="1"/>
    <xf numFmtId="10" fontId="7" fillId="35" borderId="0" xfId="0" applyNumberFormat="1" applyFont="1" applyFill="1"/>
    <xf numFmtId="0" fontId="0" fillId="37" borderId="0" xfId="0" applyFill="1"/>
    <xf numFmtId="10" fontId="0" fillId="37" borderId="0" xfId="0" applyNumberFormat="1" applyFill="1"/>
    <xf numFmtId="0" fontId="0" fillId="38" borderId="0" xfId="0" applyFill="1"/>
    <xf numFmtId="10" fontId="0" fillId="38" borderId="0" xfId="0" applyNumberFormat="1" applyFill="1"/>
    <xf numFmtId="0" fontId="0" fillId="39" borderId="0" xfId="0" applyFill="1"/>
    <xf numFmtId="10" fontId="0" fillId="39" borderId="0" xfId="0" applyNumberFormat="1" applyFill="1"/>
    <xf numFmtId="9" fontId="0" fillId="0" borderId="0" xfId="0" applyNumberFormat="1"/>
    <xf numFmtId="9" fontId="7" fillId="0" borderId="0" xfId="0" applyNumberFormat="1" applyFont="1"/>
    <xf numFmtId="0" fontId="7" fillId="40" borderId="0" xfId="0" applyFont="1" applyFill="1"/>
    <xf numFmtId="0" fontId="7" fillId="41" borderId="0" xfId="0" applyFont="1" applyFill="1"/>
    <xf numFmtId="0" fontId="7" fillId="42" borderId="0" xfId="0" applyFont="1" applyFill="1"/>
    <xf numFmtId="0" fontId="7" fillId="43" borderId="0" xfId="0" applyFont="1" applyFill="1"/>
    <xf numFmtId="0" fontId="7" fillId="44" borderId="0" xfId="0" applyFont="1" applyFill="1"/>
    <xf numFmtId="0" fontId="7" fillId="45" borderId="0" xfId="0" applyFont="1" applyFill="1"/>
    <xf numFmtId="0" fontId="7" fillId="46" borderId="0" xfId="0" applyFont="1" applyFill="1"/>
    <xf numFmtId="0" fontId="7" fillId="47" borderId="0" xfId="0" applyFont="1" applyFill="1"/>
    <xf numFmtId="0" fontId="14" fillId="37" borderId="0" xfId="0" applyFont="1" applyFill="1"/>
    <xf numFmtId="0" fontId="27" fillId="0" borderId="0" xfId="0" applyFont="1"/>
    <xf numFmtId="0" fontId="14" fillId="38" borderId="0" xfId="0" applyFont="1" applyFill="1"/>
    <xf numFmtId="0" fontId="14" fillId="35" borderId="0" xfId="0" applyFont="1" applyFill="1"/>
    <xf numFmtId="0" fontId="14" fillId="39" borderId="0" xfId="0" applyFont="1" applyFill="1"/>
    <xf numFmtId="0" fontId="9" fillId="14" borderId="0" xfId="0" applyFont="1" applyFill="1"/>
    <xf numFmtId="0" fontId="7" fillId="49" borderId="0" xfId="0" applyFont="1" applyFill="1"/>
    <xf numFmtId="0" fontId="0" fillId="50" borderId="0" xfId="0" applyFill="1"/>
    <xf numFmtId="0" fontId="0" fillId="13" borderId="0" xfId="0" applyFill="1"/>
    <xf numFmtId="0" fontId="0" fillId="51" borderId="0" xfId="0" applyFill="1"/>
    <xf numFmtId="10" fontId="0" fillId="50" borderId="0" xfId="0" applyNumberFormat="1" applyFill="1"/>
    <xf numFmtId="0" fontId="0" fillId="52" borderId="0" xfId="0" applyFill="1"/>
    <xf numFmtId="10" fontId="0" fillId="52" borderId="0" xfId="0" applyNumberFormat="1" applyFill="1"/>
    <xf numFmtId="10" fontId="0" fillId="13" borderId="0" xfId="0" applyNumberFormat="1" applyFill="1"/>
    <xf numFmtId="10" fontId="0" fillId="51" borderId="0" xfId="0" applyNumberFormat="1" applyFill="1"/>
    <xf numFmtId="0" fontId="0" fillId="5" borderId="0" xfId="0" applyFill="1"/>
    <xf numFmtId="0" fontId="30" fillId="0" borderId="0" xfId="0" applyFont="1"/>
    <xf numFmtId="0" fontId="7" fillId="53" borderId="0" xfId="0" applyFont="1" applyFill="1"/>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vertical="center"/>
    </xf>
    <xf numFmtId="0" fontId="33" fillId="23" borderId="0" xfId="0" applyFont="1" applyFill="1" applyAlignment="1">
      <alignment horizontal="left" vertical="center"/>
    </xf>
    <xf numFmtId="0" fontId="33" fillId="23" borderId="0" xfId="0" applyFont="1" applyFill="1" applyAlignment="1">
      <alignment horizontal="center" vertical="center"/>
    </xf>
    <xf numFmtId="0" fontId="33" fillId="23" borderId="0" xfId="0" applyFont="1" applyFill="1" applyAlignment="1">
      <alignment vertical="center"/>
    </xf>
    <xf numFmtId="0" fontId="2" fillId="0" borderId="0" xfId="0" applyFont="1" applyAlignment="1">
      <alignment horizontal="left" vertical="center" wrapText="1" indent="1"/>
    </xf>
    <xf numFmtId="0" fontId="2" fillId="0" borderId="0" xfId="0" applyFont="1" applyAlignment="1">
      <alignment horizontal="center" vertical="center" wrapText="1"/>
    </xf>
    <xf numFmtId="0" fontId="2" fillId="0" borderId="0" xfId="0" applyFont="1" applyAlignment="1">
      <alignment vertical="center" wrapText="1"/>
    </xf>
    <xf numFmtId="0" fontId="5" fillId="0" borderId="0" xfId="0" applyFont="1" applyAlignment="1">
      <alignment horizontal="left" vertical="center"/>
    </xf>
    <xf numFmtId="0" fontId="2" fillId="0" borderId="0" xfId="0" applyFont="1" applyAlignment="1">
      <alignment horizontal="left" vertical="center" indent="1"/>
    </xf>
    <xf numFmtId="0" fontId="5" fillId="17" borderId="29" xfId="0" applyFont="1" applyFill="1" applyBorder="1" applyAlignment="1">
      <alignment horizontal="left" vertical="center"/>
    </xf>
    <xf numFmtId="0" fontId="5" fillId="17" borderId="30" xfId="0" applyFont="1" applyFill="1" applyBorder="1" applyAlignment="1">
      <alignment horizontal="center" vertical="center"/>
    </xf>
    <xf numFmtId="0" fontId="5" fillId="17" borderId="31" xfId="0" applyFont="1" applyFill="1" applyBorder="1" applyAlignment="1">
      <alignment horizontal="center" vertical="center"/>
    </xf>
    <xf numFmtId="0" fontId="5" fillId="17" borderId="10" xfId="0" applyFont="1" applyFill="1" applyBorder="1" applyAlignment="1">
      <alignment horizontal="center" vertical="center"/>
    </xf>
    <xf numFmtId="0" fontId="2" fillId="0" borderId="32" xfId="0" applyFont="1" applyBorder="1" applyAlignment="1">
      <alignment horizontal="left"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2" fillId="0" borderId="35" xfId="0" applyFont="1" applyBorder="1" applyAlignment="1">
      <alignment horizontal="left" vertical="center"/>
    </xf>
    <xf numFmtId="0" fontId="2" fillId="0" borderId="36" xfId="0" applyFont="1" applyBorder="1" applyAlignment="1">
      <alignment horizontal="center" vertical="center"/>
    </xf>
    <xf numFmtId="0" fontId="2" fillId="0" borderId="37" xfId="0" applyFont="1" applyBorder="1" applyAlignment="1">
      <alignment horizontal="center" vertical="center"/>
    </xf>
    <xf numFmtId="0" fontId="5" fillId="17" borderId="11" xfId="0" applyFont="1" applyFill="1" applyBorder="1" applyAlignment="1">
      <alignment horizontal="left" vertical="center"/>
    </xf>
    <xf numFmtId="0" fontId="5" fillId="17" borderId="12" xfId="0" applyFont="1" applyFill="1" applyBorder="1" applyAlignment="1">
      <alignment horizontal="center" vertical="center"/>
    </xf>
    <xf numFmtId="0" fontId="5" fillId="17" borderId="13" xfId="0" applyFont="1" applyFill="1" applyBorder="1" applyAlignment="1">
      <alignment horizontal="center" vertical="center"/>
    </xf>
    <xf numFmtId="0" fontId="2" fillId="55" borderId="14" xfId="0" applyFont="1" applyFill="1" applyBorder="1" applyAlignment="1">
      <alignment horizontal="left" vertical="center"/>
    </xf>
    <xf numFmtId="0" fontId="2" fillId="55" borderId="15" xfId="0" applyFont="1" applyFill="1" applyBorder="1" applyAlignment="1">
      <alignment horizontal="center" vertical="center"/>
    </xf>
    <xf numFmtId="0" fontId="2" fillId="55" borderId="16" xfId="0" applyFont="1" applyFill="1" applyBorder="1" applyAlignment="1">
      <alignment horizontal="center" vertical="center"/>
    </xf>
    <xf numFmtId="0" fontId="2" fillId="0" borderId="14" xfId="0" applyFont="1" applyBorder="1" applyAlignment="1">
      <alignment horizontal="left" vertical="center"/>
    </xf>
    <xf numFmtId="2" fontId="2" fillId="0" borderId="15" xfId="0" applyNumberFormat="1"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2" fontId="2" fillId="55" borderId="15" xfId="0" applyNumberFormat="1" applyFont="1" applyFill="1" applyBorder="1" applyAlignment="1">
      <alignment horizontal="center" vertical="center"/>
    </xf>
    <xf numFmtId="0" fontId="2" fillId="55" borderId="17" xfId="0" applyFont="1" applyFill="1" applyBorder="1" applyAlignment="1">
      <alignment horizontal="left" vertical="center"/>
    </xf>
    <xf numFmtId="0" fontId="2" fillId="55" borderId="18" xfId="0" applyFont="1" applyFill="1" applyBorder="1" applyAlignment="1">
      <alignment horizontal="center" vertical="center"/>
    </xf>
    <xf numFmtId="0" fontId="2" fillId="55" borderId="19" xfId="0" applyFont="1" applyFill="1" applyBorder="1" applyAlignment="1">
      <alignment horizontal="center" vertical="center"/>
    </xf>
    <xf numFmtId="0" fontId="5" fillId="5" borderId="17" xfId="0" applyFont="1" applyFill="1" applyBorder="1" applyAlignment="1">
      <alignment horizontal="left" vertical="center"/>
    </xf>
    <xf numFmtId="0" fontId="5" fillId="5" borderId="18" xfId="0" applyFont="1" applyFill="1" applyBorder="1" applyAlignment="1">
      <alignment horizontal="center" vertical="center"/>
    </xf>
    <xf numFmtId="0" fontId="5" fillId="5" borderId="19" xfId="0" applyFont="1" applyFill="1" applyBorder="1" applyAlignment="1">
      <alignment horizontal="center" vertical="center"/>
    </xf>
    <xf numFmtId="2" fontId="34" fillId="0" borderId="15" xfId="0" applyNumberFormat="1" applyFont="1" applyBorder="1" applyAlignment="1">
      <alignment horizontal="center" vertical="center"/>
    </xf>
    <xf numFmtId="0" fontId="2" fillId="0" borderId="19" xfId="0" applyFont="1" applyBorder="1" applyAlignment="1">
      <alignment horizontal="center" vertical="center"/>
    </xf>
    <xf numFmtId="2" fontId="2" fillId="55" borderId="18" xfId="0" applyNumberFormat="1" applyFont="1" applyFill="1" applyBorder="1" applyAlignment="1">
      <alignment horizontal="center" vertical="center"/>
    </xf>
    <xf numFmtId="0" fontId="12" fillId="56" borderId="15" xfId="0" applyFont="1" applyFill="1" applyBorder="1" applyAlignment="1">
      <alignment horizontal="center" vertical="center"/>
    </xf>
    <xf numFmtId="0" fontId="5" fillId="5" borderId="0" xfId="0" applyFont="1" applyFill="1" applyAlignment="1">
      <alignment horizontal="left" vertical="center"/>
    </xf>
    <xf numFmtId="0" fontId="5" fillId="5" borderId="0" xfId="0" applyFont="1" applyFill="1" applyAlignment="1">
      <alignment horizontal="center" vertical="center"/>
    </xf>
    <xf numFmtId="0" fontId="2" fillId="19" borderId="0" xfId="0" applyFont="1" applyFill="1" applyAlignment="1">
      <alignment horizontal="left" vertical="center"/>
    </xf>
    <xf numFmtId="0" fontId="35" fillId="19" borderId="0" xfId="0" applyFont="1" applyFill="1" applyAlignment="1">
      <alignment horizontal="center" vertical="center"/>
    </xf>
    <xf numFmtId="0" fontId="2" fillId="19" borderId="0" xfId="0" applyFont="1" applyFill="1" applyAlignment="1">
      <alignment horizontal="center" vertical="center"/>
    </xf>
    <xf numFmtId="10" fontId="2" fillId="0" borderId="0" xfId="0" applyNumberFormat="1" applyFont="1" applyAlignment="1">
      <alignment horizontal="center" vertical="center"/>
    </xf>
    <xf numFmtId="10" fontId="2" fillId="0" borderId="15" xfId="0" applyNumberFormat="1" applyFont="1" applyBorder="1" applyAlignment="1">
      <alignment horizontal="center" vertical="center"/>
    </xf>
    <xf numFmtId="0" fontId="2" fillId="0" borderId="17" xfId="0" applyFont="1" applyBorder="1" applyAlignment="1">
      <alignment horizontal="left" vertical="center"/>
    </xf>
    <xf numFmtId="0" fontId="2" fillId="0" borderId="18" xfId="0" applyFont="1" applyBorder="1" applyAlignment="1">
      <alignment horizontal="center" vertical="center"/>
    </xf>
    <xf numFmtId="10" fontId="2" fillId="0" borderId="18" xfId="0" applyNumberFormat="1" applyFont="1" applyBorder="1" applyAlignment="1">
      <alignment horizontal="center" vertical="center"/>
    </xf>
    <xf numFmtId="9" fontId="2" fillId="0" borderId="18" xfId="0" applyNumberFormat="1" applyFont="1" applyBorder="1" applyAlignment="1">
      <alignment horizontal="center" vertical="center"/>
    </xf>
    <xf numFmtId="0" fontId="3" fillId="0" borderId="0" xfId="0" applyFont="1" applyAlignment="1">
      <alignment horizontal="left" vertical="center"/>
    </xf>
    <xf numFmtId="0" fontId="2" fillId="7" borderId="14" xfId="0" applyFont="1" applyFill="1" applyBorder="1" applyAlignment="1">
      <alignment horizontal="left" vertical="center"/>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25" borderId="14" xfId="0" applyFont="1" applyFill="1" applyBorder="1" applyAlignment="1">
      <alignment horizontal="left" vertical="center"/>
    </xf>
    <xf numFmtId="0" fontId="2" fillId="25" borderId="15" xfId="0" applyFont="1" applyFill="1" applyBorder="1" applyAlignment="1">
      <alignment horizontal="center" vertical="center"/>
    </xf>
    <xf numFmtId="0" fontId="2" fillId="25" borderId="16" xfId="0" applyFont="1" applyFill="1" applyBorder="1" applyAlignment="1">
      <alignment horizontal="center" vertical="center"/>
    </xf>
    <xf numFmtId="0" fontId="2" fillId="5" borderId="14" xfId="0" applyFont="1" applyFill="1" applyBorder="1" applyAlignment="1">
      <alignment horizontal="left" vertical="center"/>
    </xf>
    <xf numFmtId="0" fontId="2" fillId="5" borderId="15" xfId="0" applyFont="1" applyFill="1" applyBorder="1" applyAlignment="1">
      <alignment horizontal="center" vertical="center"/>
    </xf>
    <xf numFmtId="0" fontId="2" fillId="5" borderId="16" xfId="0" applyFont="1" applyFill="1" applyBorder="1" applyAlignment="1">
      <alignment horizontal="center" vertical="center"/>
    </xf>
    <xf numFmtId="0" fontId="2" fillId="5" borderId="17" xfId="0" applyFont="1" applyFill="1" applyBorder="1" applyAlignment="1">
      <alignment horizontal="left" vertical="center"/>
    </xf>
    <xf numFmtId="0" fontId="2" fillId="5" borderId="18" xfId="0" applyFont="1" applyFill="1" applyBorder="1" applyAlignment="1">
      <alignment horizontal="center" vertical="center"/>
    </xf>
    <xf numFmtId="0" fontId="2" fillId="5" borderId="19" xfId="0" applyFont="1" applyFill="1" applyBorder="1" applyAlignment="1">
      <alignment horizontal="center" vertical="center"/>
    </xf>
    <xf numFmtId="0" fontId="5" fillId="24" borderId="14" xfId="0" applyFont="1" applyFill="1" applyBorder="1" applyAlignment="1">
      <alignment horizontal="left" vertical="center"/>
    </xf>
    <xf numFmtId="0" fontId="5" fillId="24" borderId="15" xfId="0" applyFont="1" applyFill="1" applyBorder="1" applyAlignment="1">
      <alignment horizontal="center" vertical="center"/>
    </xf>
    <xf numFmtId="10" fontId="5" fillId="24" borderId="15" xfId="0" applyNumberFormat="1" applyFont="1" applyFill="1" applyBorder="1" applyAlignment="1">
      <alignment horizontal="center" vertical="center"/>
    </xf>
    <xf numFmtId="0" fontId="5" fillId="24" borderId="16" xfId="0" applyFont="1" applyFill="1" applyBorder="1" applyAlignment="1">
      <alignment horizontal="center" vertical="center"/>
    </xf>
    <xf numFmtId="0" fontId="5" fillId="23" borderId="14" xfId="0" applyFont="1" applyFill="1" applyBorder="1" applyAlignment="1">
      <alignment horizontal="left" vertical="center"/>
    </xf>
    <xf numFmtId="0" fontId="5" fillId="23" borderId="15" xfId="0" applyFont="1" applyFill="1" applyBorder="1" applyAlignment="1">
      <alignment horizontal="center" vertical="center"/>
    </xf>
    <xf numFmtId="10" fontId="5" fillId="23" borderId="15" xfId="0" applyNumberFormat="1" applyFont="1" applyFill="1" applyBorder="1" applyAlignment="1">
      <alignment horizontal="center" vertical="center"/>
    </xf>
    <xf numFmtId="0" fontId="5" fillId="23" borderId="16" xfId="0" applyFont="1" applyFill="1" applyBorder="1" applyAlignment="1">
      <alignment horizontal="center" vertical="center"/>
    </xf>
    <xf numFmtId="0" fontId="5" fillId="19" borderId="14" xfId="0" applyFont="1" applyFill="1" applyBorder="1" applyAlignment="1">
      <alignment horizontal="left" vertical="center"/>
    </xf>
    <xf numFmtId="0" fontId="5" fillId="19" borderId="15" xfId="0" applyFont="1" applyFill="1" applyBorder="1" applyAlignment="1">
      <alignment horizontal="center" vertical="center"/>
    </xf>
    <xf numFmtId="10" fontId="5" fillId="19" borderId="15" xfId="0" applyNumberFormat="1" applyFont="1" applyFill="1" applyBorder="1" applyAlignment="1">
      <alignment horizontal="center" vertical="center"/>
    </xf>
    <xf numFmtId="0" fontId="5" fillId="19" borderId="16" xfId="0" applyFont="1" applyFill="1" applyBorder="1" applyAlignment="1">
      <alignment horizontal="center" vertical="center"/>
    </xf>
    <xf numFmtId="0" fontId="5" fillId="54" borderId="17" xfId="0" applyFont="1" applyFill="1" applyBorder="1" applyAlignment="1">
      <alignment horizontal="left" vertical="center"/>
    </xf>
    <xf numFmtId="0" fontId="5" fillId="54" borderId="18" xfId="0" applyFont="1" applyFill="1" applyBorder="1" applyAlignment="1">
      <alignment horizontal="center" vertical="center"/>
    </xf>
    <xf numFmtId="10" fontId="5" fillId="54" borderId="18" xfId="0" applyNumberFormat="1" applyFont="1" applyFill="1" applyBorder="1" applyAlignment="1">
      <alignment horizontal="center" vertical="center"/>
    </xf>
    <xf numFmtId="0" fontId="5" fillId="54" borderId="19" xfId="0" applyFont="1" applyFill="1" applyBorder="1" applyAlignment="1">
      <alignment horizontal="center" vertical="center"/>
    </xf>
    <xf numFmtId="0" fontId="2" fillId="24" borderId="14" xfId="0" applyFont="1" applyFill="1" applyBorder="1" applyAlignment="1">
      <alignment horizontal="left" vertical="center"/>
    </xf>
    <xf numFmtId="0" fontId="2" fillId="24" borderId="15" xfId="0" applyFont="1" applyFill="1" applyBorder="1" applyAlignment="1">
      <alignment horizontal="center" vertical="center"/>
    </xf>
    <xf numFmtId="0" fontId="2" fillId="24" borderId="16" xfId="0" applyFont="1" applyFill="1" applyBorder="1" applyAlignment="1">
      <alignment horizontal="center" vertical="center"/>
    </xf>
    <xf numFmtId="0" fontId="2" fillId="19" borderId="14" xfId="0" applyFont="1" applyFill="1" applyBorder="1" applyAlignment="1">
      <alignment horizontal="left" vertical="center"/>
    </xf>
    <xf numFmtId="0" fontId="2" fillId="19" borderId="15" xfId="0" applyFont="1" applyFill="1" applyBorder="1" applyAlignment="1">
      <alignment horizontal="center" vertical="center"/>
    </xf>
    <xf numFmtId="0" fontId="2" fillId="19" borderId="16" xfId="0" applyFont="1" applyFill="1" applyBorder="1" applyAlignment="1">
      <alignment horizontal="center" vertical="center"/>
    </xf>
    <xf numFmtId="0" fontId="2" fillId="23" borderId="14" xfId="0" applyFont="1" applyFill="1" applyBorder="1" applyAlignment="1">
      <alignment horizontal="left" vertical="center"/>
    </xf>
    <xf numFmtId="0" fontId="2" fillId="23" borderId="15" xfId="0" applyFont="1" applyFill="1" applyBorder="1" applyAlignment="1">
      <alignment horizontal="center" vertical="center"/>
    </xf>
    <xf numFmtId="0" fontId="2" fillId="23" borderId="16" xfId="0" applyFont="1" applyFill="1" applyBorder="1" applyAlignment="1">
      <alignment horizontal="center" vertical="center"/>
    </xf>
    <xf numFmtId="0" fontId="2" fillId="54" borderId="17" xfId="0" applyFont="1" applyFill="1" applyBorder="1" applyAlignment="1">
      <alignment horizontal="left" vertical="center"/>
    </xf>
    <xf numFmtId="0" fontId="2" fillId="54" borderId="18" xfId="0" applyFont="1" applyFill="1" applyBorder="1" applyAlignment="1">
      <alignment horizontal="center" vertical="center"/>
    </xf>
    <xf numFmtId="0" fontId="2" fillId="54" borderId="19" xfId="0" applyFont="1" applyFill="1" applyBorder="1" applyAlignment="1">
      <alignment horizontal="center" vertical="center"/>
    </xf>
    <xf numFmtId="0" fontId="5" fillId="0" borderId="20" xfId="0" applyFont="1" applyBorder="1" applyAlignment="1">
      <alignment horizontal="left"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left"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left" vertical="center"/>
    </xf>
    <xf numFmtId="0" fontId="35" fillId="0" borderId="27" xfId="0" applyFont="1" applyBorder="1" applyAlignment="1">
      <alignment horizontal="center" vertical="center"/>
    </xf>
    <xf numFmtId="0" fontId="2" fillId="0" borderId="28" xfId="0" applyFont="1" applyBorder="1" applyAlignment="1">
      <alignment horizontal="center" vertical="center"/>
    </xf>
    <xf numFmtId="0" fontId="33" fillId="23" borderId="0" xfId="0" applyFont="1" applyFill="1" applyAlignment="1">
      <alignment horizontal="left" vertical="center" wrapText="1"/>
    </xf>
    <xf numFmtId="0" fontId="2" fillId="24" borderId="14" xfId="0" applyFont="1" applyFill="1" applyBorder="1" applyAlignment="1">
      <alignment horizontal="left" vertical="center" wrapText="1"/>
    </xf>
    <xf numFmtId="0" fontId="2" fillId="24" borderId="15" xfId="0" applyFont="1" applyFill="1" applyBorder="1" applyAlignment="1">
      <alignment horizontal="center" vertical="center" wrapText="1"/>
    </xf>
    <xf numFmtId="0" fontId="2" fillId="23" borderId="14" xfId="0" applyFont="1" applyFill="1" applyBorder="1" applyAlignment="1">
      <alignment horizontal="left" vertical="center" wrapText="1"/>
    </xf>
    <xf numFmtId="0" fontId="2" fillId="23" borderId="15" xfId="0" applyFont="1" applyFill="1" applyBorder="1" applyAlignment="1">
      <alignment horizontal="center" vertical="center" wrapText="1"/>
    </xf>
    <xf numFmtId="0" fontId="2" fillId="19" borderId="14" xfId="0" applyFont="1" applyFill="1" applyBorder="1" applyAlignment="1">
      <alignment horizontal="left" vertical="center" wrapText="1"/>
    </xf>
    <xf numFmtId="0" fontId="2" fillId="19" borderId="15" xfId="0" applyFont="1" applyFill="1" applyBorder="1" applyAlignment="1">
      <alignment horizontal="center" vertical="center" wrapText="1"/>
    </xf>
    <xf numFmtId="0" fontId="2" fillId="54" borderId="17" xfId="0" applyFont="1" applyFill="1" applyBorder="1" applyAlignment="1">
      <alignment horizontal="left" vertical="center" wrapText="1"/>
    </xf>
    <xf numFmtId="0" fontId="2" fillId="54" borderId="18" xfId="0" applyFont="1" applyFill="1" applyBorder="1" applyAlignment="1">
      <alignment horizontal="center" vertical="center" wrapText="1"/>
    </xf>
    <xf numFmtId="0" fontId="5" fillId="0" borderId="0" xfId="0" applyFont="1" applyAlignment="1">
      <alignment horizontal="left" vertical="center" wrapText="1"/>
    </xf>
    <xf numFmtId="0" fontId="36" fillId="0" borderId="0" xfId="0" applyFont="1" applyAlignment="1">
      <alignment horizontal="left" vertical="center" wrapText="1" indent="1"/>
    </xf>
    <xf numFmtId="0" fontId="36" fillId="0" borderId="0" xfId="0" applyFont="1" applyAlignment="1">
      <alignment horizontal="center" vertical="center" wrapText="1"/>
    </xf>
    <xf numFmtId="0" fontId="36" fillId="0" borderId="0" xfId="0" applyFont="1" applyAlignment="1">
      <alignment vertical="center" wrapText="1"/>
    </xf>
    <xf numFmtId="0" fontId="12" fillId="15" borderId="11" xfId="0" applyFont="1" applyFill="1" applyBorder="1" applyAlignment="1">
      <alignment horizontal="left" vertical="center"/>
    </xf>
    <xf numFmtId="0" fontId="12" fillId="15" borderId="12" xfId="0" applyFont="1" applyFill="1" applyBorder="1" applyAlignment="1">
      <alignment horizontal="center" vertical="center"/>
    </xf>
    <xf numFmtId="0" fontId="12" fillId="15" borderId="13" xfId="0" applyFont="1" applyFill="1" applyBorder="1" applyAlignment="1">
      <alignment horizontal="center" vertical="center"/>
    </xf>
    <xf numFmtId="0" fontId="2" fillId="57" borderId="14" xfId="0" applyFont="1" applyFill="1" applyBorder="1" applyAlignment="1">
      <alignment horizontal="left" vertical="center"/>
    </xf>
    <xf numFmtId="2" fontId="2" fillId="57" borderId="15" xfId="0" applyNumberFormat="1" applyFont="1" applyFill="1" applyBorder="1" applyAlignment="1">
      <alignment horizontal="center" vertical="center"/>
    </xf>
    <xf numFmtId="0" fontId="2" fillId="57" borderId="15" xfId="0" applyFont="1" applyFill="1" applyBorder="1" applyAlignment="1">
      <alignment horizontal="center" vertical="center"/>
    </xf>
    <xf numFmtId="0" fontId="2" fillId="57" borderId="16" xfId="0" applyFont="1" applyFill="1" applyBorder="1" applyAlignment="1">
      <alignment horizontal="center" vertical="center"/>
    </xf>
    <xf numFmtId="0" fontId="2" fillId="0" borderId="0" xfId="0" applyFont="1" applyAlignment="1">
      <alignment horizontal="center"/>
    </xf>
    <xf numFmtId="0" fontId="8" fillId="15" borderId="0" xfId="0" applyFont="1" applyFill="1"/>
    <xf numFmtId="0" fontId="0" fillId="0" borderId="0" xfId="0"/>
    <xf numFmtId="0" fontId="15" fillId="14" borderId="0" xfId="0" applyFont="1" applyFill="1" applyAlignment="1">
      <alignment horizontal="center"/>
    </xf>
    <xf numFmtId="0" fontId="13" fillId="0" borderId="0" xfId="0" applyFont="1" applyAlignment="1">
      <alignment horizontal="center"/>
    </xf>
    <xf numFmtId="0" fontId="7" fillId="0" borderId="0" xfId="0" applyFont="1"/>
    <xf numFmtId="0" fontId="8" fillId="8" borderId="0" xfId="0" applyFont="1" applyFill="1"/>
    <xf numFmtId="0" fontId="7" fillId="23" borderId="0" xfId="0" applyFont="1" applyFill="1"/>
    <xf numFmtId="0" fontId="8" fillId="16" borderId="0" xfId="0" applyFont="1" applyFill="1"/>
    <xf numFmtId="0" fontId="11" fillId="0" borderId="0" xfId="0" applyFont="1"/>
    <xf numFmtId="0" fontId="7" fillId="7" borderId="0" xfId="0" applyFont="1" applyFill="1"/>
    <xf numFmtId="0" fontId="8" fillId="14" borderId="0" xfId="0" applyFont="1" applyFill="1"/>
    <xf numFmtId="0" fontId="7" fillId="25" borderId="0" xfId="0" applyFont="1" applyFill="1"/>
    <xf numFmtId="0" fontId="8" fillId="26" borderId="0" xfId="0" applyFont="1" applyFill="1"/>
    <xf numFmtId="0" fontId="7" fillId="5" borderId="0" xfId="0" applyFont="1" applyFill="1"/>
    <xf numFmtId="0" fontId="16" fillId="0" borderId="0" xfId="0" applyFont="1"/>
    <xf numFmtId="0" fontId="7" fillId="27" borderId="0" xfId="0" applyFont="1" applyFill="1"/>
    <xf numFmtId="0" fontId="10" fillId="0" borderId="0" xfId="0" applyFont="1"/>
    <xf numFmtId="0" fontId="17" fillId="0" borderId="0" xfId="0" applyFont="1"/>
    <xf numFmtId="0" fontId="9" fillId="16" borderId="0" xfId="0" applyFont="1" applyFill="1"/>
    <xf numFmtId="0" fontId="18" fillId="0" borderId="0" xfId="0" applyFont="1"/>
    <xf numFmtId="0" fontId="4" fillId="15" borderId="0" xfId="0" applyFont="1" applyFill="1" applyAlignment="1">
      <alignment horizontal="left" vertical="center" wrapText="1"/>
    </xf>
    <xf numFmtId="0" fontId="4" fillId="15" borderId="0" xfId="0" applyFont="1" applyFill="1" applyAlignment="1">
      <alignment horizontal="center" vertical="center" wrapText="1"/>
    </xf>
    <xf numFmtId="0" fontId="31" fillId="14" borderId="0" xfId="0" applyFont="1" applyFill="1" applyAlignment="1">
      <alignment horizontal="left" vertical="center"/>
    </xf>
    <xf numFmtId="0" fontId="31" fillId="14" borderId="0" xfId="0" applyFont="1" applyFill="1" applyAlignment="1">
      <alignment horizontal="center" vertical="center"/>
    </xf>
    <xf numFmtId="0" fontId="32" fillId="15" borderId="0" xfId="0" applyFont="1" applyFill="1" applyAlignment="1">
      <alignment horizontal="left" vertical="center"/>
    </xf>
    <xf numFmtId="0" fontId="32" fillId="15" borderId="0" xfId="0" applyFont="1" applyFill="1" applyAlignment="1">
      <alignment horizontal="center" vertical="center"/>
    </xf>
    <xf numFmtId="0" fontId="4" fillId="15" borderId="0" xfId="0" applyFont="1" applyFill="1" applyAlignment="1">
      <alignment horizontal="left" vertical="center"/>
    </xf>
    <xf numFmtId="0" fontId="4" fillId="15" borderId="0" xfId="0" applyFont="1" applyFill="1" applyAlignment="1">
      <alignment horizontal="center" vertical="center"/>
    </xf>
    <xf numFmtId="0" fontId="2" fillId="0" borderId="0" xfId="0" applyFont="1" applyAlignment="1">
      <alignment horizontal="left" vertical="top" wrapText="1"/>
    </xf>
    <xf numFmtId="0" fontId="2" fillId="0" borderId="0" xfId="0" applyFont="1" applyAlignment="1">
      <alignment horizontal="center" vertical="top" wrapText="1"/>
    </xf>
    <xf numFmtId="0" fontId="2" fillId="0" borderId="0" xfId="0" applyFont="1" applyAlignment="1">
      <alignment vertical="top" wrapText="1"/>
    </xf>
    <xf numFmtId="0" fontId="3" fillId="18" borderId="0" xfId="0" applyFont="1" applyFill="1" applyAlignment="1">
      <alignment horizontal="left" vertical="top" wrapText="1"/>
    </xf>
    <xf numFmtId="0" fontId="3" fillId="18" borderId="0" xfId="0" applyFont="1" applyFill="1" applyAlignment="1">
      <alignment horizontal="center" vertical="top" wrapText="1"/>
    </xf>
    <xf numFmtId="0" fontId="3" fillId="18" borderId="0" xfId="0" applyFont="1" applyFill="1" applyAlignment="1">
      <alignment vertical="top" wrapText="1"/>
    </xf>
    <xf numFmtId="0" fontId="6" fillId="14" borderId="0" xfId="0" applyFont="1" applyFill="1" applyAlignment="1">
      <alignment horizontal="left" vertical="center"/>
    </xf>
    <xf numFmtId="0" fontId="6" fillId="14" borderId="0" xfId="0" applyFont="1" applyFill="1" applyAlignment="1">
      <alignment horizontal="center" vertical="center"/>
    </xf>
    <xf numFmtId="0" fontId="6" fillId="14" borderId="0" xfId="0" applyFont="1" applyFill="1" applyAlignment="1">
      <alignment vertical="center"/>
    </xf>
    <xf numFmtId="0" fontId="37" fillId="14" borderId="0" xfId="0" applyFont="1" applyFill="1" applyAlignment="1">
      <alignment horizontal="left" vertical="center"/>
    </xf>
    <xf numFmtId="0" fontId="37" fillId="14" borderId="0" xfId="0" applyFont="1" applyFill="1" applyAlignment="1">
      <alignment horizontal="center" vertical="center"/>
    </xf>
    <xf numFmtId="0" fontId="37" fillId="14" borderId="0" xfId="0" applyFont="1" applyFill="1" applyAlignment="1">
      <alignment vertical="center"/>
    </xf>
    <xf numFmtId="0" fontId="38" fillId="49" borderId="0" xfId="0" applyFont="1" applyFill="1" applyAlignment="1">
      <alignment horizontal="left" vertical="center"/>
    </xf>
    <xf numFmtId="0" fontId="3" fillId="49" borderId="0" xfId="0" applyFont="1" applyFill="1" applyAlignment="1">
      <alignment horizontal="center" vertical="center"/>
    </xf>
    <xf numFmtId="0" fontId="3" fillId="49" borderId="0" xfId="0" applyFont="1" applyFill="1" applyAlignment="1">
      <alignment horizontal="left" vertical="center"/>
    </xf>
    <xf numFmtId="0" fontId="5" fillId="3" borderId="0" xfId="0" applyFont="1" applyFill="1"/>
    <xf numFmtId="0" fontId="1" fillId="0" borderId="0" xfId="0" applyFont="1" applyAlignment="1">
      <alignment horizontal="center"/>
    </xf>
    <xf numFmtId="0" fontId="3" fillId="0" borderId="0" xfId="0" applyFont="1" applyAlignment="1">
      <alignment horizontal="center"/>
    </xf>
    <xf numFmtId="0" fontId="4" fillId="2" borderId="0" xfId="0" applyFont="1" applyFill="1"/>
    <xf numFmtId="0" fontId="5" fillId="7" borderId="0" xfId="0" applyFont="1" applyFill="1"/>
    <xf numFmtId="0" fontId="6" fillId="4" borderId="0" xfId="0" applyFont="1" applyFill="1"/>
    <xf numFmtId="0" fontId="5" fillId="5" borderId="0" xfId="0" applyFont="1" applyFill="1"/>
    <xf numFmtId="0" fontId="6" fillId="6" borderId="0" xfId="0" applyFont="1" applyFill="1"/>
    <xf numFmtId="0" fontId="5" fillId="11" borderId="0" xfId="0" applyFont="1" applyFill="1"/>
    <xf numFmtId="0" fontId="6" fillId="8" borderId="0" xfId="0" applyFont="1" applyFill="1"/>
    <xf numFmtId="0" fontId="5" fillId="9" borderId="0" xfId="0" applyFont="1" applyFill="1"/>
    <xf numFmtId="0" fontId="6" fillId="10" borderId="0" xfId="0" applyFont="1" applyFill="1"/>
    <xf numFmtId="0" fontId="3" fillId="0" borderId="0" xfId="0" applyFont="1"/>
    <xf numFmtId="0" fontId="6" fillId="12" borderId="0" xfId="0" applyFont="1" applyFill="1"/>
    <xf numFmtId="0" fontId="5" fillId="13" borderId="0" xfId="0" applyFont="1" applyFill="1"/>
    <xf numFmtId="0" fontId="2" fillId="0" borderId="0" xfId="0" applyFont="1"/>
    <xf numFmtId="0" fontId="5" fillId="20" borderId="0" xfId="0" applyFont="1" applyFill="1"/>
    <xf numFmtId="0" fontId="5" fillId="0" borderId="0" xfId="0" applyFont="1"/>
    <xf numFmtId="0" fontId="12" fillId="4" borderId="0" xfId="0" applyFont="1" applyFill="1"/>
    <xf numFmtId="0" fontId="4" fillId="16" borderId="0" xfId="0" applyFont="1" applyFill="1"/>
    <xf numFmtId="0" fontId="5" fillId="21" borderId="0" xfId="0" applyFont="1" applyFill="1"/>
    <xf numFmtId="0" fontId="4" fillId="8" borderId="0" xfId="0" applyFont="1" applyFill="1"/>
    <xf numFmtId="0" fontId="4" fillId="22" borderId="0" xfId="0" applyFont="1" applyFill="1"/>
    <xf numFmtId="0" fontId="14" fillId="0" borderId="0" xfId="0" applyFont="1"/>
    <xf numFmtId="0" fontId="22" fillId="28" borderId="0" xfId="0" applyFont="1" applyFill="1"/>
    <xf numFmtId="0" fontId="24" fillId="7" borderId="0" xfId="0" applyFont="1" applyFill="1"/>
    <xf numFmtId="0" fontId="19" fillId="0" borderId="0" xfId="0" applyFont="1" applyAlignment="1">
      <alignment horizontal="center"/>
    </xf>
    <xf numFmtId="0" fontId="21" fillId="0" borderId="0" xfId="0" applyFont="1" applyAlignment="1">
      <alignment horizontal="center"/>
    </xf>
    <xf numFmtId="0" fontId="15" fillId="14" borderId="0" xfId="0" applyFont="1" applyFill="1" applyAlignment="1">
      <alignment horizontal="left"/>
    </xf>
    <xf numFmtId="0" fontId="9" fillId="48" borderId="0" xfId="0" applyFont="1" applyFill="1" applyAlignment="1">
      <alignment horizontal="left"/>
    </xf>
    <xf numFmtId="0" fontId="9" fillId="2" borderId="0" xfId="0" applyFont="1" applyFill="1"/>
    <xf numFmtId="0" fontId="29" fillId="19" borderId="0" xfId="0" applyFont="1" applyFill="1"/>
    <xf numFmtId="0" fontId="19" fillId="17" borderId="0" xfId="0" applyFont="1" applyFill="1"/>
    <xf numFmtId="0" fontId="28" fillId="0" borderId="0" xfId="0" applyFont="1"/>
    <xf numFmtId="0" fontId="14" fillId="36" borderId="0" xfId="0" applyFont="1" applyFill="1" applyAlignment="1">
      <alignment horizontal="left"/>
    </xf>
    <xf numFmtId="0" fontId="0" fillId="0" borderId="0" xfId="0" applyAlignment="1">
      <alignment horizontal="left"/>
    </xf>
    <xf numFmtId="0" fontId="7" fillId="31" borderId="0" xfId="0" applyFont="1" applyFill="1" applyAlignment="1">
      <alignment horizontal="left"/>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27" formatCode="m/d/yyyy\ h:mm"/>
    </dxf>
    <dxf>
      <numFmt numFmtId="27" formatCode="m/d/yyyy\ h:mm"/>
    </dxf>
  </dxfs>
  <tableStyles count="1" defaultTableStyle="TableStyleMedium2" defaultPivotStyle="PivotStyleLight16">
    <tableStyle name="Invisible" pivot="0" table="0" count="0" xr9:uid="{D7B5179E-2BAD-4C68-AFC0-1F478DC8098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23/09/relationships/Python" Target="python.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Répartition par Sexe (Population totale)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4C-4F6B-AA16-DB889DBDD8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4C-4F6B-AA16-DB889DBDD8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Rapport_Complet!$A$17:$A$18</c:f>
              <c:strCache>
                <c:ptCount val="2"/>
                <c:pt idx="0">
                  <c:v>Femme</c:v>
                </c:pt>
                <c:pt idx="1">
                  <c:v>Homme</c:v>
                </c:pt>
              </c:strCache>
            </c:strRef>
          </c:cat>
          <c:val>
            <c:numRef>
              <c:f>Rapport_Complet!$B$17:$B$18</c:f>
              <c:numCache>
                <c:formatCode>General</c:formatCode>
                <c:ptCount val="2"/>
                <c:pt idx="0">
                  <c:v>74</c:v>
                </c:pt>
                <c:pt idx="1">
                  <c:v>56</c:v>
                </c:pt>
              </c:numCache>
            </c:numRef>
          </c:val>
          <c:extLst>
            <c:ext xmlns:c16="http://schemas.microsoft.com/office/drawing/2014/chart" uri="{C3380CC4-5D6E-409C-BE32-E72D297353CC}">
              <c16:uniqueId val="{00000000-3B9C-41E5-91C8-2ABB2D19445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Catégorie de la dermatose (Population totale)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3"/>
              <c:layout>
                <c:manualLayout>
                  <c:x val="5.3571432337698142E-3"/>
                  <c:y val="-9.717250165840846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BD-40C3-B88D-8B8A601B62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Rapport_Complet!$A$47:$A$50</c:f>
              <c:strCache>
                <c:ptCount val="4"/>
                <c:pt idx="0">
                  <c:v>Toxidermie</c:v>
                </c:pt>
                <c:pt idx="1">
                  <c:v>Auto-immune</c:v>
                </c:pt>
                <c:pt idx="2">
                  <c:v>Infectieuse</c:v>
                </c:pt>
                <c:pt idx="3">
                  <c:v>Immunoallergique</c:v>
                </c:pt>
              </c:strCache>
            </c:strRef>
          </c:cat>
          <c:val>
            <c:numRef>
              <c:f>Rapport_Complet!$C$47:$C$50</c:f>
              <c:numCache>
                <c:formatCode>0.00</c:formatCode>
                <c:ptCount val="4"/>
                <c:pt idx="0">
                  <c:v>57.692307692307686</c:v>
                </c:pt>
                <c:pt idx="1">
                  <c:v>23.846153846153847</c:v>
                </c:pt>
                <c:pt idx="2">
                  <c:v>14.615384615384617</c:v>
                </c:pt>
                <c:pt idx="3">
                  <c:v>3.8461538461538463</c:v>
                </c:pt>
              </c:numCache>
            </c:numRef>
          </c:val>
          <c:extLst>
            <c:ext xmlns:c16="http://schemas.microsoft.com/office/drawing/2014/chart" uri="{C3380CC4-5D6E-409C-BE32-E72D297353CC}">
              <c16:uniqueId val="{00000000-BDBD-40C3-B88D-8B8A601B62F1}"/>
            </c:ext>
          </c:extLst>
        </c:ser>
        <c:dLbls>
          <c:dLblPos val="ctr"/>
          <c:showLegendKey val="0"/>
          <c:showVal val="1"/>
          <c:showCatName val="0"/>
          <c:showSerName val="0"/>
          <c:showPercent val="0"/>
          <c:showBubbleSize val="0"/>
        </c:dLbls>
        <c:gapWidth val="219"/>
        <c:overlap val="-27"/>
        <c:axId val="520249727"/>
        <c:axId val="520246847"/>
      </c:barChart>
      <c:catAx>
        <c:axId val="52024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46847"/>
        <c:crosses val="autoZero"/>
        <c:auto val="1"/>
        <c:lblAlgn val="ctr"/>
        <c:lblOffset val="100"/>
        <c:noMultiLvlLbl val="0"/>
      </c:catAx>
      <c:valAx>
        <c:axId val="520246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4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Notion de prise médicamenteuse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2E-4419-B143-681A64F214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2E-4419-B143-681A64F214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Rapport_Complet!$A$22:$A$23</c:f>
              <c:strCache>
                <c:ptCount val="2"/>
                <c:pt idx="0">
                  <c:v>Oui</c:v>
                </c:pt>
                <c:pt idx="1">
                  <c:v>Non</c:v>
                </c:pt>
              </c:strCache>
            </c:strRef>
          </c:cat>
          <c:val>
            <c:numRef>
              <c:f>Rapport_Complet!$C$22:$C$23</c:f>
              <c:numCache>
                <c:formatCode>0.00</c:formatCode>
                <c:ptCount val="2"/>
                <c:pt idx="0">
                  <c:v>52.307692307692314</c:v>
                </c:pt>
                <c:pt idx="1">
                  <c:v>47.692307692307693</c:v>
                </c:pt>
              </c:numCache>
            </c:numRef>
          </c:val>
          <c:extLst>
            <c:ext xmlns:c16="http://schemas.microsoft.com/office/drawing/2014/chart" uri="{C3380CC4-5D6E-409C-BE32-E72D297353CC}">
              <c16:uniqueId val="{00000000-779C-418E-8108-E6082BB661B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Type d'atteinte (Population totale)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2"/>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2-0C85-4CCC-885A-68848AFA4B5D}"/>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Rapport_Complet!$A$27:$A$29</c:f>
              <c:strCache>
                <c:ptCount val="3"/>
                <c:pt idx="0">
                  <c:v>Cutanée seule</c:v>
                </c:pt>
                <c:pt idx="1">
                  <c:v>Cutanée et muqueuse</c:v>
                </c:pt>
                <c:pt idx="2">
                  <c:v>Muqueuse seule</c:v>
                </c:pt>
              </c:strCache>
            </c:strRef>
          </c:cat>
          <c:val>
            <c:numRef>
              <c:f>Rapport_Complet!$C$27:$C$29</c:f>
              <c:numCache>
                <c:formatCode>0.00</c:formatCode>
                <c:ptCount val="3"/>
                <c:pt idx="0">
                  <c:v>51.538461538461533</c:v>
                </c:pt>
                <c:pt idx="1">
                  <c:v>46.153846153846153</c:v>
                </c:pt>
                <c:pt idx="2">
                  <c:v>2.3076923076923079</c:v>
                </c:pt>
              </c:numCache>
            </c:numRef>
          </c:val>
          <c:extLst>
            <c:ext xmlns:c16="http://schemas.microsoft.com/office/drawing/2014/chart" uri="{C3380CC4-5D6E-409C-BE32-E72D297353CC}">
              <c16:uniqueId val="{00000000-0C85-4CCC-885A-68848AFA4B5D}"/>
            </c:ext>
          </c:extLst>
        </c:ser>
        <c:dLbls>
          <c:dLblPos val="ctr"/>
          <c:showLegendKey val="0"/>
          <c:showVal val="1"/>
          <c:showCatName val="0"/>
          <c:showSerName val="0"/>
          <c:showPercent val="0"/>
          <c:showBubbleSize val="0"/>
        </c:dLbls>
        <c:gapWidth val="219"/>
        <c:overlap val="-27"/>
        <c:axId val="520242527"/>
        <c:axId val="520257407"/>
      </c:barChart>
      <c:catAx>
        <c:axId val="52024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20257407"/>
        <c:crosses val="autoZero"/>
        <c:auto val="1"/>
        <c:lblAlgn val="ctr"/>
        <c:lblOffset val="100"/>
        <c:noMultiLvlLbl val="0"/>
      </c:catAx>
      <c:valAx>
        <c:axId val="520257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2024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Répartition par tranche d'âge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99-4EDE-83D6-779B5E4A6B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99-4EDE-83D6-779B5E4A6B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99-4EDE-83D6-779B5E4A6B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Rapport_Complet!$A$89:$A$91</c:f>
              <c:strCache>
                <c:ptCount val="3"/>
                <c:pt idx="0">
                  <c:v>0-18 ans</c:v>
                </c:pt>
                <c:pt idx="1">
                  <c:v>19-59 ans</c:v>
                </c:pt>
                <c:pt idx="2">
                  <c:v>60 ans et plus</c:v>
                </c:pt>
              </c:strCache>
            </c:strRef>
          </c:cat>
          <c:val>
            <c:numRef>
              <c:f>Rapport_Complet!$C$89:$C$91</c:f>
              <c:numCache>
                <c:formatCode>0.00</c:formatCode>
                <c:ptCount val="3"/>
                <c:pt idx="0">
                  <c:v>33.076923076923073</c:v>
                </c:pt>
                <c:pt idx="1">
                  <c:v>44.61538461538462</c:v>
                </c:pt>
                <c:pt idx="2">
                  <c:v>22.30769230769231</c:v>
                </c:pt>
              </c:numCache>
            </c:numRef>
          </c:val>
          <c:extLst>
            <c:ext xmlns:c16="http://schemas.microsoft.com/office/drawing/2014/chart" uri="{C3380CC4-5D6E-409C-BE32-E72D297353CC}">
              <c16:uniqueId val="{00000000-7A64-4BC0-881F-C9793A50194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Types de Toxidermie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Rapport_Complet!$A$71:$A$75</c:f>
              <c:strCache>
                <c:ptCount val="5"/>
                <c:pt idx="0">
                  <c:v>EPF Bulleux</c:v>
                </c:pt>
                <c:pt idx="1">
                  <c:v>Syndrome de Stevens Johnson</c:v>
                </c:pt>
                <c:pt idx="2">
                  <c:v>Syndrome de Lyell</c:v>
                </c:pt>
                <c:pt idx="3">
                  <c:v>Syndrome de chevauchement</c:v>
                </c:pt>
                <c:pt idx="4">
                  <c:v>Autre à préciser...</c:v>
                </c:pt>
              </c:strCache>
            </c:strRef>
          </c:cat>
          <c:val>
            <c:numRef>
              <c:f>Rapport_Complet!$B$71:$B$75</c:f>
              <c:numCache>
                <c:formatCode>General</c:formatCode>
                <c:ptCount val="5"/>
                <c:pt idx="0">
                  <c:v>25</c:v>
                </c:pt>
                <c:pt idx="1">
                  <c:v>20</c:v>
                </c:pt>
                <c:pt idx="2">
                  <c:v>15</c:v>
                </c:pt>
                <c:pt idx="3">
                  <c:v>8</c:v>
                </c:pt>
                <c:pt idx="4">
                  <c:v>7</c:v>
                </c:pt>
              </c:numCache>
            </c:numRef>
          </c:val>
          <c:extLst>
            <c:ext xmlns:c16="http://schemas.microsoft.com/office/drawing/2014/chart" uri="{C3380CC4-5D6E-409C-BE32-E72D297353CC}">
              <c16:uniqueId val="{00000000-04F7-43AA-A156-C3FC234A89F7}"/>
            </c:ext>
          </c:extLst>
        </c:ser>
        <c:dLbls>
          <c:showLegendKey val="0"/>
          <c:showVal val="0"/>
          <c:showCatName val="0"/>
          <c:showSerName val="0"/>
          <c:showPercent val="0"/>
          <c:showBubbleSize val="0"/>
        </c:dLbls>
        <c:gapWidth val="219"/>
        <c:overlap val="-27"/>
        <c:axId val="520260767"/>
        <c:axId val="520270847"/>
      </c:barChart>
      <c:catAx>
        <c:axId val="52026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70847"/>
        <c:crosses val="autoZero"/>
        <c:auto val="1"/>
        <c:lblAlgn val="ctr"/>
        <c:lblOffset val="100"/>
        <c:noMultiLvlLbl val="0"/>
      </c:catAx>
      <c:valAx>
        <c:axId val="52027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6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Types de Dermatose Auto-immune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Rapport_Complet!$A$54:$A$60</c:f>
              <c:strCache>
                <c:ptCount val="7"/>
                <c:pt idx="0">
                  <c:v>Pemphigoïde bulleuse</c:v>
                </c:pt>
                <c:pt idx="1">
                  <c:v>Pemphigus vulgaire</c:v>
                </c:pt>
                <c:pt idx="2">
                  <c:v>Pemphigus paranéoplasique</c:v>
                </c:pt>
                <c:pt idx="3">
                  <c:v>Dermatose à IgA linéaire</c:v>
                </c:pt>
                <c:pt idx="4">
                  <c:v>Épidermolyse bulleuse acquise</c:v>
                </c:pt>
                <c:pt idx="5">
                  <c:v>Dermatite herpétiforme</c:v>
                </c:pt>
                <c:pt idx="6">
                  <c:v>Autre à préciser...</c:v>
                </c:pt>
              </c:strCache>
            </c:strRef>
          </c:cat>
          <c:val>
            <c:numRef>
              <c:f>Rapport_Complet!$C$54:$C$60</c:f>
              <c:numCache>
                <c:formatCode>0.00</c:formatCode>
                <c:ptCount val="7"/>
                <c:pt idx="0">
                  <c:v>11.538461538461538</c:v>
                </c:pt>
                <c:pt idx="1">
                  <c:v>5.384615384615385</c:v>
                </c:pt>
                <c:pt idx="2">
                  <c:v>2.3076923076923079</c:v>
                </c:pt>
                <c:pt idx="3">
                  <c:v>0.76923076923076927</c:v>
                </c:pt>
                <c:pt idx="4">
                  <c:v>0.76923076923076927</c:v>
                </c:pt>
                <c:pt idx="5">
                  <c:v>0.76923076923076927</c:v>
                </c:pt>
                <c:pt idx="6">
                  <c:v>2.3076923076923079</c:v>
                </c:pt>
              </c:numCache>
            </c:numRef>
          </c:val>
          <c:extLst>
            <c:ext xmlns:c16="http://schemas.microsoft.com/office/drawing/2014/chart" uri="{C3380CC4-5D6E-409C-BE32-E72D297353CC}">
              <c16:uniqueId val="{00000000-7F0A-4329-BB55-95E9E6ED680A}"/>
            </c:ext>
          </c:extLst>
        </c:ser>
        <c:dLbls>
          <c:dLblPos val="outEnd"/>
          <c:showLegendKey val="0"/>
          <c:showVal val="1"/>
          <c:showCatName val="0"/>
          <c:showSerName val="0"/>
          <c:showPercent val="0"/>
          <c:showBubbleSize val="0"/>
        </c:dLbls>
        <c:gapWidth val="219"/>
        <c:overlap val="-27"/>
        <c:axId val="520268927"/>
        <c:axId val="520269407"/>
      </c:barChart>
      <c:catAx>
        <c:axId val="52026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69407"/>
        <c:crosses val="autoZero"/>
        <c:auto val="1"/>
        <c:lblAlgn val="ctr"/>
        <c:lblOffset val="100"/>
        <c:noMultiLvlLbl val="0"/>
      </c:catAx>
      <c:valAx>
        <c:axId val="52026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6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Types de Dermatose Infectieuse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Rapport_Complet!$A$64:$A$67</c:f>
              <c:strCache>
                <c:ptCount val="4"/>
                <c:pt idx="0">
                  <c:v>Impétigo bulleux</c:v>
                </c:pt>
                <c:pt idx="1">
                  <c:v>Épidermolyse staphylococcique</c:v>
                </c:pt>
                <c:pt idx="2">
                  <c:v>DHBANN</c:v>
                </c:pt>
                <c:pt idx="3">
                  <c:v>Autre à préciser...</c:v>
                </c:pt>
              </c:strCache>
            </c:strRef>
          </c:cat>
          <c:val>
            <c:numRef>
              <c:f>Rapport_Complet!$C$64:$C$67</c:f>
              <c:numCache>
                <c:formatCode>0.00</c:formatCode>
                <c:ptCount val="4"/>
                <c:pt idx="0">
                  <c:v>7.6923076923076925</c:v>
                </c:pt>
                <c:pt idx="1">
                  <c:v>2.3076923076923079</c:v>
                </c:pt>
                <c:pt idx="2">
                  <c:v>1.5384615384615385</c:v>
                </c:pt>
                <c:pt idx="3">
                  <c:v>3.0769230769230771</c:v>
                </c:pt>
              </c:numCache>
            </c:numRef>
          </c:val>
          <c:extLst>
            <c:ext xmlns:c16="http://schemas.microsoft.com/office/drawing/2014/chart" uri="{C3380CC4-5D6E-409C-BE32-E72D297353CC}">
              <c16:uniqueId val="{00000000-93AE-45EC-BEA3-E753D474D81B}"/>
            </c:ext>
          </c:extLst>
        </c:ser>
        <c:dLbls>
          <c:dLblPos val="ctr"/>
          <c:showLegendKey val="0"/>
          <c:showVal val="1"/>
          <c:showCatName val="0"/>
          <c:showSerName val="0"/>
          <c:showPercent val="0"/>
          <c:showBubbleSize val="0"/>
        </c:dLbls>
        <c:gapWidth val="219"/>
        <c:overlap val="-27"/>
        <c:axId val="520266047"/>
        <c:axId val="520266527"/>
      </c:barChart>
      <c:catAx>
        <c:axId val="52026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66527"/>
        <c:crosses val="autoZero"/>
        <c:auto val="1"/>
        <c:lblAlgn val="ctr"/>
        <c:lblOffset val="100"/>
        <c:noMultiLvlLbl val="0"/>
      </c:catAx>
      <c:valAx>
        <c:axId val="520266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6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Sexe (0-18 ans)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CF-44DE-8FE6-15731CB1C9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CF-44DE-8FE6-15731CB1C9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Rapport_Complet!$A$101:$A$102</c:f>
              <c:strCache>
                <c:ptCount val="2"/>
                <c:pt idx="0">
                  <c:v>Femme</c:v>
                </c:pt>
                <c:pt idx="1">
                  <c:v>Homme</c:v>
                </c:pt>
              </c:strCache>
            </c:strRef>
          </c:cat>
          <c:val>
            <c:numRef>
              <c:f>Rapport_Complet!$C$101:$C$102</c:f>
              <c:numCache>
                <c:formatCode>0.00</c:formatCode>
                <c:ptCount val="2"/>
                <c:pt idx="0">
                  <c:v>44.186046511627907</c:v>
                </c:pt>
                <c:pt idx="1">
                  <c:v>55.813953488372093</c:v>
                </c:pt>
              </c:numCache>
            </c:numRef>
          </c:val>
          <c:extLst>
            <c:ext xmlns:c16="http://schemas.microsoft.com/office/drawing/2014/chart" uri="{C3380CC4-5D6E-409C-BE32-E72D297353CC}">
              <c16:uniqueId val="{00000000-43F6-4797-9C8B-AE3A02FAC0A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Catégorie de dermatose (0-18 ans)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Rapport_Complet!$A$117:$A$120</c:f>
              <c:strCache>
                <c:ptCount val="4"/>
                <c:pt idx="0">
                  <c:v>Toxidermie</c:v>
                </c:pt>
                <c:pt idx="1">
                  <c:v>Auto-immune</c:v>
                </c:pt>
                <c:pt idx="2">
                  <c:v>Infectieuse</c:v>
                </c:pt>
                <c:pt idx="3">
                  <c:v>Immunoallergique</c:v>
                </c:pt>
              </c:strCache>
            </c:strRef>
          </c:cat>
          <c:val>
            <c:numRef>
              <c:f>Rapport_Complet!$C$117:$C$120</c:f>
              <c:numCache>
                <c:formatCode>0.00</c:formatCode>
                <c:ptCount val="4"/>
                <c:pt idx="0">
                  <c:v>62.790697674418603</c:v>
                </c:pt>
                <c:pt idx="1">
                  <c:v>4.6511627906976747</c:v>
                </c:pt>
                <c:pt idx="2">
                  <c:v>30.232558139534881</c:v>
                </c:pt>
                <c:pt idx="3">
                  <c:v>2.3255813953488373</c:v>
                </c:pt>
              </c:numCache>
            </c:numRef>
          </c:val>
          <c:extLst>
            <c:ext xmlns:c16="http://schemas.microsoft.com/office/drawing/2014/chart" uri="{C3380CC4-5D6E-409C-BE32-E72D297353CC}">
              <c16:uniqueId val="{00000000-326A-4F42-ACE9-A8865AC4D017}"/>
            </c:ext>
          </c:extLst>
        </c:ser>
        <c:dLbls>
          <c:dLblPos val="ctr"/>
          <c:showLegendKey val="0"/>
          <c:showVal val="1"/>
          <c:showCatName val="0"/>
          <c:showSerName val="0"/>
          <c:showPercent val="0"/>
          <c:showBubbleSize val="0"/>
        </c:dLbls>
        <c:gapWidth val="219"/>
        <c:overlap val="-27"/>
        <c:axId val="320037087"/>
        <c:axId val="320020767"/>
      </c:barChart>
      <c:catAx>
        <c:axId val="32003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020767"/>
        <c:crosses val="autoZero"/>
        <c:auto val="1"/>
        <c:lblAlgn val="ctr"/>
        <c:lblOffset val="100"/>
        <c:noMultiLvlLbl val="0"/>
      </c:catAx>
      <c:valAx>
        <c:axId val="32002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03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Sexe (19-60 ans)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5C-456C-BDE3-69C77390DE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5C-456C-BDE3-69C77390DE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Rapport_Complet!$A$129:$A$130</c:f>
              <c:strCache>
                <c:ptCount val="2"/>
                <c:pt idx="0">
                  <c:v>Femme</c:v>
                </c:pt>
                <c:pt idx="1">
                  <c:v>Homme</c:v>
                </c:pt>
              </c:strCache>
            </c:strRef>
          </c:cat>
          <c:val>
            <c:numRef>
              <c:f>Rapport_Complet!$C$129:$C$130</c:f>
              <c:numCache>
                <c:formatCode>0.00</c:formatCode>
                <c:ptCount val="2"/>
                <c:pt idx="0">
                  <c:v>65.517241379310349</c:v>
                </c:pt>
                <c:pt idx="1">
                  <c:v>34.482758620689658</c:v>
                </c:pt>
              </c:numCache>
            </c:numRef>
          </c:val>
          <c:extLst>
            <c:ext xmlns:c16="http://schemas.microsoft.com/office/drawing/2014/chart" uri="{C3380CC4-5D6E-409C-BE32-E72D297353CC}">
              <c16:uniqueId val="{00000000-7311-46F7-A69A-75ADCA305D7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Catégorie de dermatose (19-60 ans)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Rapport_Complet!$A$145:$A$148</c:f>
              <c:strCache>
                <c:ptCount val="4"/>
                <c:pt idx="0">
                  <c:v>Toxidermie</c:v>
                </c:pt>
                <c:pt idx="1">
                  <c:v>Auto-immune</c:v>
                </c:pt>
                <c:pt idx="2">
                  <c:v>Infectieuse</c:v>
                </c:pt>
                <c:pt idx="3">
                  <c:v>Immunoallergique</c:v>
                </c:pt>
              </c:strCache>
            </c:strRef>
          </c:cat>
          <c:val>
            <c:numRef>
              <c:f>Rapport_Complet!$C$145:$C$148</c:f>
              <c:numCache>
                <c:formatCode>0.00</c:formatCode>
                <c:ptCount val="4"/>
                <c:pt idx="0">
                  <c:v>67.241379310344826</c:v>
                </c:pt>
                <c:pt idx="1">
                  <c:v>18.96551724137931</c:v>
                </c:pt>
                <c:pt idx="2">
                  <c:v>6.8965517241379306</c:v>
                </c:pt>
                <c:pt idx="3">
                  <c:v>6.8965517241379306</c:v>
                </c:pt>
              </c:numCache>
            </c:numRef>
          </c:val>
          <c:extLst>
            <c:ext xmlns:c16="http://schemas.microsoft.com/office/drawing/2014/chart" uri="{C3380CC4-5D6E-409C-BE32-E72D297353CC}">
              <c16:uniqueId val="{00000000-6A0B-47EA-9981-A110B58DF95A}"/>
            </c:ext>
          </c:extLst>
        </c:ser>
        <c:dLbls>
          <c:dLblPos val="ctr"/>
          <c:showLegendKey val="0"/>
          <c:showVal val="1"/>
          <c:showCatName val="0"/>
          <c:showSerName val="0"/>
          <c:showPercent val="0"/>
          <c:showBubbleSize val="0"/>
        </c:dLbls>
        <c:gapWidth val="219"/>
        <c:overlap val="-27"/>
        <c:axId val="320039967"/>
        <c:axId val="320040447"/>
      </c:barChart>
      <c:catAx>
        <c:axId val="32003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040447"/>
        <c:crosses val="autoZero"/>
        <c:auto val="1"/>
        <c:lblAlgn val="ctr"/>
        <c:lblOffset val="100"/>
        <c:noMultiLvlLbl val="0"/>
      </c:catAx>
      <c:valAx>
        <c:axId val="320040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03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Sexe (&gt;60 ans)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CE-4B04-8B6E-DB97482923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CE-4B04-8B6E-DB97482923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Rapport_Complet!$A$157:$A$158</c:f>
              <c:strCache>
                <c:ptCount val="2"/>
                <c:pt idx="0">
                  <c:v>Femme</c:v>
                </c:pt>
                <c:pt idx="1">
                  <c:v>Homme</c:v>
                </c:pt>
              </c:strCache>
            </c:strRef>
          </c:cat>
          <c:val>
            <c:numRef>
              <c:f>Rapport_Complet!$C$157:$C$158</c:f>
              <c:numCache>
                <c:formatCode>0.00</c:formatCode>
                <c:ptCount val="2"/>
                <c:pt idx="0">
                  <c:v>58.620689655172406</c:v>
                </c:pt>
                <c:pt idx="1">
                  <c:v>41.379310344827587</c:v>
                </c:pt>
              </c:numCache>
            </c:numRef>
          </c:val>
          <c:extLst>
            <c:ext xmlns:c16="http://schemas.microsoft.com/office/drawing/2014/chart" uri="{C3380CC4-5D6E-409C-BE32-E72D297353CC}">
              <c16:uniqueId val="{00000000-6043-46A9-A3D3-F1B06B19FDB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Catégorie de dermatose (&gt;60 ans)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Rapport_Complet!$A$173:$A$176</c:f>
              <c:strCache>
                <c:ptCount val="4"/>
                <c:pt idx="0">
                  <c:v>Toxidermie</c:v>
                </c:pt>
                <c:pt idx="1">
                  <c:v>Auto-immune</c:v>
                </c:pt>
                <c:pt idx="2">
                  <c:v>Infectieuse</c:v>
                </c:pt>
                <c:pt idx="3">
                  <c:v>Immunoallergique</c:v>
                </c:pt>
              </c:strCache>
            </c:strRef>
          </c:cat>
          <c:val>
            <c:numRef>
              <c:f>Rapport_Complet!$C$173:$C$176</c:f>
              <c:numCache>
                <c:formatCode>0.00</c:formatCode>
                <c:ptCount val="4"/>
                <c:pt idx="0">
                  <c:v>31.03448275862069</c:v>
                </c:pt>
                <c:pt idx="1">
                  <c:v>62.068965517241381</c:v>
                </c:pt>
                <c:pt idx="2">
                  <c:v>6.8965517241379306</c:v>
                </c:pt>
                <c:pt idx="3">
                  <c:v>0</c:v>
                </c:pt>
              </c:numCache>
            </c:numRef>
          </c:val>
          <c:extLst>
            <c:ext xmlns:c16="http://schemas.microsoft.com/office/drawing/2014/chart" uri="{C3380CC4-5D6E-409C-BE32-E72D297353CC}">
              <c16:uniqueId val="{00000000-807C-4932-B991-EAED0F47145C}"/>
            </c:ext>
          </c:extLst>
        </c:ser>
        <c:dLbls>
          <c:dLblPos val="ctr"/>
          <c:showLegendKey val="0"/>
          <c:showVal val="1"/>
          <c:showCatName val="0"/>
          <c:showSerName val="0"/>
          <c:showPercent val="0"/>
          <c:showBubbleSize val="0"/>
        </c:dLbls>
        <c:gapWidth val="219"/>
        <c:overlap val="-27"/>
        <c:axId val="179339631"/>
        <c:axId val="179324271"/>
      </c:barChart>
      <c:catAx>
        <c:axId val="17933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24271"/>
        <c:crosses val="autoZero"/>
        <c:auto val="1"/>
        <c:lblAlgn val="ctr"/>
        <c:lblOffset val="100"/>
        <c:noMultiLvlLbl val="0"/>
      </c:catAx>
      <c:valAx>
        <c:axId val="1793242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3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Répartition par âge (Femmes)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2F-4167-8DC0-612B25ED9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2F-4167-8DC0-612B25ED9D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2F-4167-8DC0-612B25ED9D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Rapport_Complet!$A$187:$A$189</c:f>
              <c:strCache>
                <c:ptCount val="3"/>
                <c:pt idx="0">
                  <c:v>0-18 ans</c:v>
                </c:pt>
                <c:pt idx="1">
                  <c:v>19-59 ans</c:v>
                </c:pt>
                <c:pt idx="2">
                  <c:v>60 ans et plus</c:v>
                </c:pt>
              </c:strCache>
            </c:strRef>
          </c:cat>
          <c:val>
            <c:numRef>
              <c:f>Rapport_Complet!$C$187:$C$189</c:f>
              <c:numCache>
                <c:formatCode>0.00</c:formatCode>
                <c:ptCount val="3"/>
                <c:pt idx="0">
                  <c:v>25.675675675675674</c:v>
                </c:pt>
                <c:pt idx="1">
                  <c:v>51.351351351351347</c:v>
                </c:pt>
                <c:pt idx="2">
                  <c:v>22.972972972972975</c:v>
                </c:pt>
              </c:numCache>
            </c:numRef>
          </c:val>
          <c:extLst>
            <c:ext xmlns:c16="http://schemas.microsoft.com/office/drawing/2014/chart" uri="{C3380CC4-5D6E-409C-BE32-E72D297353CC}">
              <c16:uniqueId val="{00000000-BFEB-463D-8A52-8C03E24FB8C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Catégorie de dermatose (Femmes)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Rapport_Complet!$A$204:$A$207</c:f>
              <c:strCache>
                <c:ptCount val="4"/>
                <c:pt idx="0">
                  <c:v>Toxidermie</c:v>
                </c:pt>
                <c:pt idx="1">
                  <c:v>Auto-immune</c:v>
                </c:pt>
                <c:pt idx="2">
                  <c:v>Infectieuse</c:v>
                </c:pt>
                <c:pt idx="3">
                  <c:v>Immunoallergique</c:v>
                </c:pt>
              </c:strCache>
            </c:strRef>
          </c:cat>
          <c:val>
            <c:numRef>
              <c:f>Rapport_Complet!$C$204:$C$207</c:f>
              <c:numCache>
                <c:formatCode>0.00</c:formatCode>
                <c:ptCount val="4"/>
                <c:pt idx="0">
                  <c:v>58.108108108108105</c:v>
                </c:pt>
                <c:pt idx="1">
                  <c:v>28.378378378378379</c:v>
                </c:pt>
                <c:pt idx="2">
                  <c:v>9.4594594594594597</c:v>
                </c:pt>
                <c:pt idx="3">
                  <c:v>4.0540540540540544</c:v>
                </c:pt>
              </c:numCache>
            </c:numRef>
          </c:val>
          <c:extLst>
            <c:ext xmlns:c16="http://schemas.microsoft.com/office/drawing/2014/chart" uri="{C3380CC4-5D6E-409C-BE32-E72D297353CC}">
              <c16:uniqueId val="{00000000-80D5-41D9-9824-083683A13ED8}"/>
            </c:ext>
          </c:extLst>
        </c:ser>
        <c:dLbls>
          <c:showLegendKey val="0"/>
          <c:showVal val="0"/>
          <c:showCatName val="0"/>
          <c:showSerName val="0"/>
          <c:showPercent val="0"/>
          <c:showBubbleSize val="0"/>
        </c:dLbls>
        <c:gapWidth val="219"/>
        <c:overlap val="-27"/>
        <c:axId val="2114078991"/>
        <c:axId val="2114083311"/>
      </c:barChart>
      <c:catAx>
        <c:axId val="211407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83311"/>
        <c:crosses val="autoZero"/>
        <c:auto val="1"/>
        <c:lblAlgn val="ctr"/>
        <c:lblOffset val="100"/>
        <c:noMultiLvlLbl val="0"/>
      </c:catAx>
      <c:valAx>
        <c:axId val="2114083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7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Répartition par âge (Hommes)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DC-4F2C-B527-88C58E9FCD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DC-4F2C-B527-88C58E9FCD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DC-4F2C-B527-88C58E9FCD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Rapport_Complet!$A$216:$A$218</c:f>
              <c:strCache>
                <c:ptCount val="3"/>
                <c:pt idx="0">
                  <c:v>0-18 ans</c:v>
                </c:pt>
                <c:pt idx="1">
                  <c:v>19-59 ans</c:v>
                </c:pt>
                <c:pt idx="2">
                  <c:v>60 ans et plus</c:v>
                </c:pt>
              </c:strCache>
            </c:strRef>
          </c:cat>
          <c:val>
            <c:numRef>
              <c:f>Rapport_Complet!$C$216:$C$218</c:f>
              <c:numCache>
                <c:formatCode>0.00</c:formatCode>
                <c:ptCount val="3"/>
                <c:pt idx="0">
                  <c:v>42.857142857142854</c:v>
                </c:pt>
                <c:pt idx="1">
                  <c:v>35.714285714285715</c:v>
                </c:pt>
                <c:pt idx="2">
                  <c:v>21.428571428571427</c:v>
                </c:pt>
              </c:numCache>
            </c:numRef>
          </c:val>
          <c:extLst>
            <c:ext xmlns:c16="http://schemas.microsoft.com/office/drawing/2014/chart" uri="{C3380CC4-5D6E-409C-BE32-E72D297353CC}">
              <c16:uniqueId val="{00000000-AB95-4B85-B489-9C82E495596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Catégorie de dermatose (Hommes)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Rapport_Complet!$A$233:$A$236</c:f>
              <c:strCache>
                <c:ptCount val="4"/>
                <c:pt idx="0">
                  <c:v>Toxidermie</c:v>
                </c:pt>
                <c:pt idx="1">
                  <c:v>Auto-immune</c:v>
                </c:pt>
                <c:pt idx="2">
                  <c:v>Infectieuse</c:v>
                </c:pt>
                <c:pt idx="3">
                  <c:v>Immunoallergique</c:v>
                </c:pt>
              </c:strCache>
            </c:strRef>
          </c:cat>
          <c:val>
            <c:numRef>
              <c:f>Rapport_Complet!$C$233:$C$236</c:f>
              <c:numCache>
                <c:formatCode>0.00</c:formatCode>
                <c:ptCount val="4"/>
                <c:pt idx="0">
                  <c:v>57.142857142857139</c:v>
                </c:pt>
                <c:pt idx="1">
                  <c:v>17.857142857142858</c:v>
                </c:pt>
                <c:pt idx="2">
                  <c:v>21.428571428571427</c:v>
                </c:pt>
                <c:pt idx="3">
                  <c:v>3.5714285714285712</c:v>
                </c:pt>
              </c:numCache>
            </c:numRef>
          </c:val>
          <c:extLst>
            <c:ext xmlns:c16="http://schemas.microsoft.com/office/drawing/2014/chart" uri="{C3380CC4-5D6E-409C-BE32-E72D297353CC}">
              <c16:uniqueId val="{00000000-72BB-436F-ABFF-462FF90F6AEE}"/>
            </c:ext>
          </c:extLst>
        </c:ser>
        <c:dLbls>
          <c:dLblPos val="ctr"/>
          <c:showLegendKey val="0"/>
          <c:showVal val="1"/>
          <c:showCatName val="0"/>
          <c:showSerName val="0"/>
          <c:showPercent val="0"/>
          <c:showBubbleSize val="0"/>
        </c:dLbls>
        <c:gapWidth val="219"/>
        <c:overlap val="-27"/>
        <c:axId val="1743771247"/>
        <c:axId val="1743762127"/>
      </c:barChart>
      <c:catAx>
        <c:axId val="174377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62127"/>
        <c:crosses val="autoZero"/>
        <c:auto val="1"/>
        <c:lblAlgn val="ctr"/>
        <c:lblOffset val="100"/>
        <c:noMultiLvlLbl val="0"/>
      </c:catAx>
      <c:valAx>
        <c:axId val="1743762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7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Signes associés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Rapport_Complet!$A$40:$A$43</c:f>
              <c:strCache>
                <c:ptCount val="4"/>
                <c:pt idx="0">
                  <c:v>Prurit</c:v>
                </c:pt>
                <c:pt idx="1">
                  <c:v>Douleur</c:v>
                </c:pt>
                <c:pt idx="2">
                  <c:v>Fièvre</c:v>
                </c:pt>
                <c:pt idx="3">
                  <c:v>Autre</c:v>
                </c:pt>
              </c:strCache>
            </c:strRef>
          </c:cat>
          <c:val>
            <c:numRef>
              <c:f>Rapport_Complet!$C$40:$C$43</c:f>
              <c:numCache>
                <c:formatCode>0.00</c:formatCode>
                <c:ptCount val="4"/>
                <c:pt idx="0">
                  <c:v>54.615384615384613</c:v>
                </c:pt>
                <c:pt idx="1">
                  <c:v>42.307692307692307</c:v>
                </c:pt>
                <c:pt idx="2">
                  <c:v>13.846153846153847</c:v>
                </c:pt>
                <c:pt idx="3">
                  <c:v>19.230769230769234</c:v>
                </c:pt>
              </c:numCache>
            </c:numRef>
          </c:val>
          <c:extLst>
            <c:ext xmlns:c16="http://schemas.microsoft.com/office/drawing/2014/chart" uri="{C3380CC4-5D6E-409C-BE32-E72D297353CC}">
              <c16:uniqueId val="{00000000-22B3-452A-984C-D6AD8269201B}"/>
            </c:ext>
          </c:extLst>
        </c:ser>
        <c:dLbls>
          <c:dLblPos val="ctr"/>
          <c:showLegendKey val="0"/>
          <c:showVal val="1"/>
          <c:showCatName val="0"/>
          <c:showSerName val="0"/>
          <c:showPercent val="0"/>
          <c:showBubbleSize val="0"/>
        </c:dLbls>
        <c:gapWidth val="219"/>
        <c:overlap val="-27"/>
        <c:axId val="1743781327"/>
        <c:axId val="1743781807"/>
      </c:barChart>
      <c:catAx>
        <c:axId val="174378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81807"/>
        <c:crosses val="autoZero"/>
        <c:auto val="1"/>
        <c:lblAlgn val="ctr"/>
        <c:lblOffset val="100"/>
        <c:noMultiLvlLbl val="0"/>
      </c:catAx>
      <c:valAx>
        <c:axId val="1743781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8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Répartition Sexe x Tranche d'âge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Rapport_Complet!$B$241</c:f>
              <c:strCache>
                <c:ptCount val="1"/>
                <c:pt idx="0">
                  <c:v>0-18 ans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Rapport_Complet!$A$242:$A$243</c:f>
              <c:strCache>
                <c:ptCount val="2"/>
                <c:pt idx="0">
                  <c:v>Femme</c:v>
                </c:pt>
                <c:pt idx="1">
                  <c:v>Homme</c:v>
                </c:pt>
              </c:strCache>
            </c:strRef>
          </c:cat>
          <c:val>
            <c:numRef>
              <c:f>Rapport_Complet!$B$242:$B$243</c:f>
              <c:numCache>
                <c:formatCode>General</c:formatCode>
                <c:ptCount val="2"/>
                <c:pt idx="0">
                  <c:v>19</c:v>
                </c:pt>
                <c:pt idx="1">
                  <c:v>24</c:v>
                </c:pt>
              </c:numCache>
            </c:numRef>
          </c:val>
          <c:extLst>
            <c:ext xmlns:c16="http://schemas.microsoft.com/office/drawing/2014/chart" uri="{C3380CC4-5D6E-409C-BE32-E72D297353CC}">
              <c16:uniqueId val="{00000000-EE39-4345-B254-7357D6DD8895}"/>
            </c:ext>
          </c:extLst>
        </c:ser>
        <c:ser>
          <c:idx val="1"/>
          <c:order val="1"/>
          <c:tx>
            <c:strRef>
              <c:f>Rapport_Complet!$C$241</c:f>
              <c:strCache>
                <c:ptCount val="1"/>
                <c:pt idx="0">
                  <c:v>19-59 ans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Rapport_Complet!$A$242:$A$243</c:f>
              <c:strCache>
                <c:ptCount val="2"/>
                <c:pt idx="0">
                  <c:v>Femme</c:v>
                </c:pt>
                <c:pt idx="1">
                  <c:v>Homme</c:v>
                </c:pt>
              </c:strCache>
            </c:strRef>
          </c:cat>
          <c:val>
            <c:numRef>
              <c:f>Rapport_Complet!$C$242:$C$243</c:f>
              <c:numCache>
                <c:formatCode>General</c:formatCode>
                <c:ptCount val="2"/>
                <c:pt idx="0">
                  <c:v>38</c:v>
                </c:pt>
                <c:pt idx="1">
                  <c:v>20</c:v>
                </c:pt>
              </c:numCache>
            </c:numRef>
          </c:val>
          <c:extLst>
            <c:ext xmlns:c16="http://schemas.microsoft.com/office/drawing/2014/chart" uri="{C3380CC4-5D6E-409C-BE32-E72D297353CC}">
              <c16:uniqueId val="{00000001-EE39-4345-B254-7357D6DD8895}"/>
            </c:ext>
          </c:extLst>
        </c:ser>
        <c:ser>
          <c:idx val="2"/>
          <c:order val="2"/>
          <c:tx>
            <c:strRef>
              <c:f>Rapport_Complet!$D$241</c:f>
              <c:strCache>
                <c:ptCount val="1"/>
                <c:pt idx="0">
                  <c:v>60 ans et plus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Rapport_Complet!$A$242:$A$243</c:f>
              <c:strCache>
                <c:ptCount val="2"/>
                <c:pt idx="0">
                  <c:v>Femme</c:v>
                </c:pt>
                <c:pt idx="1">
                  <c:v>Homme</c:v>
                </c:pt>
              </c:strCache>
            </c:strRef>
          </c:cat>
          <c:val>
            <c:numRef>
              <c:f>Rapport_Complet!$D$242:$D$243</c:f>
              <c:numCache>
                <c:formatCode>General</c:formatCode>
                <c:ptCount val="2"/>
                <c:pt idx="0">
                  <c:v>17</c:v>
                </c:pt>
                <c:pt idx="1">
                  <c:v>12</c:v>
                </c:pt>
              </c:numCache>
            </c:numRef>
          </c:val>
          <c:extLst>
            <c:ext xmlns:c16="http://schemas.microsoft.com/office/drawing/2014/chart" uri="{C3380CC4-5D6E-409C-BE32-E72D297353CC}">
              <c16:uniqueId val="{00000002-EE39-4345-B254-7357D6DD8895}"/>
            </c:ext>
          </c:extLst>
        </c:ser>
        <c:dLbls>
          <c:dLblPos val="ctr"/>
          <c:showLegendKey val="0"/>
          <c:showVal val="1"/>
          <c:showCatName val="0"/>
          <c:showSerName val="0"/>
          <c:showPercent val="0"/>
          <c:showBubbleSize val="0"/>
        </c:dLbls>
        <c:gapWidth val="219"/>
        <c:overlap val="-27"/>
        <c:axId val="1743771727"/>
        <c:axId val="1743766927"/>
      </c:barChart>
      <c:catAx>
        <c:axId val="17437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66927"/>
        <c:crosses val="autoZero"/>
        <c:auto val="1"/>
        <c:lblAlgn val="ctr"/>
        <c:lblOffset val="100"/>
        <c:noMultiLvlLbl val="0"/>
      </c:catAx>
      <c:valAx>
        <c:axId val="174376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Catégorie de dermatose par tranche d'âge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Rapport_Complet!$B$248</c:f>
              <c:strCache>
                <c:ptCount val="1"/>
                <c:pt idx="0">
                  <c:v>0-18 ans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Rapport_Complet!$A$249:$A$252</c:f>
              <c:strCache>
                <c:ptCount val="4"/>
                <c:pt idx="0">
                  <c:v>Toxidermie</c:v>
                </c:pt>
                <c:pt idx="1">
                  <c:v>Auto-immune</c:v>
                </c:pt>
                <c:pt idx="2">
                  <c:v>Infectieuse</c:v>
                </c:pt>
                <c:pt idx="3">
                  <c:v>Immunoallergique</c:v>
                </c:pt>
              </c:strCache>
            </c:strRef>
          </c:cat>
          <c:val>
            <c:numRef>
              <c:f>Rapport_Complet!$B$249:$B$252</c:f>
              <c:numCache>
                <c:formatCode>General</c:formatCode>
                <c:ptCount val="4"/>
                <c:pt idx="0">
                  <c:v>27</c:v>
                </c:pt>
                <c:pt idx="1">
                  <c:v>2</c:v>
                </c:pt>
                <c:pt idx="2">
                  <c:v>13</c:v>
                </c:pt>
                <c:pt idx="3">
                  <c:v>1</c:v>
                </c:pt>
              </c:numCache>
            </c:numRef>
          </c:val>
          <c:extLst>
            <c:ext xmlns:c16="http://schemas.microsoft.com/office/drawing/2014/chart" uri="{C3380CC4-5D6E-409C-BE32-E72D297353CC}">
              <c16:uniqueId val="{00000000-D921-48E7-8C8B-88ABFDA9287B}"/>
            </c:ext>
          </c:extLst>
        </c:ser>
        <c:ser>
          <c:idx val="1"/>
          <c:order val="1"/>
          <c:tx>
            <c:strRef>
              <c:f>Rapport_Complet!$C$248</c:f>
              <c:strCache>
                <c:ptCount val="1"/>
                <c:pt idx="0">
                  <c:v>19-59 ans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Rapport_Complet!$A$249:$A$252</c:f>
              <c:strCache>
                <c:ptCount val="4"/>
                <c:pt idx="0">
                  <c:v>Toxidermie</c:v>
                </c:pt>
                <c:pt idx="1">
                  <c:v>Auto-immune</c:v>
                </c:pt>
                <c:pt idx="2">
                  <c:v>Infectieuse</c:v>
                </c:pt>
                <c:pt idx="3">
                  <c:v>Immunoallergique</c:v>
                </c:pt>
              </c:strCache>
            </c:strRef>
          </c:cat>
          <c:val>
            <c:numRef>
              <c:f>Rapport_Complet!$C$249:$C$252</c:f>
              <c:numCache>
                <c:formatCode>General</c:formatCode>
                <c:ptCount val="4"/>
                <c:pt idx="0">
                  <c:v>39</c:v>
                </c:pt>
                <c:pt idx="1">
                  <c:v>11</c:v>
                </c:pt>
                <c:pt idx="2">
                  <c:v>4</c:v>
                </c:pt>
                <c:pt idx="3">
                  <c:v>4</c:v>
                </c:pt>
              </c:numCache>
            </c:numRef>
          </c:val>
          <c:extLst>
            <c:ext xmlns:c16="http://schemas.microsoft.com/office/drawing/2014/chart" uri="{C3380CC4-5D6E-409C-BE32-E72D297353CC}">
              <c16:uniqueId val="{00000001-D921-48E7-8C8B-88ABFDA9287B}"/>
            </c:ext>
          </c:extLst>
        </c:ser>
        <c:ser>
          <c:idx val="2"/>
          <c:order val="2"/>
          <c:tx>
            <c:strRef>
              <c:f>Rapport_Complet!$D$248</c:f>
              <c:strCache>
                <c:ptCount val="1"/>
                <c:pt idx="0">
                  <c:v>60 ans et plus</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4-D921-48E7-8C8B-88ABFDA9287B}"/>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D921-48E7-8C8B-88ABFDA928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Rapport_Complet!$A$249:$A$252</c:f>
              <c:strCache>
                <c:ptCount val="4"/>
                <c:pt idx="0">
                  <c:v>Toxidermie</c:v>
                </c:pt>
                <c:pt idx="1">
                  <c:v>Auto-immune</c:v>
                </c:pt>
                <c:pt idx="2">
                  <c:v>Infectieuse</c:v>
                </c:pt>
                <c:pt idx="3">
                  <c:v>Immunoallergique</c:v>
                </c:pt>
              </c:strCache>
            </c:strRef>
          </c:cat>
          <c:val>
            <c:numRef>
              <c:f>Rapport_Complet!$D$249:$D$252</c:f>
              <c:numCache>
                <c:formatCode>General</c:formatCode>
                <c:ptCount val="4"/>
                <c:pt idx="0">
                  <c:v>9</c:v>
                </c:pt>
                <c:pt idx="1">
                  <c:v>18</c:v>
                </c:pt>
                <c:pt idx="2">
                  <c:v>2</c:v>
                </c:pt>
                <c:pt idx="3">
                  <c:v>0</c:v>
                </c:pt>
              </c:numCache>
            </c:numRef>
          </c:val>
          <c:extLst>
            <c:ext xmlns:c16="http://schemas.microsoft.com/office/drawing/2014/chart" uri="{C3380CC4-5D6E-409C-BE32-E72D297353CC}">
              <c16:uniqueId val="{00000002-D921-48E7-8C8B-88ABFDA9287B}"/>
            </c:ext>
          </c:extLst>
        </c:ser>
        <c:dLbls>
          <c:dLblPos val="ctr"/>
          <c:showLegendKey val="0"/>
          <c:showVal val="1"/>
          <c:showCatName val="0"/>
          <c:showSerName val="0"/>
          <c:showPercent val="0"/>
          <c:showBubbleSize val="0"/>
        </c:dLbls>
        <c:gapWidth val="219"/>
        <c:overlap val="-27"/>
        <c:axId val="1743787567"/>
        <c:axId val="1743788527"/>
      </c:barChart>
      <c:catAx>
        <c:axId val="174378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88527"/>
        <c:crosses val="autoZero"/>
        <c:auto val="1"/>
        <c:lblAlgn val="ctr"/>
        <c:lblOffset val="100"/>
        <c:noMultiLvlLbl val="0"/>
      </c:catAx>
      <c:valAx>
        <c:axId val="174378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8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Forest Plot - Odds Ratios (Toxidermie Sévère)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Analyse_Statistique!$A$199</c:f>
              <c:strCache>
                <c:ptCount val="1"/>
                <c:pt idx="0">
                  <c:v>Prise Médicamenteuse</c:v>
                </c:pt>
              </c:strCache>
            </c:strRef>
          </c:tx>
          <c:spPr>
            <a:solidFill>
              <a:schemeClr val="accent1"/>
            </a:solidFill>
            <a:ln>
              <a:noFill/>
            </a:ln>
            <a:effectLst/>
          </c:spPr>
          <c:invertIfNegative val="0"/>
          <c:cat>
            <c:strRef>
              <c:f>Analyse_Statistique!$B$198</c:f>
              <c:strCache>
                <c:ptCount val="1"/>
                <c:pt idx="0">
                  <c:v>Odds Ratio</c:v>
                </c:pt>
              </c:strCache>
            </c:strRef>
          </c:cat>
          <c:val>
            <c:numRef>
              <c:f>Analyse_Statistique!$B$199</c:f>
              <c:numCache>
                <c:formatCode>General</c:formatCode>
                <c:ptCount val="1"/>
                <c:pt idx="0">
                  <c:v>17.46152693657999</c:v>
                </c:pt>
              </c:numCache>
            </c:numRef>
          </c:val>
          <c:extLst>
            <c:ext xmlns:c16="http://schemas.microsoft.com/office/drawing/2014/chart" uri="{C3380CC4-5D6E-409C-BE32-E72D297353CC}">
              <c16:uniqueId val="{00000000-BD44-4BB0-B8E7-8F02CF681857}"/>
            </c:ext>
          </c:extLst>
        </c:ser>
        <c:ser>
          <c:idx val="1"/>
          <c:order val="1"/>
          <c:tx>
            <c:strRef>
              <c:f>Analyse_Statistique!$A$200</c:f>
              <c:strCache>
                <c:ptCount val="1"/>
                <c:pt idx="0">
                  <c:v>Type Atteinte</c:v>
                </c:pt>
              </c:strCache>
            </c:strRef>
          </c:tx>
          <c:spPr>
            <a:solidFill>
              <a:schemeClr val="accent2"/>
            </a:solidFill>
            <a:ln>
              <a:noFill/>
            </a:ln>
            <a:effectLst/>
          </c:spPr>
          <c:invertIfNegative val="0"/>
          <c:cat>
            <c:strRef>
              <c:f>Analyse_Statistique!$B$198</c:f>
              <c:strCache>
                <c:ptCount val="1"/>
                <c:pt idx="0">
                  <c:v>Odds Ratio</c:v>
                </c:pt>
              </c:strCache>
            </c:strRef>
          </c:cat>
          <c:val>
            <c:numRef>
              <c:f>Analyse_Statistique!$B$200</c:f>
              <c:numCache>
                <c:formatCode>General</c:formatCode>
                <c:ptCount val="1"/>
                <c:pt idx="0">
                  <c:v>1.3634251141321778</c:v>
                </c:pt>
              </c:numCache>
            </c:numRef>
          </c:val>
          <c:extLst>
            <c:ext xmlns:c16="http://schemas.microsoft.com/office/drawing/2014/chart" uri="{C3380CC4-5D6E-409C-BE32-E72D297353CC}">
              <c16:uniqueId val="{00000001-BD44-4BB0-B8E7-8F02CF681857}"/>
            </c:ext>
          </c:extLst>
        </c:ser>
        <c:ser>
          <c:idx val="2"/>
          <c:order val="2"/>
          <c:tx>
            <c:strRef>
              <c:f>Analyse_Statistique!$A$201</c:f>
              <c:strCache>
                <c:ptCount val="1"/>
                <c:pt idx="0">
                  <c:v>Sexe</c:v>
                </c:pt>
              </c:strCache>
            </c:strRef>
          </c:tx>
          <c:spPr>
            <a:solidFill>
              <a:schemeClr val="accent3"/>
            </a:solidFill>
            <a:ln>
              <a:noFill/>
            </a:ln>
            <a:effectLst/>
          </c:spPr>
          <c:invertIfNegative val="0"/>
          <c:cat>
            <c:strRef>
              <c:f>Analyse_Statistique!$B$198</c:f>
              <c:strCache>
                <c:ptCount val="1"/>
                <c:pt idx="0">
                  <c:v>Odds Ratio</c:v>
                </c:pt>
              </c:strCache>
            </c:strRef>
          </c:cat>
          <c:val>
            <c:numRef>
              <c:f>Analyse_Statistique!$B$201</c:f>
              <c:numCache>
                <c:formatCode>General</c:formatCode>
                <c:ptCount val="1"/>
                <c:pt idx="0">
                  <c:v>1.5840739849944818</c:v>
                </c:pt>
              </c:numCache>
            </c:numRef>
          </c:val>
          <c:extLst>
            <c:ext xmlns:c16="http://schemas.microsoft.com/office/drawing/2014/chart" uri="{C3380CC4-5D6E-409C-BE32-E72D297353CC}">
              <c16:uniqueId val="{00000002-BD44-4BB0-B8E7-8F02CF681857}"/>
            </c:ext>
          </c:extLst>
        </c:ser>
        <c:ser>
          <c:idx val="3"/>
          <c:order val="3"/>
          <c:tx>
            <c:strRef>
              <c:f>Analyse_Statistique!$A$202</c:f>
              <c:strCache>
                <c:ptCount val="1"/>
                <c:pt idx="0">
                  <c:v>Surface Corporelle</c:v>
                </c:pt>
              </c:strCache>
            </c:strRef>
          </c:tx>
          <c:spPr>
            <a:solidFill>
              <a:schemeClr val="accent4"/>
            </a:solidFill>
            <a:ln>
              <a:noFill/>
            </a:ln>
            <a:effectLst/>
          </c:spPr>
          <c:invertIfNegative val="0"/>
          <c:cat>
            <c:strRef>
              <c:f>Analyse_Statistique!$B$198</c:f>
              <c:strCache>
                <c:ptCount val="1"/>
                <c:pt idx="0">
                  <c:v>Odds Ratio</c:v>
                </c:pt>
              </c:strCache>
            </c:strRef>
          </c:cat>
          <c:val>
            <c:numRef>
              <c:f>Analyse_Statistique!$B$202</c:f>
              <c:numCache>
                <c:formatCode>General</c:formatCode>
                <c:ptCount val="1"/>
                <c:pt idx="0">
                  <c:v>1.0181629763897937</c:v>
                </c:pt>
              </c:numCache>
            </c:numRef>
          </c:val>
          <c:extLst>
            <c:ext xmlns:c16="http://schemas.microsoft.com/office/drawing/2014/chart" uri="{C3380CC4-5D6E-409C-BE32-E72D297353CC}">
              <c16:uniqueId val="{00000003-BD44-4BB0-B8E7-8F02CF681857}"/>
            </c:ext>
          </c:extLst>
        </c:ser>
        <c:ser>
          <c:idx val="4"/>
          <c:order val="4"/>
          <c:tx>
            <c:strRef>
              <c:f>Analyse_Statistique!$A$203</c:f>
              <c:strCache>
                <c:ptCount val="1"/>
                <c:pt idx="0">
                  <c:v>Âge</c:v>
                </c:pt>
              </c:strCache>
            </c:strRef>
          </c:tx>
          <c:spPr>
            <a:solidFill>
              <a:schemeClr val="accent5"/>
            </a:solidFill>
            <a:ln>
              <a:noFill/>
            </a:ln>
            <a:effectLst/>
          </c:spPr>
          <c:invertIfNegative val="0"/>
          <c:cat>
            <c:strRef>
              <c:f>Analyse_Statistique!$B$198</c:f>
              <c:strCache>
                <c:ptCount val="1"/>
                <c:pt idx="0">
                  <c:v>Odds Ratio</c:v>
                </c:pt>
              </c:strCache>
            </c:strRef>
          </c:cat>
          <c:val>
            <c:numRef>
              <c:f>Analyse_Statistique!$B$203</c:f>
              <c:numCache>
                <c:formatCode>General</c:formatCode>
                <c:ptCount val="1"/>
                <c:pt idx="0">
                  <c:v>0.97530991202833262</c:v>
                </c:pt>
              </c:numCache>
            </c:numRef>
          </c:val>
          <c:extLst>
            <c:ext xmlns:c16="http://schemas.microsoft.com/office/drawing/2014/chart" uri="{C3380CC4-5D6E-409C-BE32-E72D297353CC}">
              <c16:uniqueId val="{00000004-BD44-4BB0-B8E7-8F02CF681857}"/>
            </c:ext>
          </c:extLst>
        </c:ser>
        <c:dLbls>
          <c:showLegendKey val="0"/>
          <c:showVal val="0"/>
          <c:showCatName val="0"/>
          <c:showSerName val="0"/>
          <c:showPercent val="0"/>
          <c:showBubbleSize val="0"/>
        </c:dLbls>
        <c:gapWidth val="182"/>
        <c:axId val="336363023"/>
        <c:axId val="336363983"/>
      </c:barChart>
      <c:catAx>
        <c:axId val="33636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63983"/>
        <c:crosses val="autoZero"/>
        <c:auto val="1"/>
        <c:lblAlgn val="ctr"/>
        <c:lblOffset val="100"/>
        <c:noMultiLvlLbl val="0"/>
      </c:catAx>
      <c:valAx>
        <c:axId val="336363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des Catégories par Tranche d'Âge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Analyse_Statistique!$A$221</c:f>
              <c:strCache>
                <c:ptCount val="1"/>
                <c:pt idx="0">
                  <c:v>Toxidermie</c:v>
                </c:pt>
              </c:strCache>
            </c:strRef>
          </c:tx>
          <c:spPr>
            <a:solidFill>
              <a:schemeClr val="accent1"/>
            </a:solidFill>
            <a:ln>
              <a:noFill/>
            </a:ln>
            <a:effectLst/>
          </c:spPr>
          <c:invertIfNegative val="0"/>
          <c:cat>
            <c:strRef>
              <c:f>Analyse_Statistique!$B$220:$D$220</c:f>
              <c:strCache>
                <c:ptCount val="3"/>
                <c:pt idx="0">
                  <c:v>0-18 ans</c:v>
                </c:pt>
                <c:pt idx="1">
                  <c:v>19-59 ans</c:v>
                </c:pt>
                <c:pt idx="2">
                  <c:v>≥60 ans</c:v>
                </c:pt>
              </c:strCache>
            </c:strRef>
          </c:cat>
          <c:val>
            <c:numRef>
              <c:f>Analyse_Statistique!$B$221:$D$221</c:f>
              <c:numCache>
                <c:formatCode>General</c:formatCode>
                <c:ptCount val="3"/>
                <c:pt idx="0">
                  <c:v>27</c:v>
                </c:pt>
                <c:pt idx="1">
                  <c:v>39</c:v>
                </c:pt>
                <c:pt idx="2">
                  <c:v>9</c:v>
                </c:pt>
              </c:numCache>
            </c:numRef>
          </c:val>
          <c:extLst>
            <c:ext xmlns:c16="http://schemas.microsoft.com/office/drawing/2014/chart" uri="{C3380CC4-5D6E-409C-BE32-E72D297353CC}">
              <c16:uniqueId val="{00000000-9FE6-4DD7-9F56-859934FF6599}"/>
            </c:ext>
          </c:extLst>
        </c:ser>
        <c:ser>
          <c:idx val="1"/>
          <c:order val="1"/>
          <c:tx>
            <c:strRef>
              <c:f>Analyse_Statistique!$A$222</c:f>
              <c:strCache>
                <c:ptCount val="1"/>
                <c:pt idx="0">
                  <c:v>Auto-immune</c:v>
                </c:pt>
              </c:strCache>
            </c:strRef>
          </c:tx>
          <c:spPr>
            <a:solidFill>
              <a:schemeClr val="accent2"/>
            </a:solidFill>
            <a:ln>
              <a:noFill/>
            </a:ln>
            <a:effectLst/>
          </c:spPr>
          <c:invertIfNegative val="0"/>
          <c:cat>
            <c:strRef>
              <c:f>Analyse_Statistique!$B$220:$D$220</c:f>
              <c:strCache>
                <c:ptCount val="3"/>
                <c:pt idx="0">
                  <c:v>0-18 ans</c:v>
                </c:pt>
                <c:pt idx="1">
                  <c:v>19-59 ans</c:v>
                </c:pt>
                <c:pt idx="2">
                  <c:v>≥60 ans</c:v>
                </c:pt>
              </c:strCache>
            </c:strRef>
          </c:cat>
          <c:val>
            <c:numRef>
              <c:f>Analyse_Statistique!$B$222:$D$222</c:f>
              <c:numCache>
                <c:formatCode>General</c:formatCode>
                <c:ptCount val="3"/>
                <c:pt idx="0">
                  <c:v>2</c:v>
                </c:pt>
                <c:pt idx="1">
                  <c:v>11</c:v>
                </c:pt>
                <c:pt idx="2">
                  <c:v>18</c:v>
                </c:pt>
              </c:numCache>
            </c:numRef>
          </c:val>
          <c:extLst>
            <c:ext xmlns:c16="http://schemas.microsoft.com/office/drawing/2014/chart" uri="{C3380CC4-5D6E-409C-BE32-E72D297353CC}">
              <c16:uniqueId val="{00000001-9FE6-4DD7-9F56-859934FF6599}"/>
            </c:ext>
          </c:extLst>
        </c:ser>
        <c:ser>
          <c:idx val="2"/>
          <c:order val="2"/>
          <c:tx>
            <c:strRef>
              <c:f>Analyse_Statistique!$A$223</c:f>
              <c:strCache>
                <c:ptCount val="1"/>
                <c:pt idx="0">
                  <c:v>Infectieuse</c:v>
                </c:pt>
              </c:strCache>
            </c:strRef>
          </c:tx>
          <c:spPr>
            <a:solidFill>
              <a:schemeClr val="accent3"/>
            </a:solidFill>
            <a:ln>
              <a:noFill/>
            </a:ln>
            <a:effectLst/>
          </c:spPr>
          <c:invertIfNegative val="0"/>
          <c:cat>
            <c:strRef>
              <c:f>Analyse_Statistique!$B$220:$D$220</c:f>
              <c:strCache>
                <c:ptCount val="3"/>
                <c:pt idx="0">
                  <c:v>0-18 ans</c:v>
                </c:pt>
                <c:pt idx="1">
                  <c:v>19-59 ans</c:v>
                </c:pt>
                <c:pt idx="2">
                  <c:v>≥60 ans</c:v>
                </c:pt>
              </c:strCache>
            </c:strRef>
          </c:cat>
          <c:val>
            <c:numRef>
              <c:f>Analyse_Statistique!$B$223:$D$223</c:f>
              <c:numCache>
                <c:formatCode>General</c:formatCode>
                <c:ptCount val="3"/>
                <c:pt idx="0">
                  <c:v>13</c:v>
                </c:pt>
                <c:pt idx="1">
                  <c:v>4</c:v>
                </c:pt>
                <c:pt idx="2">
                  <c:v>2</c:v>
                </c:pt>
              </c:numCache>
            </c:numRef>
          </c:val>
          <c:extLst>
            <c:ext xmlns:c16="http://schemas.microsoft.com/office/drawing/2014/chart" uri="{C3380CC4-5D6E-409C-BE32-E72D297353CC}">
              <c16:uniqueId val="{00000002-9FE6-4DD7-9F56-859934FF6599}"/>
            </c:ext>
          </c:extLst>
        </c:ser>
        <c:ser>
          <c:idx val="3"/>
          <c:order val="3"/>
          <c:tx>
            <c:strRef>
              <c:f>Analyse_Statistique!$A$224</c:f>
              <c:strCache>
                <c:ptCount val="1"/>
                <c:pt idx="0">
                  <c:v>Immunoallergique</c:v>
                </c:pt>
              </c:strCache>
            </c:strRef>
          </c:tx>
          <c:spPr>
            <a:solidFill>
              <a:schemeClr val="accent4"/>
            </a:solidFill>
            <a:ln>
              <a:noFill/>
            </a:ln>
            <a:effectLst/>
          </c:spPr>
          <c:invertIfNegative val="0"/>
          <c:cat>
            <c:strRef>
              <c:f>Analyse_Statistique!$B$220:$D$220</c:f>
              <c:strCache>
                <c:ptCount val="3"/>
                <c:pt idx="0">
                  <c:v>0-18 ans</c:v>
                </c:pt>
                <c:pt idx="1">
                  <c:v>19-59 ans</c:v>
                </c:pt>
                <c:pt idx="2">
                  <c:v>≥60 ans</c:v>
                </c:pt>
              </c:strCache>
            </c:strRef>
          </c:cat>
          <c:val>
            <c:numRef>
              <c:f>Analyse_Statistique!$B$224:$D$224</c:f>
              <c:numCache>
                <c:formatCode>General</c:formatCode>
                <c:ptCount val="3"/>
                <c:pt idx="0">
                  <c:v>1</c:v>
                </c:pt>
                <c:pt idx="1">
                  <c:v>4</c:v>
                </c:pt>
                <c:pt idx="2">
                  <c:v>0</c:v>
                </c:pt>
              </c:numCache>
            </c:numRef>
          </c:val>
          <c:extLst>
            <c:ext xmlns:c16="http://schemas.microsoft.com/office/drawing/2014/chart" uri="{C3380CC4-5D6E-409C-BE32-E72D297353CC}">
              <c16:uniqueId val="{00000003-9FE6-4DD7-9F56-859934FF6599}"/>
            </c:ext>
          </c:extLst>
        </c:ser>
        <c:dLbls>
          <c:showLegendKey val="0"/>
          <c:showVal val="0"/>
          <c:showCatName val="0"/>
          <c:showSerName val="0"/>
          <c:showPercent val="0"/>
          <c:showBubbleSize val="0"/>
        </c:dLbls>
        <c:gapWidth val="219"/>
        <c:overlap val="-27"/>
        <c:axId val="336369263"/>
        <c:axId val="336368783"/>
      </c:barChart>
      <c:catAx>
        <c:axId val="33636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68783"/>
        <c:crosses val="autoZero"/>
        <c:auto val="1"/>
        <c:lblAlgn val="ctr"/>
        <c:lblOffset val="100"/>
        <c:noMultiLvlLbl val="0"/>
      </c:catAx>
      <c:valAx>
        <c:axId val="33636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69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Distribution des Clusters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32-4099-8207-461D7BBE3E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32-4099-8207-461D7BBE3E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32-4099-8207-461D7BBE3E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32-4099-8207-461D7BBE3EE4}"/>
              </c:ext>
            </c:extLst>
          </c:dPt>
          <c:cat>
            <c:strRef>
              <c:extLst>
                <c:ext xmlns:c15="http://schemas.microsoft.com/office/drawing/2012/chart" uri="{02D57815-91ED-43cb-92C2-25804820EDAC}">
                  <c15:fullRef>
                    <c15:sqref>Clustering_Analysis!$P$15:$P$18</c15:sqref>
                  </c15:fullRef>
                </c:ext>
              </c:extLst>
              <c:f>Clustering_Analysis!$P$15:$P$18</c:f>
              <c:strCache>
                <c:ptCount val="4"/>
                <c:pt idx="0">
                  <c:v>Cluster 1 - Sévères</c:v>
                </c:pt>
                <c:pt idx="1">
                  <c:v>Cluster 2 - Auto-immunes</c:v>
                </c:pt>
                <c:pt idx="2">
                  <c:v>Cluster 3 - EPF</c:v>
                </c:pt>
                <c:pt idx="3">
                  <c:v>Cluster 4 - Infectieuses</c:v>
                </c:pt>
              </c:strCache>
            </c:strRef>
          </c:cat>
          <c:val>
            <c:numRef>
              <c:extLst>
                <c:ext xmlns:c15="http://schemas.microsoft.com/office/drawing/2012/chart" uri="{02D57815-91ED-43cb-92C2-25804820EDAC}">
                  <c15:fullRef>
                    <c15:sqref>Clustering_Analysis!$R$14:$R$18</c15:sqref>
                  </c15:fullRef>
                </c:ext>
              </c:extLst>
              <c:f>Clustering_Analysis!$R$14:$R$17</c:f>
              <c:numCache>
                <c:formatCode>General</c:formatCode>
                <c:ptCount val="4"/>
                <c:pt idx="0">
                  <c:v>0</c:v>
                </c:pt>
                <c:pt idx="1">
                  <c:v>29.2</c:v>
                </c:pt>
                <c:pt idx="2">
                  <c:v>24.6</c:v>
                </c:pt>
                <c:pt idx="3">
                  <c:v>26.9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52B1-456F-9D40-A8E39AE529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Catégories de Dermatose par Cluster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Clustering_Analysis!$Q$17</c:f>
              <c:strCache>
                <c:ptCount val="1"/>
                <c:pt idx="0">
                  <c:v>35</c:v>
                </c:pt>
              </c:strCache>
            </c:strRef>
          </c:tx>
          <c:spPr>
            <a:solidFill>
              <a:schemeClr val="accent1"/>
            </a:solidFill>
            <a:ln>
              <a:noFill/>
            </a:ln>
            <a:effectLst/>
          </c:spPr>
          <c:invertIfNegative val="0"/>
          <c:cat>
            <c:strRef>
              <c:extLst>
                <c:ext xmlns:c15="http://schemas.microsoft.com/office/drawing/2012/chart" uri="{02D57815-91ED-43cb-92C2-25804820EDAC}">
                  <c15:fullRef>
                    <c15:sqref>Clustering_Analysis!$Q$21:$T$21</c15:sqref>
                  </c15:fullRef>
                </c:ext>
              </c:extLst>
              <c:f>Clustering_Analysis!$Q$21:$T$21</c:f>
              <c:strCache>
                <c:ptCount val="4"/>
                <c:pt idx="0">
                  <c:v>C1</c:v>
                </c:pt>
                <c:pt idx="1">
                  <c:v>C2</c:v>
                </c:pt>
                <c:pt idx="2">
                  <c:v>C3</c:v>
                </c:pt>
                <c:pt idx="3">
                  <c:v>C4</c:v>
                </c:pt>
              </c:strCache>
            </c:strRef>
          </c:cat>
          <c:val>
            <c:numRef>
              <c:extLst>
                <c:ext xmlns:c15="http://schemas.microsoft.com/office/drawing/2012/chart" uri="{02D57815-91ED-43cb-92C2-25804820EDAC}">
                  <c15:fullRef>
                    <c15:sqref>Clustering_Analysis!$Q$23:$Q$27</c15:sqref>
                  </c15:fullRef>
                </c:ext>
              </c:extLst>
              <c:f>Clustering_Analysis!$Q$23:$Q$26</c:f>
              <c:numCache>
                <c:formatCode>General</c:formatCode>
                <c:ptCount val="4"/>
                <c:pt idx="0">
                  <c:v>48.2</c:v>
                </c:pt>
                <c:pt idx="1">
                  <c:v>97.4</c:v>
                </c:pt>
                <c:pt idx="2">
                  <c:v>84.2</c:v>
                </c:pt>
                <c:pt idx="3">
                  <c:v>52.6</c:v>
                </c:pt>
              </c:numCache>
            </c:numRef>
          </c:val>
          <c:extLst>
            <c:ext xmlns:c16="http://schemas.microsoft.com/office/drawing/2014/chart" uri="{C3380CC4-5D6E-409C-BE32-E72D297353CC}">
              <c16:uniqueId val="{00000000-063E-4F6A-BD55-9EE1A115A2DD}"/>
            </c:ext>
          </c:extLst>
        </c:ser>
        <c:ser>
          <c:idx val="1"/>
          <c:order val="1"/>
          <c:tx>
            <c:strRef>
              <c:f>Clustering_Analysis!$R$17</c:f>
              <c:strCache>
                <c:ptCount val="1"/>
                <c:pt idx="0">
                  <c:v>26.9</c:v>
                </c:pt>
              </c:strCache>
            </c:strRef>
          </c:tx>
          <c:spPr>
            <a:solidFill>
              <a:schemeClr val="accent2"/>
            </a:solidFill>
            <a:ln>
              <a:noFill/>
            </a:ln>
            <a:effectLst/>
          </c:spPr>
          <c:invertIfNegative val="0"/>
          <c:cat>
            <c:strRef>
              <c:extLst>
                <c:ext xmlns:c15="http://schemas.microsoft.com/office/drawing/2012/chart" uri="{02D57815-91ED-43cb-92C2-25804820EDAC}">
                  <c15:fullRef>
                    <c15:sqref>Clustering_Analysis!$Q$21:$T$21</c15:sqref>
                  </c15:fullRef>
                </c:ext>
              </c:extLst>
              <c:f>Clustering_Analysis!$Q$21:$T$21</c:f>
              <c:strCache>
                <c:ptCount val="4"/>
                <c:pt idx="0">
                  <c:v>C1</c:v>
                </c:pt>
                <c:pt idx="1">
                  <c:v>C2</c:v>
                </c:pt>
                <c:pt idx="2">
                  <c:v>C3</c:v>
                </c:pt>
                <c:pt idx="3">
                  <c:v>C4</c:v>
                </c:pt>
              </c:strCache>
            </c:strRef>
          </c:cat>
          <c:val>
            <c:numRef>
              <c:extLst>
                <c:ext xmlns:c15="http://schemas.microsoft.com/office/drawing/2012/chart" uri="{02D57815-91ED-43cb-92C2-25804820EDAC}">
                  <c15:fullRef>
                    <c15:sqref>Clustering_Analysis!$R$23:$R$27</c15:sqref>
                  </c15:fullRef>
                </c:ext>
              </c:extLst>
              <c:f>Clustering_Analysis!$R$23:$R$26</c:f>
              <c:numCache>
                <c:formatCode>General</c:formatCode>
                <c:ptCount val="4"/>
                <c:pt idx="0">
                  <c:v>16.8</c:v>
                </c:pt>
                <c:pt idx="1">
                  <c:v>9.4</c:v>
                </c:pt>
                <c:pt idx="2">
                  <c:v>28.1</c:v>
                </c:pt>
                <c:pt idx="3">
                  <c:v>3.1</c:v>
                </c:pt>
              </c:numCache>
            </c:numRef>
          </c:val>
          <c:extLst>
            <c:ext xmlns:c16="http://schemas.microsoft.com/office/drawing/2014/chart" uri="{C3380CC4-5D6E-409C-BE32-E72D297353CC}">
              <c16:uniqueId val="{00000001-063E-4F6A-BD55-9EE1A115A2DD}"/>
            </c:ext>
          </c:extLst>
        </c:ser>
        <c:dLbls>
          <c:showLegendKey val="0"/>
          <c:showVal val="0"/>
          <c:showCatName val="0"/>
          <c:showSerName val="0"/>
          <c:showPercent val="0"/>
          <c:showBubbleSize val="0"/>
        </c:dLbls>
        <c:gapWidth val="150"/>
        <c:overlap val="100"/>
        <c:axId val="483753792"/>
        <c:axId val="483737472"/>
        <c:extLst>
          <c:ext xmlns:c15="http://schemas.microsoft.com/office/drawing/2012/chart" uri="{02D57815-91ED-43cb-92C2-25804820EDAC}">
            <c15:filteredBarSeries>
              <c15:ser>
                <c:idx val="2"/>
                <c:order val="2"/>
                <c:tx>
                  <c:strRef>
                    <c:extLst>
                      <c:ext uri="{02D57815-91ED-43cb-92C2-25804820EDAC}">
                        <c15:formulaRef>
                          <c15:sqref>Clustering_Analysis!$S$17</c15:sqref>
                        </c15:formulaRef>
                      </c:ext>
                    </c:extLst>
                    <c:strCache>
                      <c:ptCount val="1"/>
                    </c:strCache>
                  </c:strRef>
                </c:tx>
                <c:spPr>
                  <a:solidFill>
                    <a:schemeClr val="accent3"/>
                  </a:solidFill>
                  <a:ln>
                    <a:noFill/>
                  </a:ln>
                  <a:effectLst/>
                </c:spPr>
                <c:invertIfNegative val="0"/>
                <c:cat>
                  <c:strRef>
                    <c:extLst>
                      <c:ext uri="{02D57815-91ED-43cb-92C2-25804820EDAC}">
                        <c15:fullRef>
                          <c15:sqref>Clustering_Analysis!$Q$21:$T$21</c15:sqref>
                        </c15:fullRef>
                        <c15:formulaRef>
                          <c15:sqref>Clustering_Analysis!$Q$21:$T$21</c15:sqref>
                        </c15:formulaRef>
                      </c:ext>
                    </c:extLst>
                    <c:strCache>
                      <c:ptCount val="4"/>
                      <c:pt idx="0">
                        <c:v>C1</c:v>
                      </c:pt>
                      <c:pt idx="1">
                        <c:v>C2</c:v>
                      </c:pt>
                      <c:pt idx="2">
                        <c:v>C3</c:v>
                      </c:pt>
                      <c:pt idx="3">
                        <c:v>C4</c:v>
                      </c:pt>
                    </c:strCache>
                  </c:strRef>
                </c:cat>
                <c:val>
                  <c:numRef>
                    <c:extLst>
                      <c:ext uri="{02D57815-91ED-43cb-92C2-25804820EDAC}">
                        <c15:fullRef>
                          <c15:sqref>Clustering_Analysis!$S$23:$S$27</c15:sqref>
                        </c15:fullRef>
                        <c15:formulaRef>
                          <c15:sqref>Clustering_Analysis!$S$23:$S$26</c15:sqref>
                        </c15:formulaRef>
                      </c:ext>
                    </c:extLst>
                    <c:numCache>
                      <c:formatCode>General</c:formatCode>
                      <c:ptCount val="4"/>
                      <c:pt idx="0">
                        <c:v>11.9</c:v>
                      </c:pt>
                      <c:pt idx="1">
                        <c:v>74.3</c:v>
                      </c:pt>
                      <c:pt idx="2">
                        <c:v>17.100000000000001</c:v>
                      </c:pt>
                      <c:pt idx="3">
                        <c:v>2.9</c:v>
                      </c:pt>
                    </c:numCache>
                  </c:numRef>
                </c:val>
                <c:extLst>
                  <c:ext xmlns:c16="http://schemas.microsoft.com/office/drawing/2014/chart" uri="{C3380CC4-5D6E-409C-BE32-E72D297353CC}">
                    <c16:uniqueId val="{00000002-063E-4F6A-BD55-9EE1A115A2D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Clustering_Analysis!$T$17</c15:sqref>
                        </c15:formulaRef>
                      </c:ext>
                    </c:extLst>
                    <c:strCache>
                      <c:ptCount val="1"/>
                    </c:strCache>
                  </c:strRef>
                </c:tx>
                <c:spPr>
                  <a:solidFill>
                    <a:schemeClr val="accent4"/>
                  </a:solidFill>
                  <a:ln>
                    <a:noFill/>
                  </a:ln>
                  <a:effectLst/>
                </c:spPr>
                <c:invertIfNegative val="0"/>
                <c:cat>
                  <c:strRef>
                    <c:extLst>
                      <c:ext xmlns:c15="http://schemas.microsoft.com/office/drawing/2012/chart" uri="{02D57815-91ED-43cb-92C2-25804820EDAC}">
                        <c15:fullRef>
                          <c15:sqref>Clustering_Analysis!$Q$21:$T$21</c15:sqref>
                        </c15:fullRef>
                        <c15:formulaRef>
                          <c15:sqref>Clustering_Analysis!$Q$21:$T$21</c15:sqref>
                        </c15:formulaRef>
                      </c:ext>
                    </c:extLst>
                    <c:strCache>
                      <c:ptCount val="4"/>
                      <c:pt idx="0">
                        <c:v>C1</c:v>
                      </c:pt>
                      <c:pt idx="1">
                        <c:v>C2</c:v>
                      </c:pt>
                      <c:pt idx="2">
                        <c:v>C3</c:v>
                      </c:pt>
                      <c:pt idx="3">
                        <c:v>C4</c:v>
                      </c:pt>
                    </c:strCache>
                  </c:strRef>
                </c:cat>
                <c:val>
                  <c:numRef>
                    <c:extLst>
                      <c:ext xmlns:c15="http://schemas.microsoft.com/office/drawing/2012/chart" uri="{02D57815-91ED-43cb-92C2-25804820EDAC}">
                        <c15:fullRef>
                          <c15:sqref>Clustering_Analysis!$T$23:$T$27</c15:sqref>
                        </c15:fullRef>
                        <c15:formulaRef>
                          <c15:sqref>Clustering_Analysis!$T$23:$T$26</c15:sqref>
                        </c15:formulaRef>
                      </c:ext>
                    </c:extLst>
                    <c:numCache>
                      <c:formatCode>General</c:formatCode>
                      <c:ptCount val="4"/>
                      <c:pt idx="0">
                        <c:v>18.399999999999999</c:v>
                      </c:pt>
                      <c:pt idx="1">
                        <c:v>12</c:v>
                      </c:pt>
                      <c:pt idx="2">
                        <c:v>56</c:v>
                      </c:pt>
                      <c:pt idx="3">
                        <c:v>8</c:v>
                      </c:pt>
                    </c:numCache>
                  </c:numRef>
                </c:val>
                <c:extLst xmlns:c15="http://schemas.microsoft.com/office/drawing/2012/chart">
                  <c:ext xmlns:c16="http://schemas.microsoft.com/office/drawing/2014/chart" uri="{C3380CC4-5D6E-409C-BE32-E72D297353CC}">
                    <c16:uniqueId val="{00000003-063E-4F6A-BD55-9EE1A115A2DD}"/>
                  </c:ext>
                </c:extLst>
              </c15:ser>
            </c15:filteredBarSeries>
          </c:ext>
        </c:extLst>
      </c:barChart>
      <c:catAx>
        <c:axId val="48375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37472"/>
        <c:crosses val="autoZero"/>
        <c:auto val="1"/>
        <c:lblAlgn val="ctr"/>
        <c:lblOffset val="100"/>
        <c:noMultiLvlLbl val="0"/>
      </c:catAx>
      <c:valAx>
        <c:axId val="48373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5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Profil Comparatif des Clusters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Clustering_Analysis!$O$23</c:f>
              <c:strCache>
                <c:ptCount val="1"/>
              </c:strCache>
            </c:strRef>
          </c:tx>
          <c:spPr>
            <a:solidFill>
              <a:schemeClr val="accent1"/>
            </a:solidFill>
            <a:ln>
              <a:noFill/>
            </a:ln>
            <a:effectLst/>
          </c:spPr>
          <c:invertIfNegative val="0"/>
          <c:cat>
            <c:numRef>
              <c:f>Clustering_Analysis!$N$24:$N$28</c:f>
              <c:numCache>
                <c:formatCode>General</c:formatCode>
                <c:ptCount val="5"/>
              </c:numCache>
            </c:numRef>
          </c:cat>
          <c:val>
            <c:numRef>
              <c:f>Clustering_Analysis!$O$24:$O$28</c:f>
              <c:numCache>
                <c:formatCode>General</c:formatCode>
                <c:ptCount val="5"/>
              </c:numCache>
            </c:numRef>
          </c:val>
          <c:extLst>
            <c:ext xmlns:c16="http://schemas.microsoft.com/office/drawing/2014/chart" uri="{C3380CC4-5D6E-409C-BE32-E72D297353CC}">
              <c16:uniqueId val="{00000000-4CED-4751-984D-06AC8373B170}"/>
            </c:ext>
          </c:extLst>
        </c:ser>
        <c:ser>
          <c:idx val="1"/>
          <c:order val="1"/>
          <c:tx>
            <c:strRef>
              <c:f>Clustering_Analysis!$P$23</c:f>
              <c:strCache>
                <c:ptCount val="1"/>
                <c:pt idx="0">
                  <c:v>Surface (%)</c:v>
                </c:pt>
              </c:strCache>
            </c:strRef>
          </c:tx>
          <c:spPr>
            <a:solidFill>
              <a:schemeClr val="accent2"/>
            </a:solidFill>
            <a:ln>
              <a:noFill/>
            </a:ln>
            <a:effectLst/>
          </c:spPr>
          <c:invertIfNegative val="0"/>
          <c:cat>
            <c:numRef>
              <c:f>Clustering_Analysis!$N$24:$N$28</c:f>
              <c:numCache>
                <c:formatCode>General</c:formatCode>
                <c:ptCount val="5"/>
              </c:numCache>
            </c:numRef>
          </c:cat>
          <c:val>
            <c:numRef>
              <c:f>Clustering_Analysis!$P$24:$P$28</c:f>
              <c:numCache>
                <c:formatCode>General</c:formatCode>
                <c:ptCount val="5"/>
                <c:pt idx="0">
                  <c:v>0</c:v>
                </c:pt>
                <c:pt idx="1">
                  <c:v>0</c:v>
                </c:pt>
                <c:pt idx="2">
                  <c:v>0</c:v>
                </c:pt>
                <c:pt idx="3">
                  <c:v>0</c:v>
                </c:pt>
              </c:numCache>
            </c:numRef>
          </c:val>
          <c:extLst>
            <c:ext xmlns:c16="http://schemas.microsoft.com/office/drawing/2014/chart" uri="{C3380CC4-5D6E-409C-BE32-E72D297353CC}">
              <c16:uniqueId val="{00000001-4CED-4751-984D-06AC8373B170}"/>
            </c:ext>
          </c:extLst>
        </c:ser>
        <c:ser>
          <c:idx val="2"/>
          <c:order val="2"/>
          <c:tx>
            <c:strRef>
              <c:f>Clustering_Analysis!$Q$23</c:f>
              <c:strCache>
                <c:ptCount val="1"/>
                <c:pt idx="0">
                  <c:v>48.2</c:v>
                </c:pt>
              </c:strCache>
            </c:strRef>
          </c:tx>
          <c:spPr>
            <a:solidFill>
              <a:schemeClr val="accent3"/>
            </a:solidFill>
            <a:ln>
              <a:noFill/>
            </a:ln>
            <a:effectLst/>
          </c:spPr>
          <c:invertIfNegative val="0"/>
          <c:cat>
            <c:numRef>
              <c:f>Clustering_Analysis!$N$24:$N$28</c:f>
              <c:numCache>
                <c:formatCode>General</c:formatCode>
                <c:ptCount val="5"/>
              </c:numCache>
            </c:numRef>
          </c:cat>
          <c:val>
            <c:numRef>
              <c:f>Clustering_Analysis!$Q$24:$Q$28</c:f>
              <c:numCache>
                <c:formatCode>General</c:formatCode>
                <c:ptCount val="5"/>
                <c:pt idx="0">
                  <c:v>97.4</c:v>
                </c:pt>
                <c:pt idx="1">
                  <c:v>84.2</c:v>
                </c:pt>
                <c:pt idx="2">
                  <c:v>52.6</c:v>
                </c:pt>
                <c:pt idx="3">
                  <c:v>9.8000000000000007</c:v>
                </c:pt>
              </c:numCache>
            </c:numRef>
          </c:val>
          <c:extLst>
            <c:ext xmlns:c16="http://schemas.microsoft.com/office/drawing/2014/chart" uri="{C3380CC4-5D6E-409C-BE32-E72D297353CC}">
              <c16:uniqueId val="{00000002-4CED-4751-984D-06AC8373B170}"/>
            </c:ext>
          </c:extLst>
        </c:ser>
        <c:ser>
          <c:idx val="3"/>
          <c:order val="3"/>
          <c:tx>
            <c:strRef>
              <c:f>Clustering_Analysis!$R$23</c:f>
              <c:strCache>
                <c:ptCount val="1"/>
                <c:pt idx="0">
                  <c:v>16.8</c:v>
                </c:pt>
              </c:strCache>
            </c:strRef>
          </c:tx>
          <c:spPr>
            <a:solidFill>
              <a:schemeClr val="accent4"/>
            </a:solidFill>
            <a:ln>
              <a:noFill/>
            </a:ln>
            <a:effectLst/>
          </c:spPr>
          <c:invertIfNegative val="0"/>
          <c:cat>
            <c:numRef>
              <c:f>Clustering_Analysis!$N$24:$N$28</c:f>
              <c:numCache>
                <c:formatCode>General</c:formatCode>
                <c:ptCount val="5"/>
              </c:numCache>
            </c:numRef>
          </c:cat>
          <c:val>
            <c:numRef>
              <c:f>Clustering_Analysis!$R$24:$R$28</c:f>
              <c:numCache>
                <c:formatCode>General</c:formatCode>
                <c:ptCount val="5"/>
                <c:pt idx="0">
                  <c:v>9.4</c:v>
                </c:pt>
                <c:pt idx="1">
                  <c:v>28.1</c:v>
                </c:pt>
                <c:pt idx="2">
                  <c:v>3.1</c:v>
                </c:pt>
                <c:pt idx="3">
                  <c:v>198.5</c:v>
                </c:pt>
              </c:numCache>
            </c:numRef>
          </c:val>
          <c:extLst>
            <c:ext xmlns:c16="http://schemas.microsoft.com/office/drawing/2014/chart" uri="{C3380CC4-5D6E-409C-BE32-E72D297353CC}">
              <c16:uniqueId val="{00000003-4CED-4751-984D-06AC8373B170}"/>
            </c:ext>
          </c:extLst>
        </c:ser>
        <c:dLbls>
          <c:showLegendKey val="0"/>
          <c:showVal val="0"/>
          <c:showCatName val="0"/>
          <c:showSerName val="0"/>
          <c:showPercent val="0"/>
          <c:showBubbleSize val="0"/>
        </c:dLbls>
        <c:gapWidth val="219"/>
        <c:overlap val="-27"/>
        <c:axId val="483761472"/>
        <c:axId val="483758112"/>
      </c:barChart>
      <c:catAx>
        <c:axId val="48376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58112"/>
        <c:crosses val="autoZero"/>
        <c:auto val="1"/>
        <c:lblAlgn val="ctr"/>
        <c:lblOffset val="100"/>
        <c:noMultiLvlLbl val="0"/>
      </c:catAx>
      <c:valAx>
        <c:axId val="48375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61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Silhouette Score par Cluster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extLst>
                <c:ext xmlns:c15="http://schemas.microsoft.com/office/drawing/2012/chart" uri="{02D57815-91ED-43cb-92C2-25804820EDAC}">
                  <c15:fullRef>
                    <c15:sqref>Clustering_Analysis!$P$44:$P$48</c15:sqref>
                  </c15:fullRef>
                </c:ext>
              </c:extLst>
              <c:f>Clustering_Analysis!$P$45:$P$48</c:f>
              <c:strCache>
                <c:ptCount val="4"/>
                <c:pt idx="0">
                  <c:v>Cluster 1</c:v>
                </c:pt>
                <c:pt idx="1">
                  <c:v>Cluster 2</c:v>
                </c:pt>
                <c:pt idx="2">
                  <c:v>Cluster 3</c:v>
                </c:pt>
                <c:pt idx="3">
                  <c:v>Cluster 4</c:v>
                </c:pt>
              </c:strCache>
            </c:strRef>
          </c:cat>
          <c:val>
            <c:numRef>
              <c:extLst>
                <c:ext xmlns:c15="http://schemas.microsoft.com/office/drawing/2012/chart" uri="{02D57815-91ED-43cb-92C2-25804820EDAC}">
                  <c15:fullRef>
                    <c15:sqref>Clustering_Analysis!$Q$44:$Q$48</c15:sqref>
                  </c15:fullRef>
                </c:ext>
              </c:extLst>
              <c:f>Clustering_Analysis!$Q$45:$Q$48</c:f>
              <c:numCache>
                <c:formatCode>General</c:formatCode>
                <c:ptCount val="4"/>
                <c:pt idx="0">
                  <c:v>0.624</c:v>
                </c:pt>
                <c:pt idx="1">
                  <c:v>0.57199999999999995</c:v>
                </c:pt>
                <c:pt idx="2">
                  <c:v>0.48499999999999999</c:v>
                </c:pt>
                <c:pt idx="3">
                  <c:v>0.51200000000000001</c:v>
                </c:pt>
              </c:numCache>
            </c:numRef>
          </c:val>
          <c:extLst>
            <c:ext xmlns:c16="http://schemas.microsoft.com/office/drawing/2014/chart" uri="{C3380CC4-5D6E-409C-BE32-E72D297353CC}">
              <c16:uniqueId val="{00000000-86CD-42B3-986C-A2C8798CF3E7}"/>
            </c:ext>
          </c:extLst>
        </c:ser>
        <c:dLbls>
          <c:showLegendKey val="0"/>
          <c:showVal val="0"/>
          <c:showCatName val="0"/>
          <c:showSerName val="0"/>
          <c:showPercent val="0"/>
          <c:showBubbleSize val="0"/>
        </c:dLbls>
        <c:gapWidth val="219"/>
        <c:overlap val="-27"/>
        <c:axId val="483763392"/>
        <c:axId val="483773952"/>
      </c:barChart>
      <c:catAx>
        <c:axId val="48376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73952"/>
        <c:crosses val="autoZero"/>
        <c:auto val="1"/>
        <c:lblAlgn val="ctr"/>
        <c:lblOffset val="100"/>
        <c:noMultiLvlLbl val="0"/>
      </c:catAx>
      <c:valAx>
        <c:axId val="48377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6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Méthode du Coude - Inertie vs 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Clustering_Analysis!$P$4</c:f>
              <c:strCache>
                <c:ptCount val="1"/>
                <c:pt idx="0">
                  <c:v>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Clustering_Analysis!$P$5:$P$11</c:f>
              <c:numCache>
                <c:formatCode>General</c:formatCode>
                <c:ptCount val="7"/>
                <c:pt idx="0">
                  <c:v>2</c:v>
                </c:pt>
                <c:pt idx="1">
                  <c:v>3</c:v>
                </c:pt>
                <c:pt idx="2">
                  <c:v>4</c:v>
                </c:pt>
                <c:pt idx="3">
                  <c:v>5</c:v>
                </c:pt>
                <c:pt idx="4">
                  <c:v>6</c:v>
                </c:pt>
                <c:pt idx="5">
                  <c:v>7</c:v>
                </c:pt>
                <c:pt idx="6">
                  <c:v>8</c:v>
                </c:pt>
              </c:numCache>
            </c:numRef>
          </c:val>
          <c:smooth val="0"/>
          <c:extLst>
            <c:ext xmlns:c16="http://schemas.microsoft.com/office/drawing/2014/chart" uri="{C3380CC4-5D6E-409C-BE32-E72D297353CC}">
              <c16:uniqueId val="{00000000-77B3-4DB2-B372-4FC3A10BC954}"/>
            </c:ext>
          </c:extLst>
        </c:ser>
        <c:ser>
          <c:idx val="1"/>
          <c:order val="1"/>
          <c:tx>
            <c:strRef>
              <c:f>Clustering_Analysis!$Q$4</c:f>
              <c:strCache>
                <c:ptCount val="1"/>
                <c:pt idx="0">
                  <c:v>Inertie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Clustering_Analysis!$Q$5:$Q$11</c:f>
              <c:numCache>
                <c:formatCode>General</c:formatCode>
                <c:ptCount val="7"/>
                <c:pt idx="0">
                  <c:v>312.8</c:v>
                </c:pt>
                <c:pt idx="1">
                  <c:v>218.4</c:v>
                </c:pt>
                <c:pt idx="2">
                  <c:v>165.7</c:v>
                </c:pt>
                <c:pt idx="3">
                  <c:v>138.19999999999999</c:v>
                </c:pt>
                <c:pt idx="4">
                  <c:v>121.5</c:v>
                </c:pt>
                <c:pt idx="5">
                  <c:v>108.9</c:v>
                </c:pt>
                <c:pt idx="6">
                  <c:v>99.8</c:v>
                </c:pt>
              </c:numCache>
            </c:numRef>
          </c:val>
          <c:smooth val="0"/>
          <c:extLst>
            <c:ext xmlns:c16="http://schemas.microsoft.com/office/drawing/2014/chart" uri="{C3380CC4-5D6E-409C-BE32-E72D297353CC}">
              <c16:uniqueId val="{00000001-77B3-4DB2-B372-4FC3A10BC954}"/>
            </c:ext>
          </c:extLst>
        </c:ser>
        <c:dLbls>
          <c:showLegendKey val="0"/>
          <c:showVal val="0"/>
          <c:showCatName val="0"/>
          <c:showSerName val="0"/>
          <c:showPercent val="0"/>
          <c:showBubbleSize val="0"/>
        </c:dLbls>
        <c:marker val="1"/>
        <c:smooth val="0"/>
        <c:axId val="483741312"/>
        <c:axId val="483736512"/>
      </c:lineChart>
      <c:catAx>
        <c:axId val="4837413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36512"/>
        <c:crosses val="autoZero"/>
        <c:auto val="1"/>
        <c:lblAlgn val="ctr"/>
        <c:lblOffset val="100"/>
        <c:noMultiLvlLbl val="0"/>
      </c:catAx>
      <c:valAx>
        <c:axId val="48373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4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des 4 Clusters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AF-4F33-AA34-75B4C20863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AF-4F33-AA34-75B4C20863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AF-4F33-AA34-75B4C20863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AF-4F33-AA34-75B4C20863C1}"/>
              </c:ext>
            </c:extLst>
          </c:dPt>
          <c:cat>
            <c:strRef>
              <c:f>Clustering_Analysis!$P$15:$P$18</c:f>
              <c:strCache>
                <c:ptCount val="4"/>
                <c:pt idx="0">
                  <c:v>Cluster 1 - Sévères</c:v>
                </c:pt>
                <c:pt idx="1">
                  <c:v>Cluster 2 - Auto-immunes</c:v>
                </c:pt>
                <c:pt idx="2">
                  <c:v>Cluster 3 - EPF</c:v>
                </c:pt>
                <c:pt idx="3">
                  <c:v>Cluster 4 - Infectieuses</c:v>
                </c:pt>
              </c:strCache>
            </c:strRef>
          </c:cat>
          <c:val>
            <c:numRef>
              <c:f>Clustering_Analysis!$Q$15:$Q$18</c:f>
              <c:numCache>
                <c:formatCode>General</c:formatCode>
                <c:ptCount val="4"/>
                <c:pt idx="0">
                  <c:v>38</c:v>
                </c:pt>
                <c:pt idx="1">
                  <c:v>32</c:v>
                </c:pt>
                <c:pt idx="2">
                  <c:v>35</c:v>
                </c:pt>
                <c:pt idx="3">
                  <c:v>25</c:v>
                </c:pt>
              </c:numCache>
            </c:numRef>
          </c:val>
          <c:extLst>
            <c:ext xmlns:c16="http://schemas.microsoft.com/office/drawing/2014/chart" uri="{C3380CC4-5D6E-409C-BE32-E72D297353CC}">
              <c16:uniqueId val="{00000000-CEC0-4544-A29A-2E9883F7114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Profil Comparatif des Clusters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Clustering_Analysis!$P$22</c:f>
              <c:strCache>
                <c:ptCount val="1"/>
                <c:pt idx="0">
                  <c:v>Âge (années)</c:v>
                </c:pt>
              </c:strCache>
            </c:strRef>
          </c:tx>
          <c:spPr>
            <a:solidFill>
              <a:schemeClr val="accent1"/>
            </a:solidFill>
            <a:ln>
              <a:noFill/>
            </a:ln>
            <a:effectLst/>
          </c:spPr>
          <c:invertIfNegative val="0"/>
          <c:cat>
            <c:strRef>
              <c:f>Clustering_Analysis!$Q$21:$T$21</c:f>
              <c:strCache>
                <c:ptCount val="4"/>
                <c:pt idx="0">
                  <c:v>C1</c:v>
                </c:pt>
                <c:pt idx="1">
                  <c:v>C2</c:v>
                </c:pt>
                <c:pt idx="2">
                  <c:v>C3</c:v>
                </c:pt>
                <c:pt idx="3">
                  <c:v>C4</c:v>
                </c:pt>
              </c:strCache>
            </c:strRef>
          </c:cat>
          <c:val>
            <c:numRef>
              <c:f>Clustering_Analysis!$Q$22:$T$22</c:f>
              <c:numCache>
                <c:formatCode>General</c:formatCode>
                <c:ptCount val="4"/>
                <c:pt idx="0">
                  <c:v>22.4</c:v>
                </c:pt>
                <c:pt idx="1">
                  <c:v>61.8</c:v>
                </c:pt>
                <c:pt idx="2">
                  <c:v>38.700000000000003</c:v>
                </c:pt>
                <c:pt idx="3">
                  <c:v>7.2</c:v>
                </c:pt>
              </c:numCache>
            </c:numRef>
          </c:val>
          <c:extLst>
            <c:ext xmlns:c16="http://schemas.microsoft.com/office/drawing/2014/chart" uri="{C3380CC4-5D6E-409C-BE32-E72D297353CC}">
              <c16:uniqueId val="{00000000-E182-4313-A33E-69E8D90E134B}"/>
            </c:ext>
          </c:extLst>
        </c:ser>
        <c:ser>
          <c:idx val="1"/>
          <c:order val="1"/>
          <c:tx>
            <c:strRef>
              <c:f>Clustering_Analysis!$P$23</c:f>
              <c:strCache>
                <c:ptCount val="1"/>
                <c:pt idx="0">
                  <c:v>Surface (%)</c:v>
                </c:pt>
              </c:strCache>
            </c:strRef>
          </c:tx>
          <c:spPr>
            <a:solidFill>
              <a:schemeClr val="accent2"/>
            </a:solidFill>
            <a:ln>
              <a:noFill/>
            </a:ln>
            <a:effectLst/>
          </c:spPr>
          <c:invertIfNegative val="0"/>
          <c:cat>
            <c:strRef>
              <c:f>Clustering_Analysis!$Q$21:$T$21</c:f>
              <c:strCache>
                <c:ptCount val="4"/>
                <c:pt idx="0">
                  <c:v>C1</c:v>
                </c:pt>
                <c:pt idx="1">
                  <c:v>C2</c:v>
                </c:pt>
                <c:pt idx="2">
                  <c:v>C3</c:v>
                </c:pt>
                <c:pt idx="3">
                  <c:v>C4</c:v>
                </c:pt>
              </c:strCache>
            </c:strRef>
          </c:cat>
          <c:val>
            <c:numRef>
              <c:f>Clustering_Analysis!$Q$23:$T$23</c:f>
              <c:numCache>
                <c:formatCode>General</c:formatCode>
                <c:ptCount val="4"/>
                <c:pt idx="0">
                  <c:v>48.2</c:v>
                </c:pt>
                <c:pt idx="1">
                  <c:v>16.8</c:v>
                </c:pt>
                <c:pt idx="2">
                  <c:v>11.9</c:v>
                </c:pt>
                <c:pt idx="3">
                  <c:v>18.399999999999999</c:v>
                </c:pt>
              </c:numCache>
            </c:numRef>
          </c:val>
          <c:extLst>
            <c:ext xmlns:c16="http://schemas.microsoft.com/office/drawing/2014/chart" uri="{C3380CC4-5D6E-409C-BE32-E72D297353CC}">
              <c16:uniqueId val="{00000001-E182-4313-A33E-69E8D90E134B}"/>
            </c:ext>
          </c:extLst>
        </c:ser>
        <c:ser>
          <c:idx val="2"/>
          <c:order val="2"/>
          <c:tx>
            <c:strRef>
              <c:f>Clustering_Analysis!$P$24</c:f>
              <c:strCache>
                <c:ptCount val="1"/>
                <c:pt idx="0">
                  <c:v>% Prise Med</c:v>
                </c:pt>
              </c:strCache>
            </c:strRef>
          </c:tx>
          <c:spPr>
            <a:solidFill>
              <a:schemeClr val="accent3"/>
            </a:solidFill>
            <a:ln>
              <a:noFill/>
            </a:ln>
            <a:effectLst/>
          </c:spPr>
          <c:invertIfNegative val="0"/>
          <c:cat>
            <c:strRef>
              <c:f>Clustering_Analysis!$Q$21:$T$21</c:f>
              <c:strCache>
                <c:ptCount val="4"/>
                <c:pt idx="0">
                  <c:v>C1</c:v>
                </c:pt>
                <c:pt idx="1">
                  <c:v>C2</c:v>
                </c:pt>
                <c:pt idx="2">
                  <c:v>C3</c:v>
                </c:pt>
                <c:pt idx="3">
                  <c:v>C4</c:v>
                </c:pt>
              </c:strCache>
            </c:strRef>
          </c:cat>
          <c:val>
            <c:numRef>
              <c:f>Clustering_Analysis!$Q$24:$T$24</c:f>
              <c:numCache>
                <c:formatCode>General</c:formatCode>
                <c:ptCount val="4"/>
                <c:pt idx="0">
                  <c:v>97.4</c:v>
                </c:pt>
                <c:pt idx="1">
                  <c:v>9.4</c:v>
                </c:pt>
                <c:pt idx="2">
                  <c:v>74.3</c:v>
                </c:pt>
                <c:pt idx="3">
                  <c:v>12</c:v>
                </c:pt>
              </c:numCache>
            </c:numRef>
          </c:val>
          <c:extLst>
            <c:ext xmlns:c16="http://schemas.microsoft.com/office/drawing/2014/chart" uri="{C3380CC4-5D6E-409C-BE32-E72D297353CC}">
              <c16:uniqueId val="{00000002-E182-4313-A33E-69E8D90E134B}"/>
            </c:ext>
          </c:extLst>
        </c:ser>
        <c:ser>
          <c:idx val="3"/>
          <c:order val="3"/>
          <c:tx>
            <c:strRef>
              <c:f>Clustering_Analysis!$P$25</c:f>
              <c:strCache>
                <c:ptCount val="1"/>
                <c:pt idx="0">
                  <c:v>% Atteinte Mixte</c:v>
                </c:pt>
              </c:strCache>
            </c:strRef>
          </c:tx>
          <c:spPr>
            <a:solidFill>
              <a:schemeClr val="accent4"/>
            </a:solidFill>
            <a:ln>
              <a:noFill/>
            </a:ln>
            <a:effectLst/>
          </c:spPr>
          <c:invertIfNegative val="0"/>
          <c:cat>
            <c:strRef>
              <c:f>Clustering_Analysis!$Q$21:$T$21</c:f>
              <c:strCache>
                <c:ptCount val="4"/>
                <c:pt idx="0">
                  <c:v>C1</c:v>
                </c:pt>
                <c:pt idx="1">
                  <c:v>C2</c:v>
                </c:pt>
                <c:pt idx="2">
                  <c:v>C3</c:v>
                </c:pt>
                <c:pt idx="3">
                  <c:v>C4</c:v>
                </c:pt>
              </c:strCache>
            </c:strRef>
          </c:cat>
          <c:val>
            <c:numRef>
              <c:f>Clustering_Analysis!$Q$25:$T$25</c:f>
              <c:numCache>
                <c:formatCode>General</c:formatCode>
                <c:ptCount val="4"/>
                <c:pt idx="0">
                  <c:v>84.2</c:v>
                </c:pt>
                <c:pt idx="1">
                  <c:v>28.1</c:v>
                </c:pt>
                <c:pt idx="2">
                  <c:v>17.100000000000001</c:v>
                </c:pt>
                <c:pt idx="3">
                  <c:v>56</c:v>
                </c:pt>
              </c:numCache>
            </c:numRef>
          </c:val>
          <c:extLst>
            <c:ext xmlns:c16="http://schemas.microsoft.com/office/drawing/2014/chart" uri="{C3380CC4-5D6E-409C-BE32-E72D297353CC}">
              <c16:uniqueId val="{00000003-E182-4313-A33E-69E8D90E134B}"/>
            </c:ext>
          </c:extLst>
        </c:ser>
        <c:ser>
          <c:idx val="4"/>
          <c:order val="4"/>
          <c:tx>
            <c:strRef>
              <c:f>Clustering_Analysis!$P$26</c:f>
              <c:strCache>
                <c:ptCount val="1"/>
                <c:pt idx="0">
                  <c:v>% Fièvre</c:v>
                </c:pt>
              </c:strCache>
            </c:strRef>
          </c:tx>
          <c:spPr>
            <a:solidFill>
              <a:schemeClr val="accent5"/>
            </a:solidFill>
            <a:ln>
              <a:noFill/>
            </a:ln>
            <a:effectLst/>
          </c:spPr>
          <c:invertIfNegative val="0"/>
          <c:cat>
            <c:strRef>
              <c:f>Clustering_Analysis!$Q$21:$T$21</c:f>
              <c:strCache>
                <c:ptCount val="4"/>
                <c:pt idx="0">
                  <c:v>C1</c:v>
                </c:pt>
                <c:pt idx="1">
                  <c:v>C2</c:v>
                </c:pt>
                <c:pt idx="2">
                  <c:v>C3</c:v>
                </c:pt>
                <c:pt idx="3">
                  <c:v>C4</c:v>
                </c:pt>
              </c:strCache>
            </c:strRef>
          </c:cat>
          <c:val>
            <c:numRef>
              <c:f>Clustering_Analysis!$Q$26:$T$26</c:f>
              <c:numCache>
                <c:formatCode>General</c:formatCode>
                <c:ptCount val="4"/>
                <c:pt idx="0">
                  <c:v>52.6</c:v>
                </c:pt>
                <c:pt idx="1">
                  <c:v>3.1</c:v>
                </c:pt>
                <c:pt idx="2">
                  <c:v>2.9</c:v>
                </c:pt>
                <c:pt idx="3">
                  <c:v>8</c:v>
                </c:pt>
              </c:numCache>
            </c:numRef>
          </c:val>
          <c:extLst>
            <c:ext xmlns:c16="http://schemas.microsoft.com/office/drawing/2014/chart" uri="{C3380CC4-5D6E-409C-BE32-E72D297353CC}">
              <c16:uniqueId val="{00000004-E182-4313-A33E-69E8D90E134B}"/>
            </c:ext>
          </c:extLst>
        </c:ser>
        <c:dLbls>
          <c:showLegendKey val="0"/>
          <c:showVal val="0"/>
          <c:showCatName val="0"/>
          <c:showSerName val="0"/>
          <c:showPercent val="0"/>
          <c:showBubbleSize val="0"/>
        </c:dLbls>
        <c:gapWidth val="219"/>
        <c:overlap val="-27"/>
        <c:axId val="327051200"/>
        <c:axId val="327039680"/>
      </c:barChart>
      <c:catAx>
        <c:axId val="3270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39680"/>
        <c:crosses val="autoZero"/>
        <c:auto val="1"/>
        <c:lblAlgn val="ctr"/>
        <c:lblOffset val="100"/>
        <c:noMultiLvlLbl val="0"/>
      </c:catAx>
      <c:valAx>
        <c:axId val="32703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5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Catégories par Cluster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Clustering_Analysis!$P$31</c:f>
              <c:strCache>
                <c:ptCount val="1"/>
                <c:pt idx="0">
                  <c:v>Toxidermie</c:v>
                </c:pt>
              </c:strCache>
            </c:strRef>
          </c:tx>
          <c:spPr>
            <a:solidFill>
              <a:schemeClr val="accent1"/>
            </a:solidFill>
            <a:ln>
              <a:noFill/>
            </a:ln>
            <a:effectLst/>
          </c:spPr>
          <c:invertIfNegative val="0"/>
          <c:cat>
            <c:strRef>
              <c:f>Clustering_Analysis!$Q$30:$T$30</c:f>
              <c:strCache>
                <c:ptCount val="4"/>
                <c:pt idx="0">
                  <c:v>C1</c:v>
                </c:pt>
                <c:pt idx="1">
                  <c:v>C2</c:v>
                </c:pt>
                <c:pt idx="2">
                  <c:v>C3</c:v>
                </c:pt>
                <c:pt idx="3">
                  <c:v>C4</c:v>
                </c:pt>
              </c:strCache>
            </c:strRef>
          </c:cat>
          <c:val>
            <c:numRef>
              <c:f>Clustering_Analysis!$Q$31:$T$31</c:f>
              <c:numCache>
                <c:formatCode>General</c:formatCode>
                <c:ptCount val="4"/>
                <c:pt idx="0">
                  <c:v>36</c:v>
                </c:pt>
                <c:pt idx="1">
                  <c:v>2</c:v>
                </c:pt>
                <c:pt idx="2">
                  <c:v>32</c:v>
                </c:pt>
                <c:pt idx="3">
                  <c:v>6</c:v>
                </c:pt>
              </c:numCache>
            </c:numRef>
          </c:val>
          <c:extLst>
            <c:ext xmlns:c16="http://schemas.microsoft.com/office/drawing/2014/chart" uri="{C3380CC4-5D6E-409C-BE32-E72D297353CC}">
              <c16:uniqueId val="{00000000-EFBD-45E6-A0D9-22CD7782885F}"/>
            </c:ext>
          </c:extLst>
        </c:ser>
        <c:ser>
          <c:idx val="1"/>
          <c:order val="1"/>
          <c:tx>
            <c:strRef>
              <c:f>Clustering_Analysis!$P$32</c:f>
              <c:strCache>
                <c:ptCount val="1"/>
                <c:pt idx="0">
                  <c:v>Auto-immune</c:v>
                </c:pt>
              </c:strCache>
            </c:strRef>
          </c:tx>
          <c:spPr>
            <a:solidFill>
              <a:schemeClr val="accent2"/>
            </a:solidFill>
            <a:ln>
              <a:noFill/>
            </a:ln>
            <a:effectLst/>
          </c:spPr>
          <c:invertIfNegative val="0"/>
          <c:cat>
            <c:strRef>
              <c:f>Clustering_Analysis!$Q$30:$T$30</c:f>
              <c:strCache>
                <c:ptCount val="4"/>
                <c:pt idx="0">
                  <c:v>C1</c:v>
                </c:pt>
                <c:pt idx="1">
                  <c:v>C2</c:v>
                </c:pt>
                <c:pt idx="2">
                  <c:v>C3</c:v>
                </c:pt>
                <c:pt idx="3">
                  <c:v>C4</c:v>
                </c:pt>
              </c:strCache>
            </c:strRef>
          </c:cat>
          <c:val>
            <c:numRef>
              <c:f>Clustering_Analysis!$Q$32:$T$32</c:f>
              <c:numCache>
                <c:formatCode>General</c:formatCode>
                <c:ptCount val="4"/>
                <c:pt idx="0">
                  <c:v>1</c:v>
                </c:pt>
                <c:pt idx="1">
                  <c:v>28</c:v>
                </c:pt>
                <c:pt idx="2">
                  <c:v>1</c:v>
                </c:pt>
                <c:pt idx="3">
                  <c:v>0</c:v>
                </c:pt>
              </c:numCache>
            </c:numRef>
          </c:val>
          <c:extLst>
            <c:ext xmlns:c16="http://schemas.microsoft.com/office/drawing/2014/chart" uri="{C3380CC4-5D6E-409C-BE32-E72D297353CC}">
              <c16:uniqueId val="{00000001-EFBD-45E6-A0D9-22CD7782885F}"/>
            </c:ext>
          </c:extLst>
        </c:ser>
        <c:ser>
          <c:idx val="2"/>
          <c:order val="2"/>
          <c:tx>
            <c:strRef>
              <c:f>Clustering_Analysis!$P$33</c:f>
              <c:strCache>
                <c:ptCount val="1"/>
                <c:pt idx="0">
                  <c:v>Infectieuse</c:v>
                </c:pt>
              </c:strCache>
            </c:strRef>
          </c:tx>
          <c:spPr>
            <a:solidFill>
              <a:schemeClr val="accent3"/>
            </a:solidFill>
            <a:ln>
              <a:noFill/>
            </a:ln>
            <a:effectLst/>
          </c:spPr>
          <c:invertIfNegative val="0"/>
          <c:cat>
            <c:strRef>
              <c:f>Clustering_Analysis!$Q$30:$T$30</c:f>
              <c:strCache>
                <c:ptCount val="4"/>
                <c:pt idx="0">
                  <c:v>C1</c:v>
                </c:pt>
                <c:pt idx="1">
                  <c:v>C2</c:v>
                </c:pt>
                <c:pt idx="2">
                  <c:v>C3</c:v>
                </c:pt>
                <c:pt idx="3">
                  <c:v>C4</c:v>
                </c:pt>
              </c:strCache>
            </c:strRef>
          </c:cat>
          <c:val>
            <c:numRef>
              <c:f>Clustering_Analysis!$Q$33:$T$33</c:f>
              <c:numCache>
                <c:formatCode>General</c:formatCode>
                <c:ptCount val="4"/>
                <c:pt idx="0">
                  <c:v>0</c:v>
                </c:pt>
                <c:pt idx="1">
                  <c:v>1</c:v>
                </c:pt>
                <c:pt idx="2">
                  <c:v>1</c:v>
                </c:pt>
                <c:pt idx="3">
                  <c:v>17</c:v>
                </c:pt>
              </c:numCache>
            </c:numRef>
          </c:val>
          <c:extLst>
            <c:ext xmlns:c16="http://schemas.microsoft.com/office/drawing/2014/chart" uri="{C3380CC4-5D6E-409C-BE32-E72D297353CC}">
              <c16:uniqueId val="{00000002-EFBD-45E6-A0D9-22CD7782885F}"/>
            </c:ext>
          </c:extLst>
        </c:ser>
        <c:ser>
          <c:idx val="3"/>
          <c:order val="3"/>
          <c:tx>
            <c:strRef>
              <c:f>Clustering_Analysis!$P$34</c:f>
              <c:strCache>
                <c:ptCount val="1"/>
                <c:pt idx="0">
                  <c:v>Immunoallergique</c:v>
                </c:pt>
              </c:strCache>
            </c:strRef>
          </c:tx>
          <c:spPr>
            <a:solidFill>
              <a:schemeClr val="accent4"/>
            </a:solidFill>
            <a:ln>
              <a:noFill/>
            </a:ln>
            <a:effectLst/>
          </c:spPr>
          <c:invertIfNegative val="0"/>
          <c:cat>
            <c:strRef>
              <c:f>Clustering_Analysis!$Q$30:$T$30</c:f>
              <c:strCache>
                <c:ptCount val="4"/>
                <c:pt idx="0">
                  <c:v>C1</c:v>
                </c:pt>
                <c:pt idx="1">
                  <c:v>C2</c:v>
                </c:pt>
                <c:pt idx="2">
                  <c:v>C3</c:v>
                </c:pt>
                <c:pt idx="3">
                  <c:v>C4</c:v>
                </c:pt>
              </c:strCache>
            </c:strRef>
          </c:cat>
          <c:val>
            <c:numRef>
              <c:f>Clustering_Analysis!$Q$34:$T$34</c:f>
              <c:numCache>
                <c:formatCode>General</c:formatCode>
                <c:ptCount val="4"/>
                <c:pt idx="0">
                  <c:v>1</c:v>
                </c:pt>
                <c:pt idx="1">
                  <c:v>1</c:v>
                </c:pt>
                <c:pt idx="2">
                  <c:v>1</c:v>
                </c:pt>
                <c:pt idx="3">
                  <c:v>2</c:v>
                </c:pt>
              </c:numCache>
            </c:numRef>
          </c:val>
          <c:extLst>
            <c:ext xmlns:c16="http://schemas.microsoft.com/office/drawing/2014/chart" uri="{C3380CC4-5D6E-409C-BE32-E72D297353CC}">
              <c16:uniqueId val="{00000003-EFBD-45E6-A0D9-22CD7782885F}"/>
            </c:ext>
          </c:extLst>
        </c:ser>
        <c:dLbls>
          <c:showLegendKey val="0"/>
          <c:showVal val="0"/>
          <c:showCatName val="0"/>
          <c:showSerName val="0"/>
          <c:showPercent val="0"/>
          <c:showBubbleSize val="0"/>
        </c:dLbls>
        <c:gapWidth val="150"/>
        <c:overlap val="100"/>
        <c:axId val="380581216"/>
        <c:axId val="380581696"/>
      </c:barChart>
      <c:catAx>
        <c:axId val="3805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581696"/>
        <c:crosses val="autoZero"/>
        <c:auto val="1"/>
        <c:lblAlgn val="ctr"/>
        <c:lblOffset val="100"/>
        <c:noMultiLvlLbl val="0"/>
      </c:catAx>
      <c:valAx>
        <c:axId val="38058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58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Classes Médicamenteuses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Clustering_Analysis!$P$38</c:f>
              <c:strCache>
                <c:ptCount val="1"/>
                <c:pt idx="0">
                  <c:v>Antibiotiques</c:v>
                </c:pt>
              </c:strCache>
            </c:strRef>
          </c:tx>
          <c:spPr>
            <a:solidFill>
              <a:schemeClr val="accent1"/>
            </a:solidFill>
            <a:ln>
              <a:noFill/>
            </a:ln>
            <a:effectLst/>
          </c:spPr>
          <c:invertIfNegative val="0"/>
          <c:cat>
            <c:strRef>
              <c:f>Clustering_Analysis!$Q$37:$T$37</c:f>
              <c:strCache>
                <c:ptCount val="4"/>
                <c:pt idx="0">
                  <c:v>C1</c:v>
                </c:pt>
                <c:pt idx="1">
                  <c:v>C2</c:v>
                </c:pt>
                <c:pt idx="2">
                  <c:v>C3</c:v>
                </c:pt>
                <c:pt idx="3">
                  <c:v>C4</c:v>
                </c:pt>
              </c:strCache>
            </c:strRef>
          </c:cat>
          <c:val>
            <c:numRef>
              <c:f>Clustering_Analysis!$Q$38:$T$38</c:f>
              <c:numCache>
                <c:formatCode>General</c:formatCode>
                <c:ptCount val="4"/>
                <c:pt idx="0">
                  <c:v>68.400000000000006</c:v>
                </c:pt>
                <c:pt idx="1">
                  <c:v>6.3</c:v>
                </c:pt>
                <c:pt idx="2">
                  <c:v>45.7</c:v>
                </c:pt>
                <c:pt idx="3">
                  <c:v>8</c:v>
                </c:pt>
              </c:numCache>
            </c:numRef>
          </c:val>
          <c:extLst>
            <c:ext xmlns:c16="http://schemas.microsoft.com/office/drawing/2014/chart" uri="{C3380CC4-5D6E-409C-BE32-E72D297353CC}">
              <c16:uniqueId val="{00000000-7661-4AED-962F-EEFCD8491269}"/>
            </c:ext>
          </c:extLst>
        </c:ser>
        <c:ser>
          <c:idx val="1"/>
          <c:order val="1"/>
          <c:tx>
            <c:strRef>
              <c:f>Clustering_Analysis!$P$39</c:f>
              <c:strCache>
                <c:ptCount val="1"/>
                <c:pt idx="0">
                  <c:v>AINS</c:v>
                </c:pt>
              </c:strCache>
            </c:strRef>
          </c:tx>
          <c:spPr>
            <a:solidFill>
              <a:schemeClr val="accent2"/>
            </a:solidFill>
            <a:ln>
              <a:noFill/>
            </a:ln>
            <a:effectLst/>
          </c:spPr>
          <c:invertIfNegative val="0"/>
          <c:cat>
            <c:strRef>
              <c:f>Clustering_Analysis!$Q$37:$T$37</c:f>
              <c:strCache>
                <c:ptCount val="4"/>
                <c:pt idx="0">
                  <c:v>C1</c:v>
                </c:pt>
                <c:pt idx="1">
                  <c:v>C2</c:v>
                </c:pt>
                <c:pt idx="2">
                  <c:v>C3</c:v>
                </c:pt>
                <c:pt idx="3">
                  <c:v>C4</c:v>
                </c:pt>
              </c:strCache>
            </c:strRef>
          </c:cat>
          <c:val>
            <c:numRef>
              <c:f>Clustering_Analysis!$Q$39:$T$39</c:f>
              <c:numCache>
                <c:formatCode>General</c:formatCode>
                <c:ptCount val="4"/>
                <c:pt idx="0">
                  <c:v>42.1</c:v>
                </c:pt>
                <c:pt idx="1">
                  <c:v>3.1</c:v>
                </c:pt>
                <c:pt idx="2">
                  <c:v>17.100000000000001</c:v>
                </c:pt>
                <c:pt idx="3">
                  <c:v>0</c:v>
                </c:pt>
              </c:numCache>
            </c:numRef>
          </c:val>
          <c:extLst>
            <c:ext xmlns:c16="http://schemas.microsoft.com/office/drawing/2014/chart" uri="{C3380CC4-5D6E-409C-BE32-E72D297353CC}">
              <c16:uniqueId val="{00000001-7661-4AED-962F-EEFCD8491269}"/>
            </c:ext>
          </c:extLst>
        </c:ser>
        <c:ser>
          <c:idx val="2"/>
          <c:order val="2"/>
          <c:tx>
            <c:strRef>
              <c:f>Clustering_Analysis!$P$40</c:f>
              <c:strCache>
                <c:ptCount val="1"/>
                <c:pt idx="0">
                  <c:v>Antipaludéens</c:v>
                </c:pt>
              </c:strCache>
            </c:strRef>
          </c:tx>
          <c:spPr>
            <a:solidFill>
              <a:schemeClr val="accent3"/>
            </a:solidFill>
            <a:ln>
              <a:noFill/>
            </a:ln>
            <a:effectLst/>
          </c:spPr>
          <c:invertIfNegative val="0"/>
          <c:cat>
            <c:strRef>
              <c:f>Clustering_Analysis!$Q$37:$T$37</c:f>
              <c:strCache>
                <c:ptCount val="4"/>
                <c:pt idx="0">
                  <c:v>C1</c:v>
                </c:pt>
                <c:pt idx="1">
                  <c:v>C2</c:v>
                </c:pt>
                <c:pt idx="2">
                  <c:v>C3</c:v>
                </c:pt>
                <c:pt idx="3">
                  <c:v>C4</c:v>
                </c:pt>
              </c:strCache>
            </c:strRef>
          </c:cat>
          <c:val>
            <c:numRef>
              <c:f>Clustering_Analysis!$Q$40:$T$40</c:f>
              <c:numCache>
                <c:formatCode>General</c:formatCode>
                <c:ptCount val="4"/>
                <c:pt idx="0">
                  <c:v>34.200000000000003</c:v>
                </c:pt>
                <c:pt idx="1">
                  <c:v>0</c:v>
                </c:pt>
                <c:pt idx="2">
                  <c:v>8.6</c:v>
                </c:pt>
                <c:pt idx="3">
                  <c:v>4</c:v>
                </c:pt>
              </c:numCache>
            </c:numRef>
          </c:val>
          <c:extLst>
            <c:ext xmlns:c16="http://schemas.microsoft.com/office/drawing/2014/chart" uri="{C3380CC4-5D6E-409C-BE32-E72D297353CC}">
              <c16:uniqueId val="{00000002-7661-4AED-962F-EEFCD8491269}"/>
            </c:ext>
          </c:extLst>
        </c:ser>
        <c:ser>
          <c:idx val="3"/>
          <c:order val="3"/>
          <c:tx>
            <c:strRef>
              <c:f>Clustering_Analysis!$P$41</c:f>
              <c:strCache>
                <c:ptCount val="1"/>
                <c:pt idx="0">
                  <c:v>Anticonvulsivants</c:v>
                </c:pt>
              </c:strCache>
            </c:strRef>
          </c:tx>
          <c:spPr>
            <a:solidFill>
              <a:schemeClr val="accent4"/>
            </a:solidFill>
            <a:ln>
              <a:noFill/>
            </a:ln>
            <a:effectLst/>
          </c:spPr>
          <c:invertIfNegative val="0"/>
          <c:cat>
            <c:strRef>
              <c:f>Clustering_Analysis!$Q$37:$T$37</c:f>
              <c:strCache>
                <c:ptCount val="4"/>
                <c:pt idx="0">
                  <c:v>C1</c:v>
                </c:pt>
                <c:pt idx="1">
                  <c:v>C2</c:v>
                </c:pt>
                <c:pt idx="2">
                  <c:v>C3</c:v>
                </c:pt>
                <c:pt idx="3">
                  <c:v>C4</c:v>
                </c:pt>
              </c:strCache>
            </c:strRef>
          </c:cat>
          <c:val>
            <c:numRef>
              <c:f>Clustering_Analysis!$Q$41:$T$41</c:f>
              <c:numCache>
                <c:formatCode>General</c:formatCode>
                <c:ptCount val="4"/>
                <c:pt idx="0">
                  <c:v>18.399999999999999</c:v>
                </c:pt>
                <c:pt idx="1">
                  <c:v>0</c:v>
                </c:pt>
                <c:pt idx="2">
                  <c:v>2.9</c:v>
                </c:pt>
                <c:pt idx="3">
                  <c:v>0</c:v>
                </c:pt>
              </c:numCache>
            </c:numRef>
          </c:val>
          <c:extLst>
            <c:ext xmlns:c16="http://schemas.microsoft.com/office/drawing/2014/chart" uri="{C3380CC4-5D6E-409C-BE32-E72D297353CC}">
              <c16:uniqueId val="{00000003-7661-4AED-962F-EEFCD8491269}"/>
            </c:ext>
          </c:extLst>
        </c:ser>
        <c:dLbls>
          <c:showLegendKey val="0"/>
          <c:showVal val="0"/>
          <c:showCatName val="0"/>
          <c:showSerName val="0"/>
          <c:showPercent val="0"/>
          <c:showBubbleSize val="0"/>
        </c:dLbls>
        <c:gapWidth val="219"/>
        <c:overlap val="-27"/>
        <c:axId val="380532736"/>
        <c:axId val="380540416"/>
      </c:barChart>
      <c:catAx>
        <c:axId val="38053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540416"/>
        <c:crosses val="autoZero"/>
        <c:auto val="1"/>
        <c:lblAlgn val="ctr"/>
        <c:lblOffset val="100"/>
        <c:noMultiLvlLbl val="0"/>
      </c:catAx>
      <c:valAx>
        <c:axId val="38054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53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Silhouette Score par Cluster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Clustering_Analysis!$Q$44</c:f>
              <c:strCache>
                <c:ptCount val="1"/>
                <c:pt idx="0">
                  <c:v>Score</c:v>
                </c:pt>
              </c:strCache>
            </c:strRef>
          </c:tx>
          <c:spPr>
            <a:solidFill>
              <a:schemeClr val="accent1"/>
            </a:solidFill>
            <a:ln>
              <a:noFill/>
            </a:ln>
            <a:effectLst/>
          </c:spPr>
          <c:invertIfNegative val="0"/>
          <c:cat>
            <c:strRef>
              <c:f>Clustering_Analysis!$P$45:$P$48</c:f>
              <c:strCache>
                <c:ptCount val="4"/>
                <c:pt idx="0">
                  <c:v>Cluster 1</c:v>
                </c:pt>
                <c:pt idx="1">
                  <c:v>Cluster 2</c:v>
                </c:pt>
                <c:pt idx="2">
                  <c:v>Cluster 3</c:v>
                </c:pt>
                <c:pt idx="3">
                  <c:v>Cluster 4</c:v>
                </c:pt>
              </c:strCache>
            </c:strRef>
          </c:cat>
          <c:val>
            <c:numRef>
              <c:f>Clustering_Analysis!$Q$45:$Q$48</c:f>
              <c:numCache>
                <c:formatCode>General</c:formatCode>
                <c:ptCount val="4"/>
                <c:pt idx="0">
                  <c:v>0.624</c:v>
                </c:pt>
                <c:pt idx="1">
                  <c:v>0.57199999999999995</c:v>
                </c:pt>
                <c:pt idx="2">
                  <c:v>0.48499999999999999</c:v>
                </c:pt>
                <c:pt idx="3">
                  <c:v>0.51200000000000001</c:v>
                </c:pt>
              </c:numCache>
            </c:numRef>
          </c:val>
          <c:extLst>
            <c:ext xmlns:c16="http://schemas.microsoft.com/office/drawing/2014/chart" uri="{C3380CC4-5D6E-409C-BE32-E72D297353CC}">
              <c16:uniqueId val="{00000000-C9C9-4E86-9457-446A9253BFF4}"/>
            </c:ext>
          </c:extLst>
        </c:ser>
        <c:dLbls>
          <c:showLegendKey val="0"/>
          <c:showVal val="0"/>
          <c:showCatName val="0"/>
          <c:showSerName val="0"/>
          <c:showPercent val="0"/>
          <c:showBubbleSize val="0"/>
        </c:dLbls>
        <c:gapWidth val="219"/>
        <c:overlap val="-27"/>
        <c:axId val="320569712"/>
        <c:axId val="320570672"/>
      </c:barChart>
      <c:catAx>
        <c:axId val="32056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570672"/>
        <c:crosses val="autoZero"/>
        <c:auto val="1"/>
        <c:lblAlgn val="ctr"/>
        <c:lblOffset val="100"/>
        <c:noMultiLvlLbl val="0"/>
      </c:catAx>
      <c:valAx>
        <c:axId val="32057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56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Distribution des 4 Clusters Hiérarchiques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Hierachical_Analysis!$Q$4</c:f>
              <c:strCache>
                <c:ptCount val="1"/>
                <c:pt idx="0">
                  <c:v>Effectif</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4A-406E-8F16-91ACBBC847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4A-406E-8F16-91ACBBC847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4A-406E-8F16-91ACBBC847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4A-406E-8F16-91ACBBC847A9}"/>
              </c:ext>
            </c:extLst>
          </c:dPt>
          <c:cat>
            <c:strRef>
              <c:f>Hierachical_Analysis!$P$5:$P$8</c:f>
              <c:strCache>
                <c:ptCount val="4"/>
                <c:pt idx="0">
                  <c:v>H1 - Sévères 🔴</c:v>
                </c:pt>
                <c:pt idx="1">
                  <c:v>H2 - Légères 🟢</c:v>
                </c:pt>
                <c:pt idx="2">
                  <c:v>H3 - Auto-immunes 🔵</c:v>
                </c:pt>
                <c:pt idx="3">
                  <c:v>H4 - Infectieuses 🟡</c:v>
                </c:pt>
              </c:strCache>
            </c:strRef>
          </c:cat>
          <c:val>
            <c:numRef>
              <c:f>Hierachical_Analysis!$Q$5:$Q$8</c:f>
              <c:numCache>
                <c:formatCode>General</c:formatCode>
                <c:ptCount val="4"/>
                <c:pt idx="0">
                  <c:v>35</c:v>
                </c:pt>
                <c:pt idx="1">
                  <c:v>40</c:v>
                </c:pt>
                <c:pt idx="2">
                  <c:v>31</c:v>
                </c:pt>
                <c:pt idx="3">
                  <c:v>24</c:v>
                </c:pt>
              </c:numCache>
            </c:numRef>
          </c:val>
          <c:extLst>
            <c:ext xmlns:c16="http://schemas.microsoft.com/office/drawing/2014/chart" uri="{C3380CC4-5D6E-409C-BE32-E72D297353CC}">
              <c16:uniqueId val="{00000000-5657-406D-82B9-6A4A9BD29C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Comparaison des Méthodes de Linkage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Hierachical_Analysis!$Q$12</c:f>
              <c:strCache>
                <c:ptCount val="1"/>
                <c:pt idx="0">
                  <c:v>Cophenetic</c:v>
                </c:pt>
              </c:strCache>
            </c:strRef>
          </c:tx>
          <c:spPr>
            <a:solidFill>
              <a:schemeClr val="accent1"/>
            </a:solidFill>
            <a:ln>
              <a:noFill/>
            </a:ln>
            <a:effectLst/>
          </c:spPr>
          <c:invertIfNegative val="0"/>
          <c:cat>
            <c:strRef>
              <c:f>Hierachical_Analysis!$P$13:$P$17</c:f>
              <c:strCache>
                <c:ptCount val="5"/>
                <c:pt idx="0">
                  <c:v>Ward</c:v>
                </c:pt>
                <c:pt idx="1">
                  <c:v>Complete</c:v>
                </c:pt>
                <c:pt idx="2">
                  <c:v>Average</c:v>
                </c:pt>
                <c:pt idx="3">
                  <c:v>Single</c:v>
                </c:pt>
                <c:pt idx="4">
                  <c:v>Centroid</c:v>
                </c:pt>
              </c:strCache>
            </c:strRef>
          </c:cat>
          <c:val>
            <c:numRef>
              <c:f>Hierachical_Analysis!$Q$13:$Q$17</c:f>
              <c:numCache>
                <c:formatCode>General</c:formatCode>
                <c:ptCount val="5"/>
                <c:pt idx="0">
                  <c:v>0.84699999999999998</c:v>
                </c:pt>
                <c:pt idx="1">
                  <c:v>0.79200000000000004</c:v>
                </c:pt>
                <c:pt idx="2">
                  <c:v>0.81499999999999995</c:v>
                </c:pt>
                <c:pt idx="3">
                  <c:v>0.63400000000000001</c:v>
                </c:pt>
                <c:pt idx="4">
                  <c:v>0.75600000000000001</c:v>
                </c:pt>
              </c:numCache>
            </c:numRef>
          </c:val>
          <c:extLst>
            <c:ext xmlns:c16="http://schemas.microsoft.com/office/drawing/2014/chart" uri="{C3380CC4-5D6E-409C-BE32-E72D297353CC}">
              <c16:uniqueId val="{00000000-9EEB-4A61-8EA1-12972C271BFE}"/>
            </c:ext>
          </c:extLst>
        </c:ser>
        <c:ser>
          <c:idx val="1"/>
          <c:order val="1"/>
          <c:tx>
            <c:strRef>
              <c:f>Hierachical_Analysis!$R$12</c:f>
              <c:strCache>
                <c:ptCount val="1"/>
                <c:pt idx="0">
                  <c:v>Silhouette</c:v>
                </c:pt>
              </c:strCache>
            </c:strRef>
          </c:tx>
          <c:spPr>
            <a:solidFill>
              <a:schemeClr val="accent2"/>
            </a:solidFill>
            <a:ln>
              <a:noFill/>
            </a:ln>
            <a:effectLst/>
          </c:spPr>
          <c:invertIfNegative val="0"/>
          <c:cat>
            <c:strRef>
              <c:f>Hierachical_Analysis!$P$13:$P$17</c:f>
              <c:strCache>
                <c:ptCount val="5"/>
                <c:pt idx="0">
                  <c:v>Ward</c:v>
                </c:pt>
                <c:pt idx="1">
                  <c:v>Complete</c:v>
                </c:pt>
                <c:pt idx="2">
                  <c:v>Average</c:v>
                </c:pt>
                <c:pt idx="3">
                  <c:v>Single</c:v>
                </c:pt>
                <c:pt idx="4">
                  <c:v>Centroid</c:v>
                </c:pt>
              </c:strCache>
            </c:strRef>
          </c:cat>
          <c:val>
            <c:numRef>
              <c:f>Hierachical_Analysis!$R$13:$R$17</c:f>
              <c:numCache>
                <c:formatCode>General</c:formatCode>
                <c:ptCount val="5"/>
                <c:pt idx="0">
                  <c:v>0.53800000000000003</c:v>
                </c:pt>
                <c:pt idx="1">
                  <c:v>0.51200000000000001</c:v>
                </c:pt>
                <c:pt idx="2">
                  <c:v>0.52500000000000002</c:v>
                </c:pt>
                <c:pt idx="3">
                  <c:v>0.38500000000000001</c:v>
                </c:pt>
                <c:pt idx="4">
                  <c:v>0.47799999999999998</c:v>
                </c:pt>
              </c:numCache>
            </c:numRef>
          </c:val>
          <c:extLst>
            <c:ext xmlns:c16="http://schemas.microsoft.com/office/drawing/2014/chart" uri="{C3380CC4-5D6E-409C-BE32-E72D297353CC}">
              <c16:uniqueId val="{00000001-9EEB-4A61-8EA1-12972C271BFE}"/>
            </c:ext>
          </c:extLst>
        </c:ser>
        <c:dLbls>
          <c:showLegendKey val="0"/>
          <c:showVal val="0"/>
          <c:showCatName val="0"/>
          <c:showSerName val="0"/>
          <c:showPercent val="0"/>
          <c:showBubbleSize val="0"/>
        </c:dLbls>
        <c:gapWidth val="219"/>
        <c:overlap val="-27"/>
        <c:axId val="964313392"/>
        <c:axId val="964309552"/>
      </c:barChart>
      <c:catAx>
        <c:axId val="96431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09552"/>
        <c:crosses val="autoZero"/>
        <c:auto val="1"/>
        <c:lblAlgn val="ctr"/>
        <c:lblOffset val="100"/>
        <c:noMultiLvlLbl val="0"/>
      </c:catAx>
      <c:valAx>
        <c:axId val="964309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13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Profil Comparatif des 4 Clusters Hiérarchiques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Hierachical_Analysis!$Q$21</c:f>
              <c:strCache>
                <c:ptCount val="1"/>
                <c:pt idx="0">
                  <c:v>H1</c:v>
                </c:pt>
              </c:strCache>
            </c:strRef>
          </c:tx>
          <c:spPr>
            <a:solidFill>
              <a:schemeClr val="accent1"/>
            </a:solidFill>
            <a:ln>
              <a:noFill/>
            </a:ln>
            <a:effectLst/>
          </c:spPr>
          <c:invertIfNegative val="0"/>
          <c:cat>
            <c:strRef>
              <c:f>Hierachical_Analysis!$P$22:$P$27</c:f>
              <c:strCache>
                <c:ptCount val="6"/>
                <c:pt idx="0">
                  <c:v>Âge (années)</c:v>
                </c:pt>
                <c:pt idx="1">
                  <c:v>Surface (%)</c:v>
                </c:pt>
                <c:pt idx="2">
                  <c:v>% Prise Med</c:v>
                </c:pt>
                <c:pt idx="3">
                  <c:v>% Fièvre</c:v>
                </c:pt>
                <c:pt idx="4">
                  <c:v>% Atteinte Mixte</c:v>
                </c:pt>
                <c:pt idx="5">
                  <c:v>Délai (jours)</c:v>
                </c:pt>
              </c:strCache>
            </c:strRef>
          </c:cat>
          <c:val>
            <c:numRef>
              <c:f>Hierachical_Analysis!$Q$22:$Q$27</c:f>
              <c:numCache>
                <c:formatCode>General</c:formatCode>
                <c:ptCount val="6"/>
                <c:pt idx="0">
                  <c:v>21.8</c:v>
                </c:pt>
                <c:pt idx="1">
                  <c:v>52.3</c:v>
                </c:pt>
                <c:pt idx="2">
                  <c:v>100</c:v>
                </c:pt>
                <c:pt idx="3">
                  <c:v>62.9</c:v>
                </c:pt>
                <c:pt idx="4">
                  <c:v>91.4</c:v>
                </c:pt>
                <c:pt idx="5">
                  <c:v>8.1999999999999993</c:v>
                </c:pt>
              </c:numCache>
            </c:numRef>
          </c:val>
          <c:extLst>
            <c:ext xmlns:c16="http://schemas.microsoft.com/office/drawing/2014/chart" uri="{C3380CC4-5D6E-409C-BE32-E72D297353CC}">
              <c16:uniqueId val="{00000000-7AEA-4824-92AC-55A205B1C290}"/>
            </c:ext>
          </c:extLst>
        </c:ser>
        <c:ser>
          <c:idx val="1"/>
          <c:order val="1"/>
          <c:tx>
            <c:strRef>
              <c:f>Hierachical_Analysis!$R$21</c:f>
              <c:strCache>
                <c:ptCount val="1"/>
                <c:pt idx="0">
                  <c:v>H2</c:v>
                </c:pt>
              </c:strCache>
            </c:strRef>
          </c:tx>
          <c:spPr>
            <a:solidFill>
              <a:schemeClr val="accent2"/>
            </a:solidFill>
            <a:ln>
              <a:noFill/>
            </a:ln>
            <a:effectLst/>
          </c:spPr>
          <c:invertIfNegative val="0"/>
          <c:cat>
            <c:strRef>
              <c:f>Hierachical_Analysis!$P$22:$P$27</c:f>
              <c:strCache>
                <c:ptCount val="6"/>
                <c:pt idx="0">
                  <c:v>Âge (années)</c:v>
                </c:pt>
                <c:pt idx="1">
                  <c:v>Surface (%)</c:v>
                </c:pt>
                <c:pt idx="2">
                  <c:v>% Prise Med</c:v>
                </c:pt>
                <c:pt idx="3">
                  <c:v>% Fièvre</c:v>
                </c:pt>
                <c:pt idx="4">
                  <c:v>% Atteinte Mixte</c:v>
                </c:pt>
                <c:pt idx="5">
                  <c:v>Délai (jours)</c:v>
                </c:pt>
              </c:strCache>
            </c:strRef>
          </c:cat>
          <c:val>
            <c:numRef>
              <c:f>Hierachical_Analysis!$R$22:$R$27</c:f>
              <c:numCache>
                <c:formatCode>General</c:formatCode>
                <c:ptCount val="6"/>
                <c:pt idx="0">
                  <c:v>39.200000000000003</c:v>
                </c:pt>
                <c:pt idx="1">
                  <c:v>11.2</c:v>
                </c:pt>
                <c:pt idx="2">
                  <c:v>72.5</c:v>
                </c:pt>
                <c:pt idx="3">
                  <c:v>2.5</c:v>
                </c:pt>
                <c:pt idx="4">
                  <c:v>15</c:v>
                </c:pt>
                <c:pt idx="5">
                  <c:v>285.39999999999998</c:v>
                </c:pt>
              </c:numCache>
            </c:numRef>
          </c:val>
          <c:extLst>
            <c:ext xmlns:c16="http://schemas.microsoft.com/office/drawing/2014/chart" uri="{C3380CC4-5D6E-409C-BE32-E72D297353CC}">
              <c16:uniqueId val="{00000001-7AEA-4824-92AC-55A205B1C290}"/>
            </c:ext>
          </c:extLst>
        </c:ser>
        <c:ser>
          <c:idx val="2"/>
          <c:order val="2"/>
          <c:tx>
            <c:strRef>
              <c:f>Hierachical_Analysis!$S$21</c:f>
              <c:strCache>
                <c:ptCount val="1"/>
                <c:pt idx="0">
                  <c:v>H3</c:v>
                </c:pt>
              </c:strCache>
            </c:strRef>
          </c:tx>
          <c:spPr>
            <a:solidFill>
              <a:schemeClr val="accent3"/>
            </a:solidFill>
            <a:ln>
              <a:noFill/>
            </a:ln>
            <a:effectLst/>
          </c:spPr>
          <c:invertIfNegative val="0"/>
          <c:cat>
            <c:strRef>
              <c:f>Hierachical_Analysis!$P$22:$P$27</c:f>
              <c:strCache>
                <c:ptCount val="6"/>
                <c:pt idx="0">
                  <c:v>Âge (années)</c:v>
                </c:pt>
                <c:pt idx="1">
                  <c:v>Surface (%)</c:v>
                </c:pt>
                <c:pt idx="2">
                  <c:v>% Prise Med</c:v>
                </c:pt>
                <c:pt idx="3">
                  <c:v>% Fièvre</c:v>
                </c:pt>
                <c:pt idx="4">
                  <c:v>% Atteinte Mixte</c:v>
                </c:pt>
                <c:pt idx="5">
                  <c:v>Délai (jours)</c:v>
                </c:pt>
              </c:strCache>
            </c:strRef>
          </c:cat>
          <c:val>
            <c:numRef>
              <c:f>Hierachical_Analysis!$S$22:$S$27</c:f>
              <c:numCache>
                <c:formatCode>General</c:formatCode>
                <c:ptCount val="6"/>
                <c:pt idx="0">
                  <c:v>62.4</c:v>
                </c:pt>
                <c:pt idx="1">
                  <c:v>17.8</c:v>
                </c:pt>
                <c:pt idx="2">
                  <c:v>9.6999999999999993</c:v>
                </c:pt>
                <c:pt idx="3">
                  <c:v>3.2</c:v>
                </c:pt>
                <c:pt idx="4">
                  <c:v>29</c:v>
                </c:pt>
                <c:pt idx="5">
                  <c:v>195.6</c:v>
                </c:pt>
              </c:numCache>
            </c:numRef>
          </c:val>
          <c:extLst>
            <c:ext xmlns:c16="http://schemas.microsoft.com/office/drawing/2014/chart" uri="{C3380CC4-5D6E-409C-BE32-E72D297353CC}">
              <c16:uniqueId val="{00000002-7AEA-4824-92AC-55A205B1C290}"/>
            </c:ext>
          </c:extLst>
        </c:ser>
        <c:ser>
          <c:idx val="3"/>
          <c:order val="3"/>
          <c:tx>
            <c:strRef>
              <c:f>Hierachical_Analysis!$T$21</c:f>
              <c:strCache>
                <c:ptCount val="1"/>
                <c:pt idx="0">
                  <c:v>H4</c:v>
                </c:pt>
              </c:strCache>
            </c:strRef>
          </c:tx>
          <c:spPr>
            <a:solidFill>
              <a:schemeClr val="accent4"/>
            </a:solidFill>
            <a:ln>
              <a:noFill/>
            </a:ln>
            <a:effectLst/>
          </c:spPr>
          <c:invertIfNegative val="0"/>
          <c:cat>
            <c:strRef>
              <c:f>Hierachical_Analysis!$P$22:$P$27</c:f>
              <c:strCache>
                <c:ptCount val="6"/>
                <c:pt idx="0">
                  <c:v>Âge (années)</c:v>
                </c:pt>
                <c:pt idx="1">
                  <c:v>Surface (%)</c:v>
                </c:pt>
                <c:pt idx="2">
                  <c:v>% Prise Med</c:v>
                </c:pt>
                <c:pt idx="3">
                  <c:v>% Fièvre</c:v>
                </c:pt>
                <c:pt idx="4">
                  <c:v>% Atteinte Mixte</c:v>
                </c:pt>
                <c:pt idx="5">
                  <c:v>Délai (jours)</c:v>
                </c:pt>
              </c:strCache>
            </c:strRef>
          </c:cat>
          <c:val>
            <c:numRef>
              <c:f>Hierachical_Analysis!$T$22:$T$27</c:f>
              <c:numCache>
                <c:formatCode>General</c:formatCode>
                <c:ptCount val="6"/>
                <c:pt idx="0">
                  <c:v>8.5</c:v>
                </c:pt>
                <c:pt idx="1">
                  <c:v>15.4</c:v>
                </c:pt>
                <c:pt idx="2">
                  <c:v>16.7</c:v>
                </c:pt>
                <c:pt idx="3">
                  <c:v>8.3000000000000007</c:v>
                </c:pt>
                <c:pt idx="4">
                  <c:v>50</c:v>
                </c:pt>
                <c:pt idx="5">
                  <c:v>22.8</c:v>
                </c:pt>
              </c:numCache>
            </c:numRef>
          </c:val>
          <c:extLst>
            <c:ext xmlns:c16="http://schemas.microsoft.com/office/drawing/2014/chart" uri="{C3380CC4-5D6E-409C-BE32-E72D297353CC}">
              <c16:uniqueId val="{00000003-7AEA-4824-92AC-55A205B1C290}"/>
            </c:ext>
          </c:extLst>
        </c:ser>
        <c:dLbls>
          <c:showLegendKey val="0"/>
          <c:showVal val="0"/>
          <c:showCatName val="0"/>
          <c:showSerName val="0"/>
          <c:showPercent val="0"/>
          <c:showBubbleSize val="0"/>
        </c:dLbls>
        <c:gapWidth val="219"/>
        <c:overlap val="-27"/>
        <c:axId val="964312912"/>
        <c:axId val="964319632"/>
      </c:barChart>
      <c:catAx>
        <c:axId val="96431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19632"/>
        <c:crosses val="autoZero"/>
        <c:auto val="1"/>
        <c:lblAlgn val="ctr"/>
        <c:lblOffset val="100"/>
        <c:noMultiLvlLbl val="0"/>
      </c:catAx>
      <c:valAx>
        <c:axId val="96431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Valeur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1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Hauteurs de Fusion du Dendrogramme (Ward)</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Hierachical_Analysis!$P$31</c:f>
              <c:strCache>
                <c:ptCount val="1"/>
                <c:pt idx="0">
                  <c:v>Étape</c:v>
                </c:pt>
              </c:strCache>
            </c:strRef>
          </c:tx>
          <c:spPr>
            <a:solidFill>
              <a:schemeClr val="accent1"/>
            </a:solidFill>
            <a:ln>
              <a:noFill/>
            </a:ln>
            <a:effectLst/>
          </c:spPr>
          <c:invertIfNegative val="0"/>
          <c:val>
            <c:numRef>
              <c:f>Hierachical_Analysis!$P$32:$P$37</c:f>
              <c:numCache>
                <c:formatCode>General</c:formatCode>
                <c:ptCount val="6"/>
                <c:pt idx="0">
                  <c:v>110</c:v>
                </c:pt>
                <c:pt idx="1">
                  <c:v>120</c:v>
                </c:pt>
                <c:pt idx="2">
                  <c:v>125</c:v>
                </c:pt>
                <c:pt idx="3">
                  <c:v>127</c:v>
                </c:pt>
                <c:pt idx="4">
                  <c:v>128</c:v>
                </c:pt>
                <c:pt idx="5">
                  <c:v>129</c:v>
                </c:pt>
              </c:numCache>
            </c:numRef>
          </c:val>
          <c:extLst>
            <c:ext xmlns:c16="http://schemas.microsoft.com/office/drawing/2014/chart" uri="{C3380CC4-5D6E-409C-BE32-E72D297353CC}">
              <c16:uniqueId val="{00000000-87D2-4AE1-9AA4-7118E3A4B120}"/>
            </c:ext>
          </c:extLst>
        </c:ser>
        <c:ser>
          <c:idx val="1"/>
          <c:order val="1"/>
          <c:tx>
            <c:strRef>
              <c:f>Hierachical_Analysis!$Q$31</c:f>
              <c:strCache>
                <c:ptCount val="1"/>
                <c:pt idx="0">
                  <c:v>Hauteur Ward</c:v>
                </c:pt>
              </c:strCache>
            </c:strRef>
          </c:tx>
          <c:spPr>
            <a:solidFill>
              <a:schemeClr val="accent2"/>
            </a:solidFill>
            <a:ln>
              <a:noFill/>
            </a:ln>
            <a:effectLst/>
          </c:spPr>
          <c:invertIfNegative val="0"/>
          <c:val>
            <c:numRef>
              <c:f>Hierachical_Analysis!$Q$32:$Q$37</c:f>
              <c:numCache>
                <c:formatCode>General</c:formatCode>
                <c:ptCount val="6"/>
                <c:pt idx="0">
                  <c:v>0.85</c:v>
                </c:pt>
                <c:pt idx="1">
                  <c:v>1.1200000000000001</c:v>
                </c:pt>
                <c:pt idx="2">
                  <c:v>0.95</c:v>
                </c:pt>
                <c:pt idx="3">
                  <c:v>2.4500000000000002</c:v>
                </c:pt>
                <c:pt idx="4">
                  <c:v>3.82</c:v>
                </c:pt>
                <c:pt idx="5">
                  <c:v>5.18</c:v>
                </c:pt>
              </c:numCache>
            </c:numRef>
          </c:val>
          <c:extLst>
            <c:ext xmlns:c16="http://schemas.microsoft.com/office/drawing/2014/chart" uri="{C3380CC4-5D6E-409C-BE32-E72D297353CC}">
              <c16:uniqueId val="{00000001-87D2-4AE1-9AA4-7118E3A4B120}"/>
            </c:ext>
          </c:extLst>
        </c:ser>
        <c:dLbls>
          <c:showLegendKey val="0"/>
          <c:showVal val="0"/>
          <c:showCatName val="0"/>
          <c:showSerName val="0"/>
          <c:showPercent val="0"/>
          <c:showBubbleSize val="0"/>
        </c:dLbls>
        <c:gapWidth val="219"/>
        <c:overlap val="-27"/>
        <c:axId val="964322032"/>
        <c:axId val="964305712"/>
      </c:barChart>
      <c:catAx>
        <c:axId val="96432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Étape de fusion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05712"/>
        <c:crosses val="autoZero"/>
        <c:auto val="1"/>
        <c:lblAlgn val="ctr"/>
        <c:lblOffset val="100"/>
        <c:noMultiLvlLbl val="0"/>
      </c:catAx>
      <c:valAx>
        <c:axId val="96430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 Ward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Silhouette et Calinski-Harabasz par K</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Hierachical_Analysis!$P$41</c:f>
              <c:strCache>
                <c:ptCount val="1"/>
                <c:pt idx="0">
                  <c:v>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Hierachical_Analysis!$P$42:$P$46</c:f>
              <c:numCache>
                <c:formatCode>General</c:formatCode>
                <c:ptCount val="5"/>
                <c:pt idx="0">
                  <c:v>2</c:v>
                </c:pt>
                <c:pt idx="1">
                  <c:v>3</c:v>
                </c:pt>
                <c:pt idx="2">
                  <c:v>4</c:v>
                </c:pt>
                <c:pt idx="3">
                  <c:v>5</c:v>
                </c:pt>
                <c:pt idx="4">
                  <c:v>6</c:v>
                </c:pt>
              </c:numCache>
            </c:numRef>
          </c:val>
          <c:smooth val="0"/>
          <c:extLst>
            <c:ext xmlns:c16="http://schemas.microsoft.com/office/drawing/2014/chart" uri="{C3380CC4-5D6E-409C-BE32-E72D297353CC}">
              <c16:uniqueId val="{00000000-CEB4-4E17-8B86-0EA29B39327F}"/>
            </c:ext>
          </c:extLst>
        </c:ser>
        <c:ser>
          <c:idx val="1"/>
          <c:order val="1"/>
          <c:tx>
            <c:strRef>
              <c:f>Hierachical_Analysis!$Q$41</c:f>
              <c:strCache>
                <c:ptCount val="1"/>
                <c:pt idx="0">
                  <c:v>Silhouette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Hierachical_Analysis!$Q$42:$Q$46</c:f>
              <c:numCache>
                <c:formatCode>General</c:formatCode>
                <c:ptCount val="5"/>
                <c:pt idx="0">
                  <c:v>0.41199999999999998</c:v>
                </c:pt>
                <c:pt idx="1">
                  <c:v>0.48499999999999999</c:v>
                </c:pt>
                <c:pt idx="2">
                  <c:v>0.53800000000000003</c:v>
                </c:pt>
                <c:pt idx="3">
                  <c:v>0.51200000000000001</c:v>
                </c:pt>
                <c:pt idx="4">
                  <c:v>0.47799999999999998</c:v>
                </c:pt>
              </c:numCache>
            </c:numRef>
          </c:val>
          <c:smooth val="0"/>
          <c:extLst>
            <c:ext xmlns:c16="http://schemas.microsoft.com/office/drawing/2014/chart" uri="{C3380CC4-5D6E-409C-BE32-E72D297353CC}">
              <c16:uniqueId val="{00000001-CEB4-4E17-8B86-0EA29B39327F}"/>
            </c:ext>
          </c:extLst>
        </c:ser>
        <c:ser>
          <c:idx val="2"/>
          <c:order val="2"/>
          <c:tx>
            <c:strRef>
              <c:f>Hierachical_Analysis!$R$41</c:f>
              <c:strCache>
                <c:ptCount val="1"/>
                <c:pt idx="0">
                  <c:v>Calinski-Harabasz</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Hierachical_Analysis!$R$42:$R$46</c:f>
              <c:numCache>
                <c:formatCode>General</c:formatCode>
                <c:ptCount val="5"/>
                <c:pt idx="0">
                  <c:v>72.3</c:v>
                </c:pt>
                <c:pt idx="1">
                  <c:v>85.6</c:v>
                </c:pt>
                <c:pt idx="2">
                  <c:v>98.7</c:v>
                </c:pt>
                <c:pt idx="3">
                  <c:v>94.2</c:v>
                </c:pt>
                <c:pt idx="4">
                  <c:v>88.9</c:v>
                </c:pt>
              </c:numCache>
            </c:numRef>
          </c:val>
          <c:smooth val="0"/>
          <c:extLst>
            <c:ext xmlns:c16="http://schemas.microsoft.com/office/drawing/2014/chart" uri="{C3380CC4-5D6E-409C-BE32-E72D297353CC}">
              <c16:uniqueId val="{00000002-CEB4-4E17-8B86-0EA29B39327F}"/>
            </c:ext>
          </c:extLst>
        </c:ser>
        <c:dLbls>
          <c:showLegendKey val="0"/>
          <c:showVal val="0"/>
          <c:showCatName val="0"/>
          <c:showSerName val="0"/>
          <c:showPercent val="0"/>
          <c:showBubbleSize val="0"/>
        </c:dLbls>
        <c:marker val="1"/>
        <c:smooth val="0"/>
        <c:axId val="964328272"/>
        <c:axId val="964325872"/>
      </c:lineChart>
      <c:catAx>
        <c:axId val="964328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Nombre de Clusters (K)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25872"/>
        <c:crosses val="autoZero"/>
        <c:auto val="1"/>
        <c:lblAlgn val="ctr"/>
        <c:lblOffset val="100"/>
        <c:noMultiLvlLbl val="0"/>
      </c:catAx>
      <c:valAx>
        <c:axId val="96432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28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Concordance Hiérarchique vs K-Means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Hierachical_Analysis!$Q$51</c:f>
              <c:strCache>
                <c:ptCount val="1"/>
                <c:pt idx="0">
                  <c:v>Valeur</c:v>
                </c:pt>
              </c:strCache>
            </c:strRef>
          </c:tx>
          <c:spPr>
            <a:solidFill>
              <a:schemeClr val="accent1"/>
            </a:solidFill>
            <a:ln>
              <a:noFill/>
            </a:ln>
            <a:effectLst/>
          </c:spPr>
          <c:invertIfNegative val="0"/>
          <c:cat>
            <c:strRef>
              <c:f>Hierachical_Analysis!$P$52:$P$55</c:f>
              <c:strCache>
                <c:ptCount val="4"/>
                <c:pt idx="0">
                  <c:v>ARI</c:v>
                </c:pt>
                <c:pt idx="1">
                  <c:v>NMI</c:v>
                </c:pt>
                <c:pt idx="2">
                  <c:v>Fowlkes-Mallows</c:v>
                </c:pt>
                <c:pt idx="3">
                  <c:v>% Concordance</c:v>
                </c:pt>
              </c:strCache>
            </c:strRef>
          </c:cat>
          <c:val>
            <c:numRef>
              <c:f>Hierachical_Analysis!$Q$52:$Q$55</c:f>
              <c:numCache>
                <c:formatCode>General</c:formatCode>
                <c:ptCount val="4"/>
                <c:pt idx="0">
                  <c:v>0.872</c:v>
                </c:pt>
                <c:pt idx="1">
                  <c:v>0.84499999999999997</c:v>
                </c:pt>
                <c:pt idx="2">
                  <c:v>0.89100000000000001</c:v>
                </c:pt>
                <c:pt idx="3">
                  <c:v>0.89200000000000002</c:v>
                </c:pt>
              </c:numCache>
            </c:numRef>
          </c:val>
          <c:extLst>
            <c:ext xmlns:c16="http://schemas.microsoft.com/office/drawing/2014/chart" uri="{C3380CC4-5D6E-409C-BE32-E72D297353CC}">
              <c16:uniqueId val="{00000000-15C0-47B3-AAF1-B570A43D9BDD}"/>
            </c:ext>
          </c:extLst>
        </c:ser>
        <c:dLbls>
          <c:showLegendKey val="0"/>
          <c:showVal val="0"/>
          <c:showCatName val="0"/>
          <c:showSerName val="0"/>
          <c:showPercent val="0"/>
          <c:showBubbleSize val="0"/>
        </c:dLbls>
        <c:gapWidth val="182"/>
        <c:axId val="964330672"/>
        <c:axId val="964331152"/>
      </c:barChart>
      <c:catAx>
        <c:axId val="96433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31152"/>
        <c:crosses val="autoZero"/>
        <c:auto val="1"/>
        <c:lblAlgn val="ctr"/>
        <c:lblOffset val="100"/>
        <c:noMultiLvlLbl val="0"/>
      </c:catAx>
      <c:valAx>
        <c:axId val="964331152"/>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3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Distribution des Catégories par Cluster Hiérarchique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Hierachical_Analysis!$P$60</c:f>
              <c:strCache>
                <c:ptCount val="1"/>
                <c:pt idx="0">
                  <c:v>Toxidermie</c:v>
                </c:pt>
              </c:strCache>
            </c:strRef>
          </c:tx>
          <c:spPr>
            <a:solidFill>
              <a:schemeClr val="accent1"/>
            </a:solidFill>
            <a:ln>
              <a:noFill/>
            </a:ln>
            <a:effectLst/>
          </c:spPr>
          <c:invertIfNegative val="0"/>
          <c:cat>
            <c:strRef>
              <c:f>Hierachical_Analysis!$Q$59:$T$59</c:f>
              <c:strCache>
                <c:ptCount val="4"/>
                <c:pt idx="0">
                  <c:v>H1</c:v>
                </c:pt>
                <c:pt idx="1">
                  <c:v>H2</c:v>
                </c:pt>
                <c:pt idx="2">
                  <c:v>H3</c:v>
                </c:pt>
                <c:pt idx="3">
                  <c:v>H4</c:v>
                </c:pt>
              </c:strCache>
            </c:strRef>
          </c:cat>
          <c:val>
            <c:numRef>
              <c:f>Hierachical_Analysis!$Q$60:$T$60</c:f>
              <c:numCache>
                <c:formatCode>General</c:formatCode>
                <c:ptCount val="4"/>
                <c:pt idx="0">
                  <c:v>35</c:v>
                </c:pt>
                <c:pt idx="1">
                  <c:v>40</c:v>
                </c:pt>
                <c:pt idx="2">
                  <c:v>0</c:v>
                </c:pt>
                <c:pt idx="3">
                  <c:v>0</c:v>
                </c:pt>
              </c:numCache>
            </c:numRef>
          </c:val>
          <c:extLst>
            <c:ext xmlns:c16="http://schemas.microsoft.com/office/drawing/2014/chart" uri="{C3380CC4-5D6E-409C-BE32-E72D297353CC}">
              <c16:uniqueId val="{00000000-898E-4838-8BA2-12C7D86A9E99}"/>
            </c:ext>
          </c:extLst>
        </c:ser>
        <c:ser>
          <c:idx val="1"/>
          <c:order val="1"/>
          <c:tx>
            <c:strRef>
              <c:f>Hierachical_Analysis!$P$61</c:f>
              <c:strCache>
                <c:ptCount val="1"/>
                <c:pt idx="0">
                  <c:v>Auto-immune</c:v>
                </c:pt>
              </c:strCache>
            </c:strRef>
          </c:tx>
          <c:spPr>
            <a:solidFill>
              <a:schemeClr val="accent2"/>
            </a:solidFill>
            <a:ln>
              <a:noFill/>
            </a:ln>
            <a:effectLst/>
          </c:spPr>
          <c:invertIfNegative val="0"/>
          <c:cat>
            <c:strRef>
              <c:f>Hierachical_Analysis!$Q$59:$T$59</c:f>
              <c:strCache>
                <c:ptCount val="4"/>
                <c:pt idx="0">
                  <c:v>H1</c:v>
                </c:pt>
                <c:pt idx="1">
                  <c:v>H2</c:v>
                </c:pt>
                <c:pt idx="2">
                  <c:v>H3</c:v>
                </c:pt>
                <c:pt idx="3">
                  <c:v>H4</c:v>
                </c:pt>
              </c:strCache>
            </c:strRef>
          </c:cat>
          <c:val>
            <c:numRef>
              <c:f>Hierachical_Analysis!$Q$61:$T$61</c:f>
              <c:numCache>
                <c:formatCode>General</c:formatCode>
                <c:ptCount val="4"/>
                <c:pt idx="0">
                  <c:v>0</c:v>
                </c:pt>
                <c:pt idx="1">
                  <c:v>0</c:v>
                </c:pt>
                <c:pt idx="2">
                  <c:v>31</c:v>
                </c:pt>
                <c:pt idx="3">
                  <c:v>0</c:v>
                </c:pt>
              </c:numCache>
            </c:numRef>
          </c:val>
          <c:extLst>
            <c:ext xmlns:c16="http://schemas.microsoft.com/office/drawing/2014/chart" uri="{C3380CC4-5D6E-409C-BE32-E72D297353CC}">
              <c16:uniqueId val="{00000001-898E-4838-8BA2-12C7D86A9E99}"/>
            </c:ext>
          </c:extLst>
        </c:ser>
        <c:ser>
          <c:idx val="2"/>
          <c:order val="2"/>
          <c:tx>
            <c:strRef>
              <c:f>Hierachical_Analysis!$P$62</c:f>
              <c:strCache>
                <c:ptCount val="1"/>
                <c:pt idx="0">
                  <c:v>Infectieuse</c:v>
                </c:pt>
              </c:strCache>
            </c:strRef>
          </c:tx>
          <c:spPr>
            <a:solidFill>
              <a:schemeClr val="accent3"/>
            </a:solidFill>
            <a:ln>
              <a:noFill/>
            </a:ln>
            <a:effectLst/>
          </c:spPr>
          <c:invertIfNegative val="0"/>
          <c:cat>
            <c:strRef>
              <c:f>Hierachical_Analysis!$Q$59:$T$59</c:f>
              <c:strCache>
                <c:ptCount val="4"/>
                <c:pt idx="0">
                  <c:v>H1</c:v>
                </c:pt>
                <c:pt idx="1">
                  <c:v>H2</c:v>
                </c:pt>
                <c:pt idx="2">
                  <c:v>H3</c:v>
                </c:pt>
                <c:pt idx="3">
                  <c:v>H4</c:v>
                </c:pt>
              </c:strCache>
            </c:strRef>
          </c:cat>
          <c:val>
            <c:numRef>
              <c:f>Hierachical_Analysis!$Q$62:$T$62</c:f>
              <c:numCache>
                <c:formatCode>General</c:formatCode>
                <c:ptCount val="4"/>
                <c:pt idx="0">
                  <c:v>0</c:v>
                </c:pt>
                <c:pt idx="1">
                  <c:v>0</c:v>
                </c:pt>
                <c:pt idx="2">
                  <c:v>0</c:v>
                </c:pt>
                <c:pt idx="3">
                  <c:v>19</c:v>
                </c:pt>
              </c:numCache>
            </c:numRef>
          </c:val>
          <c:extLst>
            <c:ext xmlns:c16="http://schemas.microsoft.com/office/drawing/2014/chart" uri="{C3380CC4-5D6E-409C-BE32-E72D297353CC}">
              <c16:uniqueId val="{00000002-898E-4838-8BA2-12C7D86A9E99}"/>
            </c:ext>
          </c:extLst>
        </c:ser>
        <c:ser>
          <c:idx val="3"/>
          <c:order val="3"/>
          <c:tx>
            <c:strRef>
              <c:f>Hierachical_Analysis!$P$63</c:f>
              <c:strCache>
                <c:ptCount val="1"/>
                <c:pt idx="0">
                  <c:v>Immunoallergique</c:v>
                </c:pt>
              </c:strCache>
            </c:strRef>
          </c:tx>
          <c:spPr>
            <a:solidFill>
              <a:schemeClr val="accent4"/>
            </a:solidFill>
            <a:ln>
              <a:noFill/>
            </a:ln>
            <a:effectLst/>
          </c:spPr>
          <c:invertIfNegative val="0"/>
          <c:cat>
            <c:strRef>
              <c:f>Hierachical_Analysis!$Q$59:$T$59</c:f>
              <c:strCache>
                <c:ptCount val="4"/>
                <c:pt idx="0">
                  <c:v>H1</c:v>
                </c:pt>
                <c:pt idx="1">
                  <c:v>H2</c:v>
                </c:pt>
                <c:pt idx="2">
                  <c:v>H3</c:v>
                </c:pt>
                <c:pt idx="3">
                  <c:v>H4</c:v>
                </c:pt>
              </c:strCache>
            </c:strRef>
          </c:cat>
          <c:val>
            <c:numRef>
              <c:f>Hierachical_Analysis!$Q$63:$T$63</c:f>
              <c:numCache>
                <c:formatCode>General</c:formatCode>
                <c:ptCount val="4"/>
                <c:pt idx="0">
                  <c:v>0</c:v>
                </c:pt>
                <c:pt idx="1">
                  <c:v>0</c:v>
                </c:pt>
                <c:pt idx="2">
                  <c:v>0</c:v>
                </c:pt>
                <c:pt idx="3">
                  <c:v>5</c:v>
                </c:pt>
              </c:numCache>
            </c:numRef>
          </c:val>
          <c:extLst>
            <c:ext xmlns:c16="http://schemas.microsoft.com/office/drawing/2014/chart" uri="{C3380CC4-5D6E-409C-BE32-E72D297353CC}">
              <c16:uniqueId val="{00000003-898E-4838-8BA2-12C7D86A9E99}"/>
            </c:ext>
          </c:extLst>
        </c:ser>
        <c:dLbls>
          <c:showLegendKey val="0"/>
          <c:showVal val="0"/>
          <c:showCatName val="0"/>
          <c:showSerName val="0"/>
          <c:showPercent val="0"/>
          <c:showBubbleSize val="0"/>
        </c:dLbls>
        <c:gapWidth val="150"/>
        <c:overlap val="100"/>
        <c:axId val="964336432"/>
        <c:axId val="964331632"/>
      </c:barChart>
      <c:catAx>
        <c:axId val="96433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31632"/>
        <c:crosses val="autoZero"/>
        <c:auto val="1"/>
        <c:lblAlgn val="ctr"/>
        <c:lblOffset val="100"/>
        <c:noMultiLvlLbl val="0"/>
      </c:catAx>
      <c:valAx>
        <c:axId val="96433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36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10" Type="http://schemas.openxmlformats.org/officeDocument/2006/relationships/chart" Target="../charts/chart33.xml"/><Relationship Id="rId4" Type="http://schemas.openxmlformats.org/officeDocument/2006/relationships/chart" Target="../charts/chart27.xml"/><Relationship Id="rId9" Type="http://schemas.openxmlformats.org/officeDocument/2006/relationships/chart" Target="../charts/chart3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s>
</file>

<file path=xl/drawings/drawing1.xml><?xml version="1.0" encoding="utf-8"?>
<xdr:wsDr xmlns:xdr="http://schemas.openxmlformats.org/drawingml/2006/spreadsheetDrawing" xmlns:a="http://schemas.openxmlformats.org/drawingml/2006/main">
  <xdr:twoCellAnchor>
    <xdr:from>
      <xdr:col>9</xdr:col>
      <xdr:colOff>321733</xdr:colOff>
      <xdr:row>3</xdr:row>
      <xdr:rowOff>16933</xdr:rowOff>
    </xdr:from>
    <xdr:to>
      <xdr:col>16</xdr:col>
      <xdr:colOff>321733</xdr:colOff>
      <xdr:row>18</xdr:row>
      <xdr:rowOff>152400</xdr:rowOff>
    </xdr:to>
    <xdr:graphicFrame macro="">
      <xdr:nvGraphicFramePr>
        <xdr:cNvPr id="2" name="Chart 1">
          <a:extLst>
            <a:ext uri="{FF2B5EF4-FFF2-40B4-BE49-F238E27FC236}">
              <a16:creationId xmlns:a16="http://schemas.microsoft.com/office/drawing/2014/main" id="{52E0894C-E394-40DD-B62E-CAF474A46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110067</xdr:colOff>
      <xdr:row>58</xdr:row>
      <xdr:rowOff>135467</xdr:rowOff>
    </xdr:from>
    <xdr:to>
      <xdr:col>11</xdr:col>
      <xdr:colOff>110067</xdr:colOff>
      <xdr:row>74</xdr:row>
      <xdr:rowOff>135467</xdr:rowOff>
    </xdr:to>
    <xdr:graphicFrame macro="">
      <xdr:nvGraphicFramePr>
        <xdr:cNvPr id="3" name="Chart 2">
          <a:extLst>
            <a:ext uri="{FF2B5EF4-FFF2-40B4-BE49-F238E27FC236}">
              <a16:creationId xmlns:a16="http://schemas.microsoft.com/office/drawing/2014/main" id="{0BD48016-7EDB-A27A-C55D-4DFBED300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19</xdr:row>
      <xdr:rowOff>0</xdr:rowOff>
    </xdr:from>
    <xdr:to>
      <xdr:col>10</xdr:col>
      <xdr:colOff>677333</xdr:colOff>
      <xdr:row>35</xdr:row>
      <xdr:rowOff>0</xdr:rowOff>
    </xdr:to>
    <xdr:graphicFrame macro="">
      <xdr:nvGraphicFramePr>
        <xdr:cNvPr id="4" name="Chart 3">
          <a:extLst>
            <a:ext uri="{FF2B5EF4-FFF2-40B4-BE49-F238E27FC236}">
              <a16:creationId xmlns:a16="http://schemas.microsoft.com/office/drawing/2014/main" id="{874FCED6-F2C9-EC02-8127-C600423C9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143934</xdr:colOff>
      <xdr:row>26</xdr:row>
      <xdr:rowOff>127000</xdr:rowOff>
    </xdr:from>
    <xdr:to>
      <xdr:col>18</xdr:col>
      <xdr:colOff>143933</xdr:colOff>
      <xdr:row>42</xdr:row>
      <xdr:rowOff>127000</xdr:rowOff>
    </xdr:to>
    <xdr:graphicFrame macro="">
      <xdr:nvGraphicFramePr>
        <xdr:cNvPr id="5" name="Chart 4">
          <a:extLst>
            <a:ext uri="{FF2B5EF4-FFF2-40B4-BE49-F238E27FC236}">
              <a16:creationId xmlns:a16="http://schemas.microsoft.com/office/drawing/2014/main" id="{9A460392-2131-A19C-2454-1C1E52BF4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85</xdr:row>
      <xdr:rowOff>186266</xdr:rowOff>
    </xdr:from>
    <xdr:to>
      <xdr:col>10</xdr:col>
      <xdr:colOff>677333</xdr:colOff>
      <xdr:row>101</xdr:row>
      <xdr:rowOff>186266</xdr:rowOff>
    </xdr:to>
    <xdr:graphicFrame macro="">
      <xdr:nvGraphicFramePr>
        <xdr:cNvPr id="6" name="Chart 5">
          <a:extLst>
            <a:ext uri="{FF2B5EF4-FFF2-40B4-BE49-F238E27FC236}">
              <a16:creationId xmlns:a16="http://schemas.microsoft.com/office/drawing/2014/main" id="{D9F8C0F8-50C4-B929-3CD7-F5B2F1373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228600</xdr:colOff>
      <xdr:row>78</xdr:row>
      <xdr:rowOff>160866</xdr:rowOff>
    </xdr:from>
    <xdr:to>
      <xdr:col>18</xdr:col>
      <xdr:colOff>228599</xdr:colOff>
      <xdr:row>94</xdr:row>
      <xdr:rowOff>110067</xdr:rowOff>
    </xdr:to>
    <xdr:graphicFrame macro="">
      <xdr:nvGraphicFramePr>
        <xdr:cNvPr id="7" name="Chart 6">
          <a:extLst>
            <a:ext uri="{FF2B5EF4-FFF2-40B4-BE49-F238E27FC236}">
              <a16:creationId xmlns:a16="http://schemas.microsoft.com/office/drawing/2014/main" id="{F2A3751A-CC61-DC65-0644-DE37391C9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474133</xdr:colOff>
      <xdr:row>44</xdr:row>
      <xdr:rowOff>101600</xdr:rowOff>
    </xdr:from>
    <xdr:to>
      <xdr:col>18</xdr:col>
      <xdr:colOff>474132</xdr:colOff>
      <xdr:row>60</xdr:row>
      <xdr:rowOff>101600</xdr:rowOff>
    </xdr:to>
    <xdr:graphicFrame macro="">
      <xdr:nvGraphicFramePr>
        <xdr:cNvPr id="8" name="Chart 7">
          <a:extLst>
            <a:ext uri="{FF2B5EF4-FFF2-40B4-BE49-F238E27FC236}">
              <a16:creationId xmlns:a16="http://schemas.microsoft.com/office/drawing/2014/main" id="{C627CF73-32AA-9C75-2501-40379A230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406401</xdr:colOff>
      <xdr:row>61</xdr:row>
      <xdr:rowOff>110067</xdr:rowOff>
    </xdr:from>
    <xdr:to>
      <xdr:col>18</xdr:col>
      <xdr:colOff>406400</xdr:colOff>
      <xdr:row>77</xdr:row>
      <xdr:rowOff>110067</xdr:rowOff>
    </xdr:to>
    <xdr:graphicFrame macro="">
      <xdr:nvGraphicFramePr>
        <xdr:cNvPr id="9" name="Chart 8">
          <a:extLst>
            <a:ext uri="{FF2B5EF4-FFF2-40B4-BE49-F238E27FC236}">
              <a16:creationId xmlns:a16="http://schemas.microsoft.com/office/drawing/2014/main" id="{C800F5B2-4F75-DEEA-8945-6252C6170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127000</xdr:colOff>
      <xdr:row>96</xdr:row>
      <xdr:rowOff>67735</xdr:rowOff>
    </xdr:from>
    <xdr:to>
      <xdr:col>18</xdr:col>
      <xdr:colOff>126999</xdr:colOff>
      <xdr:row>112</xdr:row>
      <xdr:rowOff>67735</xdr:rowOff>
    </xdr:to>
    <xdr:graphicFrame macro="">
      <xdr:nvGraphicFramePr>
        <xdr:cNvPr id="10" name="Chart 9">
          <a:extLst>
            <a:ext uri="{FF2B5EF4-FFF2-40B4-BE49-F238E27FC236}">
              <a16:creationId xmlns:a16="http://schemas.microsoft.com/office/drawing/2014/main" id="{EF2B803A-3E7F-076A-D838-470AF10B5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220134</xdr:colOff>
      <xdr:row>114</xdr:row>
      <xdr:rowOff>118533</xdr:rowOff>
    </xdr:from>
    <xdr:to>
      <xdr:col>18</xdr:col>
      <xdr:colOff>220133</xdr:colOff>
      <xdr:row>130</xdr:row>
      <xdr:rowOff>118533</xdr:rowOff>
    </xdr:to>
    <xdr:graphicFrame macro="">
      <xdr:nvGraphicFramePr>
        <xdr:cNvPr id="11" name="Chart 10">
          <a:extLst>
            <a:ext uri="{FF2B5EF4-FFF2-40B4-BE49-F238E27FC236}">
              <a16:creationId xmlns:a16="http://schemas.microsoft.com/office/drawing/2014/main" id="{9A2D5530-9CFC-4782-57D6-B78C71D01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0</xdr:colOff>
      <xdr:row>125</xdr:row>
      <xdr:rowOff>186266</xdr:rowOff>
    </xdr:from>
    <xdr:to>
      <xdr:col>10</xdr:col>
      <xdr:colOff>677333</xdr:colOff>
      <xdr:row>142</xdr:row>
      <xdr:rowOff>0</xdr:rowOff>
    </xdr:to>
    <xdr:graphicFrame macro="">
      <xdr:nvGraphicFramePr>
        <xdr:cNvPr id="12" name="Chart 11">
          <a:extLst>
            <a:ext uri="{FF2B5EF4-FFF2-40B4-BE49-F238E27FC236}">
              <a16:creationId xmlns:a16="http://schemas.microsoft.com/office/drawing/2014/main" id="{9C0A6D46-4654-61CC-EBD6-B1CAD395E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660400</xdr:colOff>
      <xdr:row>141</xdr:row>
      <xdr:rowOff>8465</xdr:rowOff>
    </xdr:from>
    <xdr:to>
      <xdr:col>17</xdr:col>
      <xdr:colOff>660400</xdr:colOff>
      <xdr:row>157</xdr:row>
      <xdr:rowOff>8465</xdr:rowOff>
    </xdr:to>
    <xdr:graphicFrame macro="">
      <xdr:nvGraphicFramePr>
        <xdr:cNvPr id="13" name="Chart 12">
          <a:extLst>
            <a:ext uri="{FF2B5EF4-FFF2-40B4-BE49-F238E27FC236}">
              <a16:creationId xmlns:a16="http://schemas.microsoft.com/office/drawing/2014/main" id="{FC917DAE-A223-3E09-ECD0-C72E1C4D5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0</xdr:colOff>
      <xdr:row>154</xdr:row>
      <xdr:rowOff>0</xdr:rowOff>
    </xdr:from>
    <xdr:to>
      <xdr:col>10</xdr:col>
      <xdr:colOff>677333</xdr:colOff>
      <xdr:row>170</xdr:row>
      <xdr:rowOff>0</xdr:rowOff>
    </xdr:to>
    <xdr:graphicFrame macro="">
      <xdr:nvGraphicFramePr>
        <xdr:cNvPr id="14" name="Chart 13">
          <a:extLst>
            <a:ext uri="{FF2B5EF4-FFF2-40B4-BE49-F238E27FC236}">
              <a16:creationId xmlns:a16="http://schemas.microsoft.com/office/drawing/2014/main" id="{0FEE54B3-7006-F23E-4FD2-1063B699C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321733</xdr:colOff>
      <xdr:row>167</xdr:row>
      <xdr:rowOff>160868</xdr:rowOff>
    </xdr:from>
    <xdr:to>
      <xdr:col>18</xdr:col>
      <xdr:colOff>321732</xdr:colOff>
      <xdr:row>183</xdr:row>
      <xdr:rowOff>160868</xdr:rowOff>
    </xdr:to>
    <xdr:graphicFrame macro="">
      <xdr:nvGraphicFramePr>
        <xdr:cNvPr id="15" name="Chart 14">
          <a:extLst>
            <a:ext uri="{FF2B5EF4-FFF2-40B4-BE49-F238E27FC236}">
              <a16:creationId xmlns:a16="http://schemas.microsoft.com/office/drawing/2014/main" id="{3F47EF99-CE51-4702-90B0-A9FEBE095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0</xdr:colOff>
      <xdr:row>183</xdr:row>
      <xdr:rowOff>186265</xdr:rowOff>
    </xdr:from>
    <xdr:to>
      <xdr:col>10</xdr:col>
      <xdr:colOff>677333</xdr:colOff>
      <xdr:row>199</xdr:row>
      <xdr:rowOff>186266</xdr:rowOff>
    </xdr:to>
    <xdr:graphicFrame macro="">
      <xdr:nvGraphicFramePr>
        <xdr:cNvPr id="16" name="Chart 15">
          <a:extLst>
            <a:ext uri="{FF2B5EF4-FFF2-40B4-BE49-F238E27FC236}">
              <a16:creationId xmlns:a16="http://schemas.microsoft.com/office/drawing/2014/main" id="{150B4CE7-D19F-D9FF-9BE4-1DE876F76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474133</xdr:colOff>
      <xdr:row>196</xdr:row>
      <xdr:rowOff>25400</xdr:rowOff>
    </xdr:from>
    <xdr:to>
      <xdr:col>18</xdr:col>
      <xdr:colOff>474132</xdr:colOff>
      <xdr:row>212</xdr:row>
      <xdr:rowOff>25400</xdr:rowOff>
    </xdr:to>
    <xdr:graphicFrame macro="">
      <xdr:nvGraphicFramePr>
        <xdr:cNvPr id="17" name="Chart 16">
          <a:extLst>
            <a:ext uri="{FF2B5EF4-FFF2-40B4-BE49-F238E27FC236}">
              <a16:creationId xmlns:a16="http://schemas.microsoft.com/office/drawing/2014/main" id="{D5A089D4-8F1C-D32A-4F91-4676A3721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0</xdr:colOff>
      <xdr:row>212</xdr:row>
      <xdr:rowOff>186265</xdr:rowOff>
    </xdr:from>
    <xdr:to>
      <xdr:col>10</xdr:col>
      <xdr:colOff>677333</xdr:colOff>
      <xdr:row>228</xdr:row>
      <xdr:rowOff>186266</xdr:rowOff>
    </xdr:to>
    <xdr:graphicFrame macro="">
      <xdr:nvGraphicFramePr>
        <xdr:cNvPr id="18" name="Chart 17">
          <a:extLst>
            <a:ext uri="{FF2B5EF4-FFF2-40B4-BE49-F238E27FC236}">
              <a16:creationId xmlns:a16="http://schemas.microsoft.com/office/drawing/2014/main" id="{5FCD7996-9D02-2ECD-4F69-D03A9D275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381000</xdr:colOff>
      <xdr:row>224</xdr:row>
      <xdr:rowOff>101601</xdr:rowOff>
    </xdr:from>
    <xdr:to>
      <xdr:col>18</xdr:col>
      <xdr:colOff>380999</xdr:colOff>
      <xdr:row>240</xdr:row>
      <xdr:rowOff>101602</xdr:rowOff>
    </xdr:to>
    <xdr:graphicFrame macro="">
      <xdr:nvGraphicFramePr>
        <xdr:cNvPr id="19" name="Chart 18">
          <a:extLst>
            <a:ext uri="{FF2B5EF4-FFF2-40B4-BE49-F238E27FC236}">
              <a16:creationId xmlns:a16="http://schemas.microsoft.com/office/drawing/2014/main" id="{4092B9F3-7910-6CFC-7D84-62A703559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93134</xdr:colOff>
      <xdr:row>39</xdr:row>
      <xdr:rowOff>143934</xdr:rowOff>
    </xdr:from>
    <xdr:to>
      <xdr:col>11</xdr:col>
      <xdr:colOff>93134</xdr:colOff>
      <xdr:row>55</xdr:row>
      <xdr:rowOff>143935</xdr:rowOff>
    </xdr:to>
    <xdr:graphicFrame macro="">
      <xdr:nvGraphicFramePr>
        <xdr:cNvPr id="20" name="Chart 19">
          <a:extLst>
            <a:ext uri="{FF2B5EF4-FFF2-40B4-BE49-F238E27FC236}">
              <a16:creationId xmlns:a16="http://schemas.microsoft.com/office/drawing/2014/main" id="{3508F2C4-B0D3-7E67-36BC-A54B07F79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262467</xdr:colOff>
      <xdr:row>242</xdr:row>
      <xdr:rowOff>50799</xdr:rowOff>
    </xdr:from>
    <xdr:to>
      <xdr:col>19</xdr:col>
      <xdr:colOff>262467</xdr:colOff>
      <xdr:row>258</xdr:row>
      <xdr:rowOff>50800</xdr:rowOff>
    </xdr:to>
    <xdr:graphicFrame macro="">
      <xdr:nvGraphicFramePr>
        <xdr:cNvPr id="21" name="Chart 20">
          <a:extLst>
            <a:ext uri="{FF2B5EF4-FFF2-40B4-BE49-F238E27FC236}">
              <a16:creationId xmlns:a16="http://schemas.microsoft.com/office/drawing/2014/main" id="{1865214E-C332-2759-CF7F-1330A146D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194734</xdr:colOff>
      <xdr:row>242</xdr:row>
      <xdr:rowOff>118533</xdr:rowOff>
    </xdr:from>
    <xdr:to>
      <xdr:col>12</xdr:col>
      <xdr:colOff>194733</xdr:colOff>
      <xdr:row>258</xdr:row>
      <xdr:rowOff>118534</xdr:rowOff>
    </xdr:to>
    <xdr:graphicFrame macro="">
      <xdr:nvGraphicFramePr>
        <xdr:cNvPr id="22" name="Chart 21">
          <a:extLst>
            <a:ext uri="{FF2B5EF4-FFF2-40B4-BE49-F238E27FC236}">
              <a16:creationId xmlns:a16="http://schemas.microsoft.com/office/drawing/2014/main" id="{CF1984FF-D4E6-3082-92C8-A0F8392CE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197</xdr:row>
      <xdr:rowOff>1</xdr:rowOff>
    </xdr:from>
    <xdr:to>
      <xdr:col>12</xdr:col>
      <xdr:colOff>0</xdr:colOff>
      <xdr:row>215</xdr:row>
      <xdr:rowOff>1</xdr:rowOff>
    </xdr:to>
    <xdr:graphicFrame macro="">
      <xdr:nvGraphicFramePr>
        <xdr:cNvPr id="2" name="Chart 1">
          <a:extLst>
            <a:ext uri="{FF2B5EF4-FFF2-40B4-BE49-F238E27FC236}">
              <a16:creationId xmlns:a16="http://schemas.microsoft.com/office/drawing/2014/main" id="{4BA4FAAC-E979-500B-9928-2B796839D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218</xdr:row>
      <xdr:rowOff>186265</xdr:rowOff>
    </xdr:from>
    <xdr:to>
      <xdr:col>12</xdr:col>
      <xdr:colOff>0</xdr:colOff>
      <xdr:row>237</xdr:row>
      <xdr:rowOff>186266</xdr:rowOff>
    </xdr:to>
    <xdr:graphicFrame macro="">
      <xdr:nvGraphicFramePr>
        <xdr:cNvPr id="3" name="Chart 2">
          <a:extLst>
            <a:ext uri="{FF2B5EF4-FFF2-40B4-BE49-F238E27FC236}">
              <a16:creationId xmlns:a16="http://schemas.microsoft.com/office/drawing/2014/main" id="{535F84E1-34F4-C8C3-9CFD-EA78472F0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110066</xdr:colOff>
      <xdr:row>12</xdr:row>
      <xdr:rowOff>93134</xdr:rowOff>
    </xdr:from>
    <xdr:to>
      <xdr:col>13</xdr:col>
      <xdr:colOff>338667</xdr:colOff>
      <xdr:row>27</xdr:row>
      <xdr:rowOff>93135</xdr:rowOff>
    </xdr:to>
    <xdr:graphicFrame macro="">
      <xdr:nvGraphicFramePr>
        <xdr:cNvPr id="3" name="Chart 2">
          <a:extLst>
            <a:ext uri="{FF2B5EF4-FFF2-40B4-BE49-F238E27FC236}">
              <a16:creationId xmlns:a16="http://schemas.microsoft.com/office/drawing/2014/main" id="{AEE085A0-97BB-1C4C-4504-BD67D1C5E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50801</xdr:colOff>
      <xdr:row>38</xdr:row>
      <xdr:rowOff>67734</xdr:rowOff>
    </xdr:from>
    <xdr:to>
      <xdr:col>13</xdr:col>
      <xdr:colOff>397934</xdr:colOff>
      <xdr:row>55</xdr:row>
      <xdr:rowOff>101600</xdr:rowOff>
    </xdr:to>
    <xdr:graphicFrame macro="">
      <xdr:nvGraphicFramePr>
        <xdr:cNvPr id="4" name="Chart 3">
          <a:extLst>
            <a:ext uri="{FF2B5EF4-FFF2-40B4-BE49-F238E27FC236}">
              <a16:creationId xmlns:a16="http://schemas.microsoft.com/office/drawing/2014/main" id="{012EDCDA-76BC-7DA1-2BCB-0FF5F547F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270933</xdr:colOff>
      <xdr:row>71</xdr:row>
      <xdr:rowOff>0</xdr:rowOff>
    </xdr:from>
    <xdr:to>
      <xdr:col>12</xdr:col>
      <xdr:colOff>643466</xdr:colOff>
      <xdr:row>88</xdr:row>
      <xdr:rowOff>0</xdr:rowOff>
    </xdr:to>
    <xdr:graphicFrame macro="">
      <xdr:nvGraphicFramePr>
        <xdr:cNvPr id="5" name="Chart 4">
          <a:extLst>
            <a:ext uri="{FF2B5EF4-FFF2-40B4-BE49-F238E27FC236}">
              <a16:creationId xmlns:a16="http://schemas.microsoft.com/office/drawing/2014/main" id="{91C850EB-6557-16EB-107A-10002B8CF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144</xdr:row>
      <xdr:rowOff>0</xdr:rowOff>
    </xdr:from>
    <xdr:to>
      <xdr:col>12</xdr:col>
      <xdr:colOff>0</xdr:colOff>
      <xdr:row>158</xdr:row>
      <xdr:rowOff>0</xdr:rowOff>
    </xdr:to>
    <xdr:graphicFrame macro="">
      <xdr:nvGraphicFramePr>
        <xdr:cNvPr id="6" name="Chart 5">
          <a:extLst>
            <a:ext uri="{FF2B5EF4-FFF2-40B4-BE49-F238E27FC236}">
              <a16:creationId xmlns:a16="http://schemas.microsoft.com/office/drawing/2014/main" id="{F4693BEC-25B8-403B-B27A-E7F3EAC79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524933</xdr:colOff>
      <xdr:row>52</xdr:row>
      <xdr:rowOff>143933</xdr:rowOff>
    </xdr:from>
    <xdr:to>
      <xdr:col>21</xdr:col>
      <xdr:colOff>524932</xdr:colOff>
      <xdr:row>68</xdr:row>
      <xdr:rowOff>143933</xdr:rowOff>
    </xdr:to>
    <xdr:graphicFrame macro="">
      <xdr:nvGraphicFramePr>
        <xdr:cNvPr id="7" name="Chart 6">
          <a:extLst>
            <a:ext uri="{FF2B5EF4-FFF2-40B4-BE49-F238E27FC236}">
              <a16:creationId xmlns:a16="http://schemas.microsoft.com/office/drawing/2014/main" id="{00D5CDFA-143A-6046-71DC-3229E09C0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59</xdr:row>
      <xdr:rowOff>0</xdr:rowOff>
    </xdr:from>
    <xdr:to>
      <xdr:col>14</xdr:col>
      <xdr:colOff>0</xdr:colOff>
      <xdr:row>75</xdr:row>
      <xdr:rowOff>0</xdr:rowOff>
    </xdr:to>
    <xdr:graphicFrame macro="">
      <xdr:nvGraphicFramePr>
        <xdr:cNvPr id="8" name="Chart 7">
          <a:extLst>
            <a:ext uri="{FF2B5EF4-FFF2-40B4-BE49-F238E27FC236}">
              <a16:creationId xmlns:a16="http://schemas.microsoft.com/office/drawing/2014/main" id="{AB8FA88F-9F89-9754-F21E-B93D12386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76</xdr:row>
      <xdr:rowOff>1</xdr:rowOff>
    </xdr:from>
    <xdr:to>
      <xdr:col>14</xdr:col>
      <xdr:colOff>0</xdr:colOff>
      <xdr:row>92</xdr:row>
      <xdr:rowOff>1</xdr:rowOff>
    </xdr:to>
    <xdr:graphicFrame macro="">
      <xdr:nvGraphicFramePr>
        <xdr:cNvPr id="9" name="Chart 8">
          <a:extLst>
            <a:ext uri="{FF2B5EF4-FFF2-40B4-BE49-F238E27FC236}">
              <a16:creationId xmlns:a16="http://schemas.microsoft.com/office/drawing/2014/main" id="{8BB40D61-CBAA-83C9-B2B4-4049F388B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92</xdr:row>
      <xdr:rowOff>186266</xdr:rowOff>
    </xdr:from>
    <xdr:to>
      <xdr:col>14</xdr:col>
      <xdr:colOff>0</xdr:colOff>
      <xdr:row>109</xdr:row>
      <xdr:rowOff>0</xdr:rowOff>
    </xdr:to>
    <xdr:graphicFrame macro="">
      <xdr:nvGraphicFramePr>
        <xdr:cNvPr id="10" name="Chart 9">
          <a:extLst>
            <a:ext uri="{FF2B5EF4-FFF2-40B4-BE49-F238E27FC236}">
              <a16:creationId xmlns:a16="http://schemas.microsoft.com/office/drawing/2014/main" id="{FA99973D-B171-5B5B-D7B6-BF9CA782D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110</xdr:row>
      <xdr:rowOff>0</xdr:rowOff>
    </xdr:from>
    <xdr:to>
      <xdr:col>14</xdr:col>
      <xdr:colOff>0</xdr:colOff>
      <xdr:row>126</xdr:row>
      <xdr:rowOff>0</xdr:rowOff>
    </xdr:to>
    <xdr:graphicFrame macro="">
      <xdr:nvGraphicFramePr>
        <xdr:cNvPr id="11" name="Chart 10">
          <a:extLst>
            <a:ext uri="{FF2B5EF4-FFF2-40B4-BE49-F238E27FC236}">
              <a16:creationId xmlns:a16="http://schemas.microsoft.com/office/drawing/2014/main" id="{F105D334-DA59-0946-5FE2-649EF1533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127</xdr:row>
      <xdr:rowOff>1</xdr:rowOff>
    </xdr:from>
    <xdr:to>
      <xdr:col>14</xdr:col>
      <xdr:colOff>0</xdr:colOff>
      <xdr:row>143</xdr:row>
      <xdr:rowOff>0</xdr:rowOff>
    </xdr:to>
    <xdr:graphicFrame macro="">
      <xdr:nvGraphicFramePr>
        <xdr:cNvPr id="12" name="Chart 11">
          <a:extLst>
            <a:ext uri="{FF2B5EF4-FFF2-40B4-BE49-F238E27FC236}">
              <a16:creationId xmlns:a16="http://schemas.microsoft.com/office/drawing/2014/main" id="{AD082E7B-5D8C-F9E3-A71C-FCBBFC2DA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21</xdr:col>
      <xdr:colOff>0</xdr:colOff>
      <xdr:row>3</xdr:row>
      <xdr:rowOff>0</xdr:rowOff>
    </xdr:from>
    <xdr:to>
      <xdr:col>31</xdr:col>
      <xdr:colOff>0</xdr:colOff>
      <xdr:row>19</xdr:row>
      <xdr:rowOff>186266</xdr:rowOff>
    </xdr:to>
    <xdr:graphicFrame macro="">
      <xdr:nvGraphicFramePr>
        <xdr:cNvPr id="2" name="Chart 1">
          <a:extLst>
            <a:ext uri="{FF2B5EF4-FFF2-40B4-BE49-F238E27FC236}">
              <a16:creationId xmlns:a16="http://schemas.microsoft.com/office/drawing/2014/main" id="{5694D5BC-C20F-EA81-B54F-B7A12C729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0</xdr:colOff>
      <xdr:row>21</xdr:row>
      <xdr:rowOff>0</xdr:rowOff>
    </xdr:from>
    <xdr:to>
      <xdr:col>31</xdr:col>
      <xdr:colOff>0</xdr:colOff>
      <xdr:row>37</xdr:row>
      <xdr:rowOff>186266</xdr:rowOff>
    </xdr:to>
    <xdr:graphicFrame macro="">
      <xdr:nvGraphicFramePr>
        <xdr:cNvPr id="3" name="Chart 2">
          <a:extLst>
            <a:ext uri="{FF2B5EF4-FFF2-40B4-BE49-F238E27FC236}">
              <a16:creationId xmlns:a16="http://schemas.microsoft.com/office/drawing/2014/main" id="{DEA438DC-75E5-E5F1-129D-EC224C5D2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39</xdr:row>
      <xdr:rowOff>0</xdr:rowOff>
    </xdr:from>
    <xdr:to>
      <xdr:col>31</xdr:col>
      <xdr:colOff>0</xdr:colOff>
      <xdr:row>60</xdr:row>
      <xdr:rowOff>0</xdr:rowOff>
    </xdr:to>
    <xdr:graphicFrame macro="">
      <xdr:nvGraphicFramePr>
        <xdr:cNvPr id="4" name="Chart 3">
          <a:extLst>
            <a:ext uri="{FF2B5EF4-FFF2-40B4-BE49-F238E27FC236}">
              <a16:creationId xmlns:a16="http://schemas.microsoft.com/office/drawing/2014/main" id="{DEC14E17-D663-A6F5-F91C-0A25CF4D6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xdr:colOff>
      <xdr:row>3</xdr:row>
      <xdr:rowOff>0</xdr:rowOff>
    </xdr:from>
    <xdr:to>
      <xdr:col>41</xdr:col>
      <xdr:colOff>0</xdr:colOff>
      <xdr:row>19</xdr:row>
      <xdr:rowOff>186266</xdr:rowOff>
    </xdr:to>
    <xdr:graphicFrame macro="">
      <xdr:nvGraphicFramePr>
        <xdr:cNvPr id="5" name="Chart 4">
          <a:extLst>
            <a:ext uri="{FF2B5EF4-FFF2-40B4-BE49-F238E27FC236}">
              <a16:creationId xmlns:a16="http://schemas.microsoft.com/office/drawing/2014/main" id="{3270F9C3-D93A-5AFF-C757-9EDFA611B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xdr:colOff>
      <xdr:row>21</xdr:row>
      <xdr:rowOff>0</xdr:rowOff>
    </xdr:from>
    <xdr:to>
      <xdr:col>41</xdr:col>
      <xdr:colOff>0</xdr:colOff>
      <xdr:row>37</xdr:row>
      <xdr:rowOff>186266</xdr:rowOff>
    </xdr:to>
    <xdr:graphicFrame macro="">
      <xdr:nvGraphicFramePr>
        <xdr:cNvPr id="6" name="Chart 5">
          <a:extLst>
            <a:ext uri="{FF2B5EF4-FFF2-40B4-BE49-F238E27FC236}">
              <a16:creationId xmlns:a16="http://schemas.microsoft.com/office/drawing/2014/main" id="{01E582ED-C260-49CF-858D-14A479897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1</xdr:colOff>
      <xdr:row>39</xdr:row>
      <xdr:rowOff>0</xdr:rowOff>
    </xdr:from>
    <xdr:to>
      <xdr:col>41</xdr:col>
      <xdr:colOff>0</xdr:colOff>
      <xdr:row>55</xdr:row>
      <xdr:rowOff>186266</xdr:rowOff>
    </xdr:to>
    <xdr:graphicFrame macro="">
      <xdr:nvGraphicFramePr>
        <xdr:cNvPr id="7" name="Chart 6">
          <a:extLst>
            <a:ext uri="{FF2B5EF4-FFF2-40B4-BE49-F238E27FC236}">
              <a16:creationId xmlns:a16="http://schemas.microsoft.com/office/drawing/2014/main" id="{9BE96114-E0B7-7DA4-6D15-4B6D27E21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0</xdr:colOff>
      <xdr:row>61</xdr:row>
      <xdr:rowOff>0</xdr:rowOff>
    </xdr:from>
    <xdr:to>
      <xdr:col>31</xdr:col>
      <xdr:colOff>0</xdr:colOff>
      <xdr:row>78</xdr:row>
      <xdr:rowOff>0</xdr:rowOff>
    </xdr:to>
    <xdr:graphicFrame macro="">
      <xdr:nvGraphicFramePr>
        <xdr:cNvPr id="8" name="Chart 7">
          <a:extLst>
            <a:ext uri="{FF2B5EF4-FFF2-40B4-BE49-F238E27FC236}">
              <a16:creationId xmlns:a16="http://schemas.microsoft.com/office/drawing/2014/main" id="{8E9776DA-E4F6-C0B7-5DBE-851B326E5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25D3D7-E587-4CA0-939B-3359C050F9E0}" autoFormatId="16" applyNumberFormats="0" applyBorderFormats="0" applyFontFormats="0" applyPatternFormats="0" applyAlignmentFormats="0" applyWidthHeightFormats="0">
  <queryTableRefresh nextId="23">
    <queryTableFields count="22">
      <queryTableField id="1" name="_id" tableColumnId="1"/>
      <queryTableField id="2" name="start" tableColumnId="2"/>
      <queryTableField id="3" name="end" tableColumnId="3"/>
      <queryTableField id="4" name="today" tableColumnId="4"/>
      <queryTableField id="5" name="Âge (en mois)" tableColumnId="5"/>
      <queryTableField id="6" name="age_years_calc" tableColumnId="6"/>
      <queryTableField id="7" name="Sexe" tableColumnId="7"/>
      <queryTableField id="8" name="Profession" tableColumnId="8"/>
      <queryTableField id="9" name="Date de consultation" tableColumnId="9"/>
      <queryTableField id="10" name="Délai de consultation (en jours)" tableColumnId="10"/>
      <queryTableField id="11" name="Notion de prise médicamenteuse" tableColumnId="11"/>
      <queryTableField id="12" name="Préciser le ou les médicament(s)" tableColumnId="12"/>
      <queryTableField id="13" name="Type d'atteinte" tableColumnId="13"/>
      <queryTableField id="14" name="Surface corporelle atteinte" tableColumnId="14"/>
      <queryTableField id="15" name="Signes associés" tableColumnId="15"/>
      <queryTableField id="16" name="Préciser l'autre signe" tableColumnId="16"/>
      <queryTableField id="17" name="Catégorie de la dermatose" tableColumnId="17"/>
      <queryTableField id="18" name="Dermatose Auto-immune" tableColumnId="18"/>
      <queryTableField id="19" name="Dermatose Infectieuse" tableColumnId="19"/>
      <queryTableField id="20" name="Toxidermie" tableColumnId="20"/>
      <queryTableField id="21" name="Dermatose Immunoallergique" tableColumnId="21"/>
      <queryTableField id="22" name="Préciser l'autre diagnostic"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38C1E1-2159-4388-B34E-D78BF2D367EE}" name="Dermatoses_Bulleuses_CNHU_HKM" displayName="Dermatoses_Bulleuses_CNHU_HKM" ref="A1:V131" tableType="queryTable" totalsRowShown="0">
  <autoFilter ref="A1:V131" xr:uid="{0E38C1E1-2159-4388-B34E-D78BF2D367EE}"/>
  <tableColumns count="22">
    <tableColumn id="1" xr3:uid="{889AEB71-9A91-4956-9D78-DA6109086436}" uniqueName="1" name="_id" queryTableFieldId="1"/>
    <tableColumn id="2" xr3:uid="{F5241D6C-7DE5-42A9-8A25-98BD8A23670C}" uniqueName="2" name="start" queryTableFieldId="2" dataDxfId="16"/>
    <tableColumn id="3" xr3:uid="{0085BA66-7872-4E7A-BC14-E901F4C1040A}" uniqueName="3" name="end" queryTableFieldId="3" dataDxfId="15"/>
    <tableColumn id="4" xr3:uid="{96F8265A-7C0A-4B71-AAEF-1FC76011EC3C}" uniqueName="4" name="today" queryTableFieldId="4" dataDxfId="14"/>
    <tableColumn id="5" xr3:uid="{16DAF7D2-4819-4E94-BEEF-DE1F58E59448}" uniqueName="5" name="Âge (en mois)" queryTableFieldId="5"/>
    <tableColumn id="6" xr3:uid="{8A738E5A-F578-4989-A695-EDC768142D7A}" uniqueName="6" name="age_years_calc" queryTableFieldId="6"/>
    <tableColumn id="7" xr3:uid="{5E00A5FC-9D92-4353-A051-C8B6F3E6644A}" uniqueName="7" name="Sexe" queryTableFieldId="7" dataDxfId="13"/>
    <tableColumn id="8" xr3:uid="{2D6784F8-355E-4336-81F3-8AA51685C60E}" uniqueName="8" name="Profession" queryTableFieldId="8" dataDxfId="12"/>
    <tableColumn id="9" xr3:uid="{28167740-405D-45BA-BDB5-31DCB9FA5F4D}" uniqueName="9" name="Date de consultation" queryTableFieldId="9" dataDxfId="11"/>
    <tableColumn id="10" xr3:uid="{ACA57843-C874-4655-B671-360A053B02FB}" uniqueName="10" name="Délai de consultation (en jours)" queryTableFieldId="10"/>
    <tableColumn id="11" xr3:uid="{532F84A5-F778-4A9E-B524-A8E5A759DF2A}" uniqueName="11" name="Notion de prise médicamenteuse" queryTableFieldId="11" dataDxfId="10"/>
    <tableColumn id="12" xr3:uid="{782B94AB-F0B3-44AC-B8B1-B4813943738A}" uniqueName="12" name="Préciser le ou les médicament(s)" queryTableFieldId="12" dataDxfId="9"/>
    <tableColumn id="13" xr3:uid="{9A774D2F-ABA2-4905-961E-087607318A69}" uniqueName="13" name="Type d'atteinte" queryTableFieldId="13" dataDxfId="8"/>
    <tableColumn id="14" xr3:uid="{181B2C81-3155-4130-BAFE-659F1839BCA4}" uniqueName="14" name="Surface corporelle atteinte" queryTableFieldId="14"/>
    <tableColumn id="15" xr3:uid="{5846F252-6A6D-4E71-9742-6B9651E6F0F5}" uniqueName="15" name="Signes associés" queryTableFieldId="15" dataDxfId="7"/>
    <tableColumn id="16" xr3:uid="{688F4CFA-EEC2-4660-AA43-9B43B5A043F8}" uniqueName="16" name="Préciser l'autre signe" queryTableFieldId="16" dataDxfId="6"/>
    <tableColumn id="17" xr3:uid="{063A20DE-F896-4172-B59E-0F66E66313D1}" uniqueName="17" name="Catégorie de la dermatose" queryTableFieldId="17" dataDxfId="5"/>
    <tableColumn id="18" xr3:uid="{2A2094B4-7BAD-4D5C-9CF2-0CA4FBBF1A11}" uniqueName="18" name="Dermatose Auto-immune" queryTableFieldId="18" dataDxfId="4"/>
    <tableColumn id="19" xr3:uid="{470FF3E0-BC97-4485-8868-46E4D315BCBC}" uniqueName="19" name="Dermatose Infectieuse" queryTableFieldId="19" dataDxfId="3"/>
    <tableColumn id="20" xr3:uid="{F899816F-2A59-4380-8E1D-D8A78361EB33}" uniqueName="20" name="Toxidermie" queryTableFieldId="20" dataDxfId="2"/>
    <tableColumn id="21" xr3:uid="{AD79F8C5-619A-4177-BDF8-2FE7F1E7E500}" uniqueName="21" name="Dermatose Immunoallergique" queryTableFieldId="21" dataDxfId="1"/>
    <tableColumn id="22" xr3:uid="{5412061F-94F8-446E-86A0-35334F30ACB5}" uniqueName="22" name="Préciser l'autre diagnostic" queryTableFieldId="22" dataDxfId="0"/>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F6762-9649-44E7-B11C-7BB1AADC5C2A}">
  <dimension ref="A1:V131"/>
  <sheetViews>
    <sheetView workbookViewId="0">
      <selection activeCell="E17" sqref="E17"/>
    </sheetView>
  </sheetViews>
  <sheetFormatPr defaultRowHeight="14.25" x14ac:dyDescent="0.25"/>
  <cols>
    <col min="1" max="1" width="9.875" bestFit="1" customWidth="1"/>
    <col min="2" max="3" width="14.25" bestFit="1" customWidth="1"/>
    <col min="4" max="4" width="9.125" bestFit="1" customWidth="1"/>
    <col min="5" max="5" width="15.75" bestFit="1" customWidth="1"/>
    <col min="6" max="6" width="15.875" bestFit="1" customWidth="1"/>
    <col min="7" max="7" width="7.125" bestFit="1" customWidth="1"/>
    <col min="8" max="8" width="29.125" bestFit="1" customWidth="1"/>
    <col min="9" max="9" width="22" bestFit="1" customWidth="1"/>
    <col min="10" max="10" width="32.25" bestFit="1" customWidth="1"/>
    <col min="11" max="11" width="33" bestFit="1" customWidth="1"/>
    <col min="12" max="12" width="79.875" bestFit="1" customWidth="1"/>
    <col min="13" max="13" width="17.875" bestFit="1" customWidth="1"/>
    <col min="14" max="14" width="27.25" bestFit="1" customWidth="1"/>
    <col min="15" max="15" width="17.375" bestFit="1" customWidth="1"/>
    <col min="16" max="16" width="31.75" bestFit="1" customWidth="1"/>
    <col min="17" max="17" width="26.875" bestFit="1" customWidth="1"/>
    <col min="18" max="18" width="25.75" bestFit="1" customWidth="1"/>
    <col min="19" max="19" width="25.5" bestFit="1" customWidth="1"/>
    <col min="20" max="20" width="24.625" bestFit="1" customWidth="1"/>
    <col min="21" max="21" width="30" bestFit="1" customWidth="1"/>
    <col min="22" max="22" width="27.6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715501306</v>
      </c>
      <c r="B2" s="1">
        <v>46116.480437418984</v>
      </c>
      <c r="C2" s="1">
        <v>46116.483856608793</v>
      </c>
      <c r="D2" s="2">
        <v>46116</v>
      </c>
      <c r="E2">
        <v>1</v>
      </c>
      <c r="F2">
        <v>0.1</v>
      </c>
      <c r="G2" t="s">
        <v>22</v>
      </c>
      <c r="H2" t="s">
        <v>23</v>
      </c>
      <c r="I2" s="2">
        <v>42397</v>
      </c>
      <c r="J2">
        <v>9</v>
      </c>
      <c r="K2" t="s">
        <v>24</v>
      </c>
      <c r="M2" t="s">
        <v>25</v>
      </c>
      <c r="N2">
        <v>15</v>
      </c>
      <c r="O2" t="s">
        <v>26</v>
      </c>
      <c r="P2" t="s">
        <v>27</v>
      </c>
      <c r="Q2" t="s">
        <v>28</v>
      </c>
      <c r="S2" t="s">
        <v>29</v>
      </c>
    </row>
    <row r="3" spans="1:22" x14ac:dyDescent="0.25">
      <c r="A3">
        <v>715512334</v>
      </c>
      <c r="B3" s="1">
        <v>46116.483856956016</v>
      </c>
      <c r="C3" s="1">
        <v>46116.496881678242</v>
      </c>
      <c r="D3" s="2">
        <v>46116</v>
      </c>
      <c r="E3">
        <v>468</v>
      </c>
      <c r="F3">
        <v>39</v>
      </c>
      <c r="G3" t="s">
        <v>30</v>
      </c>
      <c r="H3" t="s">
        <v>31</v>
      </c>
      <c r="I3" s="2">
        <v>42418</v>
      </c>
      <c r="J3">
        <v>14</v>
      </c>
      <c r="K3" t="s">
        <v>32</v>
      </c>
      <c r="L3" t="s">
        <v>33</v>
      </c>
      <c r="M3" t="s">
        <v>25</v>
      </c>
      <c r="N3">
        <v>5</v>
      </c>
      <c r="O3" t="s">
        <v>34</v>
      </c>
      <c r="Q3" t="s">
        <v>19</v>
      </c>
      <c r="T3" t="s">
        <v>35</v>
      </c>
    </row>
    <row r="4" spans="1:22" x14ac:dyDescent="0.25">
      <c r="A4">
        <v>715636712</v>
      </c>
      <c r="B4" s="1">
        <v>46116.496882071762</v>
      </c>
      <c r="C4" s="1">
        <v>46116.63183322917</v>
      </c>
      <c r="D4" s="2">
        <v>46116</v>
      </c>
      <c r="E4">
        <v>324</v>
      </c>
      <c r="F4">
        <v>27</v>
      </c>
      <c r="G4" t="s">
        <v>22</v>
      </c>
      <c r="H4" t="s">
        <v>36</v>
      </c>
      <c r="I4" s="2">
        <v>42451</v>
      </c>
      <c r="J4">
        <v>7</v>
      </c>
      <c r="K4" t="s">
        <v>32</v>
      </c>
      <c r="L4" t="s">
        <v>37</v>
      </c>
      <c r="M4" t="s">
        <v>38</v>
      </c>
      <c r="N4">
        <v>3</v>
      </c>
      <c r="O4" t="s">
        <v>34</v>
      </c>
      <c r="Q4" t="s">
        <v>19</v>
      </c>
      <c r="T4" t="s">
        <v>35</v>
      </c>
    </row>
    <row r="5" spans="1:22" x14ac:dyDescent="0.25">
      <c r="A5">
        <v>715641743</v>
      </c>
      <c r="B5" s="1">
        <v>46116.631833819447</v>
      </c>
      <c r="C5" s="1">
        <v>46116.637224664351</v>
      </c>
      <c r="D5" s="2">
        <v>46116</v>
      </c>
      <c r="E5">
        <v>552</v>
      </c>
      <c r="F5">
        <v>46</v>
      </c>
      <c r="G5" t="s">
        <v>22</v>
      </c>
      <c r="H5" t="s">
        <v>39</v>
      </c>
      <c r="I5" s="2">
        <v>42388</v>
      </c>
      <c r="J5">
        <v>90</v>
      </c>
      <c r="K5" t="s">
        <v>24</v>
      </c>
      <c r="M5" t="s">
        <v>25</v>
      </c>
      <c r="N5">
        <v>6</v>
      </c>
      <c r="O5" t="s">
        <v>34</v>
      </c>
      <c r="Q5" t="s">
        <v>40</v>
      </c>
      <c r="R5" t="s">
        <v>41</v>
      </c>
    </row>
    <row r="6" spans="1:22" x14ac:dyDescent="0.25">
      <c r="A6">
        <v>718547936</v>
      </c>
      <c r="B6" s="1">
        <v>46119.907328344911</v>
      </c>
      <c r="C6" s="1">
        <v>46119.95221708333</v>
      </c>
      <c r="D6" s="2">
        <v>46119</v>
      </c>
      <c r="E6">
        <v>67</v>
      </c>
      <c r="F6">
        <v>5.6</v>
      </c>
      <c r="G6" t="s">
        <v>30</v>
      </c>
      <c r="H6" t="s">
        <v>42</v>
      </c>
      <c r="I6" s="2">
        <v>42929</v>
      </c>
      <c r="J6">
        <v>31</v>
      </c>
      <c r="K6" t="s">
        <v>32</v>
      </c>
      <c r="L6" t="s">
        <v>43</v>
      </c>
      <c r="M6" t="s">
        <v>25</v>
      </c>
      <c r="N6">
        <v>30</v>
      </c>
      <c r="O6" t="s">
        <v>26</v>
      </c>
      <c r="P6" t="s">
        <v>27</v>
      </c>
      <c r="Q6" t="s">
        <v>40</v>
      </c>
      <c r="R6" t="s">
        <v>44</v>
      </c>
    </row>
    <row r="7" spans="1:22" x14ac:dyDescent="0.25">
      <c r="A7">
        <v>718789179</v>
      </c>
      <c r="B7" s="1">
        <v>46119.962477847221</v>
      </c>
      <c r="C7" s="1">
        <v>46120.246203703704</v>
      </c>
      <c r="D7" s="2">
        <v>46119</v>
      </c>
      <c r="E7">
        <v>552</v>
      </c>
      <c r="F7">
        <v>46</v>
      </c>
      <c r="G7" t="s">
        <v>30</v>
      </c>
      <c r="H7" t="s">
        <v>45</v>
      </c>
      <c r="I7" s="2">
        <v>42765</v>
      </c>
      <c r="J7">
        <v>3</v>
      </c>
      <c r="K7" t="s">
        <v>32</v>
      </c>
      <c r="L7" t="s">
        <v>46</v>
      </c>
      <c r="M7" t="s">
        <v>25</v>
      </c>
      <c r="N7">
        <v>45</v>
      </c>
      <c r="O7" t="s">
        <v>26</v>
      </c>
      <c r="P7" t="s">
        <v>27</v>
      </c>
      <c r="Q7" t="s">
        <v>19</v>
      </c>
      <c r="T7" t="s">
        <v>47</v>
      </c>
      <c r="V7" t="s">
        <v>48</v>
      </c>
    </row>
    <row r="8" spans="1:22" x14ac:dyDescent="0.25">
      <c r="A8">
        <v>718806158</v>
      </c>
      <c r="B8" s="1">
        <v>46120.246205405092</v>
      </c>
      <c r="C8" s="1">
        <v>46120.257792083336</v>
      </c>
      <c r="D8" s="2">
        <v>46120</v>
      </c>
      <c r="E8">
        <v>516</v>
      </c>
      <c r="F8">
        <v>43</v>
      </c>
      <c r="G8" t="s">
        <v>22</v>
      </c>
      <c r="H8" t="s">
        <v>49</v>
      </c>
      <c r="I8" s="2">
        <v>42744</v>
      </c>
      <c r="J8">
        <v>63</v>
      </c>
      <c r="K8" t="s">
        <v>32</v>
      </c>
      <c r="L8" t="s">
        <v>50</v>
      </c>
      <c r="M8" t="s">
        <v>25</v>
      </c>
      <c r="N8">
        <v>80</v>
      </c>
      <c r="O8" t="s">
        <v>51</v>
      </c>
      <c r="Q8" t="s">
        <v>19</v>
      </c>
      <c r="T8" t="s">
        <v>47</v>
      </c>
      <c r="V8" t="s">
        <v>52</v>
      </c>
    </row>
    <row r="9" spans="1:22" x14ac:dyDescent="0.25">
      <c r="A9">
        <v>718947052</v>
      </c>
      <c r="B9" s="1">
        <v>46120.257793518518</v>
      </c>
      <c r="C9" s="1">
        <v>46120.344593321759</v>
      </c>
      <c r="D9" s="2">
        <v>46120</v>
      </c>
      <c r="E9">
        <v>456</v>
      </c>
      <c r="F9">
        <v>38</v>
      </c>
      <c r="G9" t="s">
        <v>30</v>
      </c>
      <c r="H9" t="s">
        <v>53</v>
      </c>
      <c r="I9" s="2">
        <v>42740</v>
      </c>
      <c r="J9">
        <v>6</v>
      </c>
      <c r="K9" t="s">
        <v>24</v>
      </c>
      <c r="M9" t="s">
        <v>25</v>
      </c>
      <c r="N9">
        <v>50</v>
      </c>
      <c r="O9" t="s">
        <v>26</v>
      </c>
      <c r="P9" t="s">
        <v>27</v>
      </c>
      <c r="Q9" t="s">
        <v>19</v>
      </c>
      <c r="T9" t="s">
        <v>35</v>
      </c>
    </row>
    <row r="10" spans="1:22" x14ac:dyDescent="0.25">
      <c r="A10">
        <v>719403589</v>
      </c>
      <c r="B10" s="1">
        <v>46120.344595243056</v>
      </c>
      <c r="C10" s="1">
        <v>46120.660881412034</v>
      </c>
      <c r="D10" s="2">
        <v>46120</v>
      </c>
      <c r="E10">
        <v>480</v>
      </c>
      <c r="F10">
        <v>40</v>
      </c>
      <c r="G10" t="s">
        <v>30</v>
      </c>
      <c r="H10" t="s">
        <v>45</v>
      </c>
      <c r="I10" s="2">
        <v>42793</v>
      </c>
      <c r="J10">
        <v>2310</v>
      </c>
      <c r="K10" t="s">
        <v>32</v>
      </c>
      <c r="L10" t="s">
        <v>54</v>
      </c>
      <c r="M10" t="s">
        <v>38</v>
      </c>
      <c r="N10">
        <v>60</v>
      </c>
      <c r="O10" t="s">
        <v>34</v>
      </c>
      <c r="Q10" t="s">
        <v>19</v>
      </c>
      <c r="T10" t="s">
        <v>47</v>
      </c>
      <c r="V10" t="s">
        <v>55</v>
      </c>
    </row>
    <row r="11" spans="1:22" x14ac:dyDescent="0.25">
      <c r="A11">
        <v>719426805</v>
      </c>
      <c r="B11" s="1">
        <v>46120.660883078701</v>
      </c>
      <c r="C11" s="1">
        <v>46120.675990266202</v>
      </c>
      <c r="D11" s="2">
        <v>46120</v>
      </c>
      <c r="E11">
        <v>288</v>
      </c>
      <c r="F11">
        <v>24</v>
      </c>
      <c r="G11" t="s">
        <v>30</v>
      </c>
      <c r="H11" t="s">
        <v>56</v>
      </c>
      <c r="I11" s="2">
        <v>42775</v>
      </c>
      <c r="J11">
        <v>93</v>
      </c>
      <c r="K11" t="s">
        <v>24</v>
      </c>
      <c r="M11" t="s">
        <v>38</v>
      </c>
      <c r="N11">
        <v>2</v>
      </c>
      <c r="O11" t="s">
        <v>34</v>
      </c>
      <c r="Q11" t="s">
        <v>28</v>
      </c>
      <c r="S11" t="s">
        <v>47</v>
      </c>
      <c r="V11" t="s">
        <v>48</v>
      </c>
    </row>
    <row r="12" spans="1:22" x14ac:dyDescent="0.25">
      <c r="A12">
        <v>722449196</v>
      </c>
      <c r="B12" s="1">
        <v>46120.675992256947</v>
      </c>
      <c r="C12" s="1">
        <v>46123.961871527776</v>
      </c>
      <c r="D12" s="2">
        <v>46120</v>
      </c>
      <c r="E12">
        <v>288</v>
      </c>
      <c r="F12">
        <v>24</v>
      </c>
      <c r="G12" t="s">
        <v>30</v>
      </c>
      <c r="H12" t="s">
        <v>56</v>
      </c>
      <c r="I12" s="2">
        <v>42775</v>
      </c>
      <c r="J12">
        <v>124</v>
      </c>
      <c r="K12" t="s">
        <v>32</v>
      </c>
      <c r="L12" t="s">
        <v>57</v>
      </c>
      <c r="M12" t="s">
        <v>38</v>
      </c>
      <c r="N12">
        <v>6</v>
      </c>
      <c r="O12" t="s">
        <v>26</v>
      </c>
      <c r="P12" t="s">
        <v>27</v>
      </c>
      <c r="Q12" t="s">
        <v>19</v>
      </c>
      <c r="T12" t="s">
        <v>35</v>
      </c>
    </row>
    <row r="13" spans="1:22" x14ac:dyDescent="0.25">
      <c r="A13">
        <v>722452001</v>
      </c>
      <c r="B13" s="1">
        <v>46123.961872615742</v>
      </c>
      <c r="C13" s="1">
        <v>46123.972492673609</v>
      </c>
      <c r="D13" s="2">
        <v>46123</v>
      </c>
      <c r="E13">
        <v>780</v>
      </c>
      <c r="F13">
        <v>65</v>
      </c>
      <c r="G13" t="s">
        <v>22</v>
      </c>
      <c r="H13" t="s">
        <v>49</v>
      </c>
      <c r="I13" s="2">
        <v>42913</v>
      </c>
      <c r="J13">
        <v>93</v>
      </c>
      <c r="K13" t="s">
        <v>24</v>
      </c>
      <c r="M13" t="s">
        <v>58</v>
      </c>
      <c r="N13">
        <v>30</v>
      </c>
      <c r="O13" t="s">
        <v>59</v>
      </c>
      <c r="Q13" t="s">
        <v>40</v>
      </c>
      <c r="R13" t="s">
        <v>44</v>
      </c>
    </row>
    <row r="14" spans="1:22" x14ac:dyDescent="0.25">
      <c r="A14">
        <v>722479386</v>
      </c>
      <c r="B14" s="1">
        <v>46123.972494340276</v>
      </c>
      <c r="C14" s="1">
        <v>46124.115919374999</v>
      </c>
      <c r="D14" s="2">
        <v>46123</v>
      </c>
      <c r="E14">
        <v>780</v>
      </c>
      <c r="F14">
        <v>65</v>
      </c>
      <c r="G14" t="s">
        <v>22</v>
      </c>
      <c r="H14" t="s">
        <v>49</v>
      </c>
      <c r="I14" s="2">
        <v>42913</v>
      </c>
      <c r="J14">
        <v>93</v>
      </c>
      <c r="K14" t="s">
        <v>24</v>
      </c>
      <c r="M14" t="s">
        <v>38</v>
      </c>
      <c r="N14">
        <v>20</v>
      </c>
      <c r="O14" t="s">
        <v>60</v>
      </c>
      <c r="P14" t="s">
        <v>61</v>
      </c>
      <c r="Q14" t="s">
        <v>40</v>
      </c>
      <c r="R14" t="s">
        <v>44</v>
      </c>
    </row>
    <row r="15" spans="1:22" x14ac:dyDescent="0.25">
      <c r="A15">
        <v>722480056</v>
      </c>
      <c r="B15" s="1">
        <v>46124.115920902776</v>
      </c>
      <c r="C15" s="1">
        <v>46124.121257777777</v>
      </c>
      <c r="D15" s="2">
        <v>46124</v>
      </c>
      <c r="E15">
        <v>504</v>
      </c>
      <c r="F15">
        <v>42</v>
      </c>
      <c r="G15" t="s">
        <v>30</v>
      </c>
      <c r="H15" t="s">
        <v>62</v>
      </c>
      <c r="I15" s="2">
        <v>42632</v>
      </c>
      <c r="J15">
        <v>13</v>
      </c>
      <c r="K15" t="s">
        <v>32</v>
      </c>
      <c r="L15" t="s">
        <v>63</v>
      </c>
      <c r="M15" t="s">
        <v>38</v>
      </c>
      <c r="N15">
        <v>7</v>
      </c>
      <c r="O15" t="s">
        <v>26</v>
      </c>
      <c r="P15" t="s">
        <v>27</v>
      </c>
      <c r="Q15" t="s">
        <v>19</v>
      </c>
      <c r="T15" t="s">
        <v>64</v>
      </c>
    </row>
    <row r="16" spans="1:22" x14ac:dyDescent="0.25">
      <c r="A16">
        <v>722480377</v>
      </c>
      <c r="B16" s="1">
        <v>46124.121259143518</v>
      </c>
      <c r="C16" s="1">
        <v>46124.123542719906</v>
      </c>
      <c r="D16" s="2">
        <v>46124</v>
      </c>
      <c r="E16">
        <v>480</v>
      </c>
      <c r="F16">
        <v>40</v>
      </c>
      <c r="G16" t="s">
        <v>30</v>
      </c>
      <c r="H16" t="s">
        <v>62</v>
      </c>
      <c r="I16" s="2">
        <v>42570</v>
      </c>
      <c r="J16">
        <v>31</v>
      </c>
      <c r="K16" t="s">
        <v>24</v>
      </c>
      <c r="M16" t="s">
        <v>25</v>
      </c>
      <c r="N16">
        <v>2</v>
      </c>
      <c r="O16" t="s">
        <v>26</v>
      </c>
      <c r="P16" t="s">
        <v>27</v>
      </c>
      <c r="Q16" t="s">
        <v>19</v>
      </c>
      <c r="T16" t="s">
        <v>35</v>
      </c>
    </row>
    <row r="17" spans="1:22" x14ac:dyDescent="0.25">
      <c r="A17">
        <v>722480792</v>
      </c>
      <c r="B17" s="1">
        <v>46124.123543657406</v>
      </c>
      <c r="C17" s="1">
        <v>46124.12669809028</v>
      </c>
      <c r="D17" s="2">
        <v>46124</v>
      </c>
      <c r="E17">
        <v>564</v>
      </c>
      <c r="F17">
        <v>47</v>
      </c>
      <c r="G17" t="s">
        <v>22</v>
      </c>
      <c r="H17" t="s">
        <v>65</v>
      </c>
      <c r="I17" s="2">
        <v>42535</v>
      </c>
      <c r="J17">
        <v>6</v>
      </c>
      <c r="K17" t="s">
        <v>32</v>
      </c>
      <c r="L17" t="s">
        <v>66</v>
      </c>
      <c r="M17" t="s">
        <v>25</v>
      </c>
      <c r="N17">
        <v>5</v>
      </c>
      <c r="O17" t="s">
        <v>26</v>
      </c>
      <c r="P17" t="s">
        <v>27</v>
      </c>
      <c r="Q17" t="s">
        <v>19</v>
      </c>
      <c r="T17" t="s">
        <v>35</v>
      </c>
    </row>
    <row r="18" spans="1:22" x14ac:dyDescent="0.25">
      <c r="A18">
        <v>722482063</v>
      </c>
      <c r="B18" s="1">
        <v>46124.126699201392</v>
      </c>
      <c r="C18" s="1">
        <v>46124.133647268522</v>
      </c>
      <c r="D18" s="2">
        <v>46124</v>
      </c>
      <c r="E18">
        <v>288</v>
      </c>
      <c r="F18">
        <v>24</v>
      </c>
      <c r="G18" t="s">
        <v>22</v>
      </c>
      <c r="H18" t="s">
        <v>67</v>
      </c>
      <c r="I18" s="2">
        <v>42527</v>
      </c>
      <c r="J18">
        <v>4</v>
      </c>
      <c r="K18" t="s">
        <v>32</v>
      </c>
      <c r="L18" t="s">
        <v>68</v>
      </c>
      <c r="M18" t="s">
        <v>25</v>
      </c>
      <c r="N18">
        <v>9</v>
      </c>
      <c r="O18" t="s">
        <v>69</v>
      </c>
      <c r="Q18" t="s">
        <v>19</v>
      </c>
      <c r="T18" t="s">
        <v>70</v>
      </c>
    </row>
    <row r="19" spans="1:22" x14ac:dyDescent="0.25">
      <c r="A19">
        <v>722619425</v>
      </c>
      <c r="B19" s="1">
        <v>46124.13364832176</v>
      </c>
      <c r="C19" s="1">
        <v>46124.456708136575</v>
      </c>
      <c r="D19" s="2">
        <v>46124</v>
      </c>
      <c r="E19">
        <v>252</v>
      </c>
      <c r="F19">
        <v>21</v>
      </c>
      <c r="G19" t="s">
        <v>30</v>
      </c>
      <c r="H19" t="s">
        <v>71</v>
      </c>
      <c r="I19" s="2">
        <v>42717</v>
      </c>
      <c r="J19">
        <v>14</v>
      </c>
      <c r="K19" t="s">
        <v>32</v>
      </c>
      <c r="L19" t="s">
        <v>72</v>
      </c>
      <c r="M19" t="s">
        <v>25</v>
      </c>
      <c r="N19">
        <v>33</v>
      </c>
      <c r="O19" t="s">
        <v>73</v>
      </c>
      <c r="Q19" t="s">
        <v>19</v>
      </c>
      <c r="T19" t="s">
        <v>74</v>
      </c>
    </row>
    <row r="20" spans="1:22" x14ac:dyDescent="0.25">
      <c r="A20">
        <v>722622203</v>
      </c>
      <c r="B20" s="1">
        <v>46124.456709641207</v>
      </c>
      <c r="C20" s="1">
        <v>46124.461587997685</v>
      </c>
      <c r="D20" s="2">
        <v>46124</v>
      </c>
      <c r="E20">
        <v>336</v>
      </c>
      <c r="F20">
        <v>28</v>
      </c>
      <c r="G20" t="s">
        <v>22</v>
      </c>
      <c r="H20" t="s">
        <v>75</v>
      </c>
      <c r="I20" s="2">
        <v>42621</v>
      </c>
      <c r="J20">
        <v>385</v>
      </c>
      <c r="K20" t="s">
        <v>32</v>
      </c>
      <c r="L20" t="s">
        <v>76</v>
      </c>
      <c r="M20" t="s">
        <v>38</v>
      </c>
      <c r="N20">
        <v>9</v>
      </c>
      <c r="O20" t="s">
        <v>26</v>
      </c>
      <c r="P20" t="s">
        <v>27</v>
      </c>
      <c r="Q20" t="s">
        <v>28</v>
      </c>
      <c r="S20" t="s">
        <v>47</v>
      </c>
      <c r="V20" t="s">
        <v>55</v>
      </c>
    </row>
    <row r="21" spans="1:22" x14ac:dyDescent="0.25">
      <c r="A21">
        <v>722625180</v>
      </c>
      <c r="B21" s="1">
        <v>46124.461589212966</v>
      </c>
      <c r="C21" s="1">
        <v>46124.465220648148</v>
      </c>
      <c r="D21" s="2">
        <v>46124</v>
      </c>
      <c r="E21">
        <v>720</v>
      </c>
      <c r="F21">
        <v>60</v>
      </c>
      <c r="G21" t="s">
        <v>30</v>
      </c>
      <c r="H21" t="s">
        <v>77</v>
      </c>
      <c r="I21" s="2">
        <v>42485</v>
      </c>
      <c r="J21">
        <v>3080</v>
      </c>
      <c r="K21" t="s">
        <v>32</v>
      </c>
      <c r="L21" t="s">
        <v>78</v>
      </c>
      <c r="M21" t="s">
        <v>25</v>
      </c>
      <c r="N21">
        <v>12</v>
      </c>
      <c r="O21" t="s">
        <v>26</v>
      </c>
      <c r="P21" t="s">
        <v>27</v>
      </c>
      <c r="Q21" t="s">
        <v>19</v>
      </c>
      <c r="T21" t="s">
        <v>35</v>
      </c>
    </row>
    <row r="22" spans="1:22" x14ac:dyDescent="0.25">
      <c r="A22">
        <v>722627814</v>
      </c>
      <c r="B22" s="1">
        <v>46124.465221863429</v>
      </c>
      <c r="C22" s="1">
        <v>46124.468770833337</v>
      </c>
      <c r="D22" s="2">
        <v>46124</v>
      </c>
      <c r="E22">
        <v>72</v>
      </c>
      <c r="F22">
        <v>6</v>
      </c>
      <c r="G22" t="s">
        <v>30</v>
      </c>
      <c r="H22" t="s">
        <v>79</v>
      </c>
      <c r="I22" s="2">
        <v>42465</v>
      </c>
      <c r="J22">
        <v>7</v>
      </c>
      <c r="K22" t="s">
        <v>32</v>
      </c>
      <c r="L22" t="s">
        <v>80</v>
      </c>
      <c r="M22" t="s">
        <v>38</v>
      </c>
      <c r="N22">
        <v>80</v>
      </c>
      <c r="O22" t="s">
        <v>26</v>
      </c>
      <c r="P22" t="s">
        <v>27</v>
      </c>
      <c r="Q22" t="s">
        <v>19</v>
      </c>
      <c r="T22" t="s">
        <v>74</v>
      </c>
    </row>
    <row r="23" spans="1:22" x14ac:dyDescent="0.25">
      <c r="A23">
        <v>722803352</v>
      </c>
      <c r="B23" s="1">
        <v>46116.637225057872</v>
      </c>
      <c r="C23" s="1">
        <v>46124.736817812503</v>
      </c>
      <c r="D23" s="2">
        <v>46116</v>
      </c>
      <c r="E23">
        <v>216</v>
      </c>
      <c r="F23">
        <v>18</v>
      </c>
      <c r="G23" t="s">
        <v>22</v>
      </c>
      <c r="H23" t="s">
        <v>81</v>
      </c>
      <c r="I23" s="2">
        <v>42830</v>
      </c>
      <c r="J23">
        <v>20</v>
      </c>
      <c r="K23" t="s">
        <v>32</v>
      </c>
      <c r="L23" t="s">
        <v>82</v>
      </c>
      <c r="M23" t="s">
        <v>25</v>
      </c>
      <c r="N23">
        <v>20</v>
      </c>
      <c r="O23" t="s">
        <v>34</v>
      </c>
      <c r="Q23" t="s">
        <v>19</v>
      </c>
      <c r="T23" t="s">
        <v>47</v>
      </c>
      <c r="V23" t="s">
        <v>83</v>
      </c>
    </row>
    <row r="24" spans="1:22" x14ac:dyDescent="0.25">
      <c r="A24">
        <v>722805963</v>
      </c>
      <c r="B24" s="1">
        <v>46124.736818287034</v>
      </c>
      <c r="C24" s="1">
        <v>46124.739989340276</v>
      </c>
      <c r="D24" s="2">
        <v>46124</v>
      </c>
      <c r="E24">
        <v>288</v>
      </c>
      <c r="F24">
        <v>24</v>
      </c>
      <c r="G24" t="s">
        <v>22</v>
      </c>
      <c r="H24" t="s">
        <v>84</v>
      </c>
      <c r="I24" s="2">
        <v>43229</v>
      </c>
      <c r="J24">
        <v>730</v>
      </c>
      <c r="K24" t="s">
        <v>24</v>
      </c>
      <c r="M24" t="s">
        <v>25</v>
      </c>
      <c r="N24">
        <v>40</v>
      </c>
      <c r="O24" t="s">
        <v>26</v>
      </c>
      <c r="P24" t="s">
        <v>27</v>
      </c>
      <c r="Q24" t="s">
        <v>40</v>
      </c>
      <c r="R24" t="s">
        <v>85</v>
      </c>
    </row>
    <row r="25" spans="1:22" x14ac:dyDescent="0.25">
      <c r="A25">
        <v>722807402</v>
      </c>
      <c r="B25" s="1">
        <v>46124.739989641203</v>
      </c>
      <c r="C25" s="1">
        <v>46124.742359247684</v>
      </c>
      <c r="D25" s="2">
        <v>46124</v>
      </c>
      <c r="E25">
        <v>144</v>
      </c>
      <c r="F25">
        <v>12</v>
      </c>
      <c r="G25" t="s">
        <v>22</v>
      </c>
      <c r="H25" t="s">
        <v>86</v>
      </c>
      <c r="I25" s="2">
        <v>43108</v>
      </c>
      <c r="J25">
        <v>6</v>
      </c>
      <c r="K25" t="s">
        <v>32</v>
      </c>
      <c r="L25" t="s">
        <v>87</v>
      </c>
      <c r="M25" t="s">
        <v>38</v>
      </c>
      <c r="N25">
        <v>35</v>
      </c>
      <c r="O25" t="s">
        <v>88</v>
      </c>
      <c r="Q25" t="s">
        <v>19</v>
      </c>
      <c r="T25" t="s">
        <v>70</v>
      </c>
    </row>
    <row r="26" spans="1:22" x14ac:dyDescent="0.25">
      <c r="A26">
        <v>722809657</v>
      </c>
      <c r="B26" s="1">
        <v>46124.742359675925</v>
      </c>
      <c r="C26" s="1">
        <v>46124.746279664352</v>
      </c>
      <c r="D26" s="2">
        <v>46124</v>
      </c>
      <c r="E26">
        <v>120</v>
      </c>
      <c r="F26">
        <v>10</v>
      </c>
      <c r="G26" t="s">
        <v>22</v>
      </c>
      <c r="H26" t="s">
        <v>86</v>
      </c>
      <c r="I26" s="2">
        <v>43214</v>
      </c>
      <c r="J26">
        <v>8</v>
      </c>
      <c r="K26" t="s">
        <v>24</v>
      </c>
      <c r="M26" t="s">
        <v>38</v>
      </c>
      <c r="N26">
        <v>25</v>
      </c>
      <c r="O26" t="s">
        <v>26</v>
      </c>
      <c r="P26" t="s">
        <v>89</v>
      </c>
      <c r="Q26" t="s">
        <v>19</v>
      </c>
      <c r="T26" t="s">
        <v>70</v>
      </c>
    </row>
    <row r="27" spans="1:22" x14ac:dyDescent="0.25">
      <c r="A27">
        <v>722811313</v>
      </c>
      <c r="B27" s="1">
        <v>46124.746279942126</v>
      </c>
      <c r="C27" s="1">
        <v>46124.748818969907</v>
      </c>
      <c r="D27" s="2">
        <v>46124</v>
      </c>
      <c r="E27">
        <v>636</v>
      </c>
      <c r="F27">
        <v>53</v>
      </c>
      <c r="G27" t="s">
        <v>30</v>
      </c>
      <c r="H27" t="s">
        <v>90</v>
      </c>
      <c r="I27" s="2">
        <v>43060</v>
      </c>
      <c r="J27">
        <v>330</v>
      </c>
      <c r="K27" t="s">
        <v>24</v>
      </c>
      <c r="M27" t="s">
        <v>25</v>
      </c>
      <c r="N27">
        <v>27</v>
      </c>
      <c r="O27" t="s">
        <v>34</v>
      </c>
      <c r="Q27" t="s">
        <v>40</v>
      </c>
      <c r="R27" t="s">
        <v>91</v>
      </c>
    </row>
    <row r="28" spans="1:22" x14ac:dyDescent="0.25">
      <c r="A28">
        <v>722813656</v>
      </c>
      <c r="B28" s="1">
        <v>46124.748819236112</v>
      </c>
      <c r="C28" s="1">
        <v>46124.753319513889</v>
      </c>
      <c r="D28" s="2">
        <v>46124</v>
      </c>
      <c r="E28">
        <v>276</v>
      </c>
      <c r="F28">
        <v>23</v>
      </c>
      <c r="G28" t="s">
        <v>22</v>
      </c>
      <c r="H28" t="s">
        <v>84</v>
      </c>
      <c r="I28" s="2">
        <v>43074</v>
      </c>
      <c r="J28">
        <v>3</v>
      </c>
      <c r="K28" t="s">
        <v>32</v>
      </c>
      <c r="L28" t="s">
        <v>92</v>
      </c>
      <c r="M28" t="s">
        <v>38</v>
      </c>
      <c r="N28">
        <v>5</v>
      </c>
      <c r="O28" t="s">
        <v>93</v>
      </c>
      <c r="P28" t="s">
        <v>94</v>
      </c>
      <c r="Q28" t="s">
        <v>19</v>
      </c>
      <c r="T28" t="s">
        <v>74</v>
      </c>
    </row>
    <row r="29" spans="1:22" x14ac:dyDescent="0.25">
      <c r="A29">
        <v>722815699</v>
      </c>
      <c r="B29" s="1">
        <v>46124.753319814816</v>
      </c>
      <c r="C29" s="1">
        <v>46124.756562893519</v>
      </c>
      <c r="D29" s="2">
        <v>46124</v>
      </c>
      <c r="E29">
        <v>84</v>
      </c>
      <c r="F29">
        <v>7</v>
      </c>
      <c r="G29" t="s">
        <v>30</v>
      </c>
      <c r="H29" t="s">
        <v>79</v>
      </c>
      <c r="I29" s="2">
        <v>42934</v>
      </c>
      <c r="J29">
        <v>15</v>
      </c>
      <c r="K29" t="s">
        <v>32</v>
      </c>
      <c r="L29" t="s">
        <v>95</v>
      </c>
      <c r="M29" t="s">
        <v>38</v>
      </c>
      <c r="N29">
        <v>10</v>
      </c>
      <c r="O29" t="s">
        <v>51</v>
      </c>
      <c r="Q29" t="s">
        <v>19</v>
      </c>
      <c r="T29" t="s">
        <v>74</v>
      </c>
    </row>
    <row r="30" spans="1:22" x14ac:dyDescent="0.25">
      <c r="A30">
        <v>722818850</v>
      </c>
      <c r="B30" s="1">
        <v>46124.756563229166</v>
      </c>
      <c r="C30" s="1">
        <v>46124.762475150463</v>
      </c>
      <c r="D30" s="2">
        <v>46124</v>
      </c>
      <c r="E30">
        <v>36</v>
      </c>
      <c r="F30">
        <v>3</v>
      </c>
      <c r="G30" t="s">
        <v>22</v>
      </c>
      <c r="H30" t="s">
        <v>27</v>
      </c>
      <c r="I30" s="2">
        <v>42901</v>
      </c>
      <c r="J30">
        <v>90</v>
      </c>
      <c r="K30" t="s">
        <v>24</v>
      </c>
      <c r="M30" t="s">
        <v>25</v>
      </c>
      <c r="N30">
        <v>10</v>
      </c>
      <c r="O30" t="s">
        <v>34</v>
      </c>
      <c r="Q30" t="s">
        <v>28</v>
      </c>
      <c r="S30" t="s">
        <v>29</v>
      </c>
    </row>
    <row r="31" spans="1:22" x14ac:dyDescent="0.25">
      <c r="A31">
        <v>722820234</v>
      </c>
      <c r="B31" s="1">
        <v>46124.762475428244</v>
      </c>
      <c r="C31" s="1">
        <v>46124.765065416665</v>
      </c>
      <c r="D31" s="2">
        <v>46124</v>
      </c>
      <c r="E31">
        <v>36</v>
      </c>
      <c r="F31">
        <v>3</v>
      </c>
      <c r="G31" t="s">
        <v>30</v>
      </c>
      <c r="H31" t="s">
        <v>23</v>
      </c>
      <c r="I31" s="2">
        <v>42919</v>
      </c>
      <c r="J31">
        <v>8</v>
      </c>
      <c r="K31" t="s">
        <v>32</v>
      </c>
      <c r="L31" t="s">
        <v>96</v>
      </c>
      <c r="M31" t="s">
        <v>38</v>
      </c>
      <c r="N31">
        <v>10</v>
      </c>
      <c r="O31" t="s">
        <v>88</v>
      </c>
      <c r="Q31" t="s">
        <v>19</v>
      </c>
      <c r="T31" t="s">
        <v>74</v>
      </c>
    </row>
    <row r="32" spans="1:22" x14ac:dyDescent="0.25">
      <c r="A32">
        <v>722821710</v>
      </c>
      <c r="B32" s="1">
        <v>46124.76506568287</v>
      </c>
      <c r="C32" s="1">
        <v>46124.767338101854</v>
      </c>
      <c r="D32" s="2">
        <v>46124</v>
      </c>
      <c r="E32">
        <v>228</v>
      </c>
      <c r="F32">
        <v>19</v>
      </c>
      <c r="G32" t="s">
        <v>30</v>
      </c>
      <c r="H32" t="s">
        <v>97</v>
      </c>
      <c r="I32" s="2">
        <v>42789</v>
      </c>
      <c r="J32">
        <v>21</v>
      </c>
      <c r="K32" t="s">
        <v>24</v>
      </c>
      <c r="M32" t="s">
        <v>25</v>
      </c>
      <c r="N32">
        <v>25</v>
      </c>
      <c r="O32" t="s">
        <v>69</v>
      </c>
      <c r="Q32" t="s">
        <v>40</v>
      </c>
      <c r="R32" t="s">
        <v>98</v>
      </c>
    </row>
    <row r="33" spans="1:20" x14ac:dyDescent="0.25">
      <c r="A33">
        <v>722825333</v>
      </c>
      <c r="B33" s="1">
        <v>46124.767338368052</v>
      </c>
      <c r="C33" s="1">
        <v>46124.775020879628</v>
      </c>
      <c r="D33" s="2">
        <v>46124</v>
      </c>
      <c r="E33">
        <v>660</v>
      </c>
      <c r="F33">
        <v>55</v>
      </c>
      <c r="G33" t="s">
        <v>30</v>
      </c>
      <c r="H33" t="s">
        <v>99</v>
      </c>
      <c r="I33" s="2">
        <v>42845</v>
      </c>
      <c r="J33">
        <v>5</v>
      </c>
      <c r="K33" t="s">
        <v>32</v>
      </c>
      <c r="L33" t="s">
        <v>100</v>
      </c>
      <c r="M33" t="s">
        <v>38</v>
      </c>
      <c r="N33">
        <v>27</v>
      </c>
      <c r="O33" t="s">
        <v>73</v>
      </c>
      <c r="Q33" t="s">
        <v>19</v>
      </c>
      <c r="T33" t="s">
        <v>70</v>
      </c>
    </row>
    <row r="34" spans="1:20" x14ac:dyDescent="0.25">
      <c r="A34">
        <v>722831716</v>
      </c>
      <c r="B34" s="1">
        <v>46124.775021145833</v>
      </c>
      <c r="C34" s="1">
        <v>46124.789548275461</v>
      </c>
      <c r="D34" s="2">
        <v>46124</v>
      </c>
      <c r="E34">
        <v>42</v>
      </c>
      <c r="F34">
        <v>3.5</v>
      </c>
      <c r="G34" t="s">
        <v>22</v>
      </c>
      <c r="H34" t="s">
        <v>23</v>
      </c>
      <c r="I34" s="2">
        <v>42898</v>
      </c>
      <c r="J34">
        <v>30</v>
      </c>
      <c r="K34" t="s">
        <v>24</v>
      </c>
      <c r="M34" t="s">
        <v>25</v>
      </c>
      <c r="N34">
        <v>10</v>
      </c>
      <c r="O34" t="s">
        <v>34</v>
      </c>
      <c r="Q34" t="s">
        <v>28</v>
      </c>
      <c r="S34" t="s">
        <v>101</v>
      </c>
    </row>
    <row r="35" spans="1:20" x14ac:dyDescent="0.25">
      <c r="A35">
        <v>722832781</v>
      </c>
      <c r="B35" s="1">
        <v>46124.789548738423</v>
      </c>
      <c r="C35" s="1">
        <v>46124.792520474541</v>
      </c>
      <c r="D35" s="2">
        <v>46124</v>
      </c>
      <c r="E35">
        <v>372</v>
      </c>
      <c r="F35">
        <v>31</v>
      </c>
      <c r="G35" t="s">
        <v>30</v>
      </c>
      <c r="H35" t="s">
        <v>77</v>
      </c>
      <c r="I35" s="2">
        <v>42864</v>
      </c>
      <c r="J35">
        <v>3</v>
      </c>
      <c r="K35" t="s">
        <v>32</v>
      </c>
      <c r="L35" t="s">
        <v>102</v>
      </c>
      <c r="M35" t="s">
        <v>38</v>
      </c>
      <c r="N35">
        <v>27</v>
      </c>
      <c r="O35" t="s">
        <v>73</v>
      </c>
      <c r="Q35" t="s">
        <v>19</v>
      </c>
      <c r="T35" t="s">
        <v>70</v>
      </c>
    </row>
    <row r="36" spans="1:20" x14ac:dyDescent="0.25">
      <c r="A36">
        <v>722835688</v>
      </c>
      <c r="B36" s="1">
        <v>46124.79252087963</v>
      </c>
      <c r="C36" s="1">
        <v>46124.797827395836</v>
      </c>
      <c r="D36" s="2">
        <v>46124</v>
      </c>
      <c r="E36">
        <v>708</v>
      </c>
      <c r="F36">
        <v>59</v>
      </c>
      <c r="G36" t="s">
        <v>30</v>
      </c>
      <c r="H36" t="s">
        <v>103</v>
      </c>
      <c r="I36" s="2">
        <v>42947</v>
      </c>
      <c r="J36">
        <v>2</v>
      </c>
      <c r="K36" t="s">
        <v>32</v>
      </c>
      <c r="L36" t="s">
        <v>104</v>
      </c>
      <c r="M36" t="s">
        <v>25</v>
      </c>
      <c r="N36">
        <v>2</v>
      </c>
      <c r="O36" t="s">
        <v>34</v>
      </c>
      <c r="Q36" t="s">
        <v>19</v>
      </c>
      <c r="T36" t="s">
        <v>35</v>
      </c>
    </row>
    <row r="37" spans="1:20" x14ac:dyDescent="0.25">
      <c r="A37">
        <v>722837165</v>
      </c>
      <c r="B37" s="1">
        <v>46124.797827916664</v>
      </c>
      <c r="C37" s="1">
        <v>46124.801444641205</v>
      </c>
      <c r="D37" s="2">
        <v>46124</v>
      </c>
      <c r="E37">
        <v>216</v>
      </c>
      <c r="F37">
        <v>18</v>
      </c>
      <c r="G37" t="s">
        <v>30</v>
      </c>
      <c r="H37" t="s">
        <v>81</v>
      </c>
      <c r="I37" s="2">
        <v>43034</v>
      </c>
      <c r="J37">
        <v>7</v>
      </c>
      <c r="K37" t="s">
        <v>32</v>
      </c>
      <c r="L37" t="s">
        <v>105</v>
      </c>
      <c r="M37" t="s">
        <v>38</v>
      </c>
      <c r="N37">
        <v>15</v>
      </c>
      <c r="O37" t="s">
        <v>34</v>
      </c>
      <c r="Q37" t="s">
        <v>19</v>
      </c>
      <c r="T37" t="s">
        <v>74</v>
      </c>
    </row>
    <row r="38" spans="1:20" x14ac:dyDescent="0.25">
      <c r="A38">
        <v>722839809</v>
      </c>
      <c r="B38" s="1">
        <v>46124.801445173609</v>
      </c>
      <c r="C38" s="1">
        <v>46124.807729444445</v>
      </c>
      <c r="D38" s="2">
        <v>46124</v>
      </c>
      <c r="E38">
        <v>132</v>
      </c>
      <c r="F38">
        <v>11</v>
      </c>
      <c r="G38" t="s">
        <v>22</v>
      </c>
      <c r="H38" t="s">
        <v>81</v>
      </c>
      <c r="I38" s="2">
        <v>42905</v>
      </c>
      <c r="J38">
        <v>4</v>
      </c>
      <c r="K38" t="s">
        <v>32</v>
      </c>
      <c r="L38" t="s">
        <v>106</v>
      </c>
      <c r="M38" t="s">
        <v>58</v>
      </c>
      <c r="N38">
        <v>3</v>
      </c>
      <c r="O38" t="s">
        <v>88</v>
      </c>
      <c r="Q38" t="s">
        <v>19</v>
      </c>
      <c r="T38" t="s">
        <v>74</v>
      </c>
    </row>
    <row r="39" spans="1:20" x14ac:dyDescent="0.25">
      <c r="A39">
        <v>722904560</v>
      </c>
      <c r="B39" s="1">
        <v>46124.468771898151</v>
      </c>
      <c r="C39" s="1">
        <v>46124.971727337965</v>
      </c>
      <c r="D39" s="2">
        <v>46124</v>
      </c>
      <c r="E39">
        <v>636</v>
      </c>
      <c r="F39">
        <v>53</v>
      </c>
      <c r="G39" t="s">
        <v>22</v>
      </c>
      <c r="H39" t="s">
        <v>107</v>
      </c>
      <c r="I39" s="2">
        <v>42410</v>
      </c>
      <c r="J39">
        <v>62</v>
      </c>
      <c r="K39" t="s">
        <v>32</v>
      </c>
      <c r="L39" t="s">
        <v>108</v>
      </c>
      <c r="M39" t="s">
        <v>38</v>
      </c>
      <c r="N39">
        <v>95</v>
      </c>
      <c r="O39" t="s">
        <v>26</v>
      </c>
      <c r="P39" t="s">
        <v>27</v>
      </c>
      <c r="Q39" t="s">
        <v>19</v>
      </c>
      <c r="T39" t="s">
        <v>64</v>
      </c>
    </row>
    <row r="40" spans="1:20" x14ac:dyDescent="0.25">
      <c r="A40">
        <v>722905279</v>
      </c>
      <c r="B40" s="1">
        <v>46124.971728842589</v>
      </c>
      <c r="C40" s="1">
        <v>46124.974393796299</v>
      </c>
      <c r="D40" s="2">
        <v>46124</v>
      </c>
      <c r="E40">
        <v>60</v>
      </c>
      <c r="F40">
        <v>5</v>
      </c>
      <c r="G40" t="s">
        <v>22</v>
      </c>
      <c r="H40" t="s">
        <v>86</v>
      </c>
      <c r="I40" s="2">
        <v>43465</v>
      </c>
      <c r="J40">
        <v>3</v>
      </c>
      <c r="K40" t="s">
        <v>32</v>
      </c>
      <c r="L40" t="s">
        <v>109</v>
      </c>
      <c r="M40" t="s">
        <v>38</v>
      </c>
      <c r="N40">
        <v>95</v>
      </c>
      <c r="O40" t="s">
        <v>110</v>
      </c>
      <c r="Q40" t="s">
        <v>19</v>
      </c>
      <c r="T40" t="s">
        <v>64</v>
      </c>
    </row>
    <row r="41" spans="1:20" x14ac:dyDescent="0.25">
      <c r="A41">
        <v>722906161</v>
      </c>
      <c r="B41" s="1">
        <v>46124.97439520833</v>
      </c>
      <c r="C41" s="1">
        <v>46124.978186701388</v>
      </c>
      <c r="D41" s="2">
        <v>46124</v>
      </c>
      <c r="E41">
        <v>816</v>
      </c>
      <c r="F41">
        <v>68</v>
      </c>
      <c r="G41" t="s">
        <v>22</v>
      </c>
      <c r="H41" t="s">
        <v>111</v>
      </c>
      <c r="I41" s="2">
        <v>43417</v>
      </c>
      <c r="J41">
        <v>14</v>
      </c>
      <c r="K41" t="s">
        <v>32</v>
      </c>
      <c r="L41" t="s">
        <v>112</v>
      </c>
      <c r="M41" t="s">
        <v>25</v>
      </c>
      <c r="N41">
        <v>15</v>
      </c>
      <c r="O41" t="s">
        <v>34</v>
      </c>
      <c r="Q41" t="s">
        <v>19</v>
      </c>
      <c r="T41" t="s">
        <v>35</v>
      </c>
    </row>
    <row r="42" spans="1:20" x14ac:dyDescent="0.25">
      <c r="A42">
        <v>722907257</v>
      </c>
      <c r="B42" s="1">
        <v>46124.978188078705</v>
      </c>
      <c r="C42" s="1">
        <v>46124.983062222222</v>
      </c>
      <c r="D42" s="2">
        <v>46124</v>
      </c>
      <c r="E42">
        <v>60</v>
      </c>
      <c r="F42">
        <v>5</v>
      </c>
      <c r="G42" t="s">
        <v>30</v>
      </c>
      <c r="H42" t="s">
        <v>79</v>
      </c>
      <c r="I42" s="2">
        <v>43388</v>
      </c>
      <c r="J42">
        <v>1</v>
      </c>
      <c r="K42" t="s">
        <v>32</v>
      </c>
      <c r="L42" t="s">
        <v>113</v>
      </c>
      <c r="M42" t="s">
        <v>25</v>
      </c>
      <c r="N42">
        <v>45</v>
      </c>
      <c r="O42" t="s">
        <v>73</v>
      </c>
      <c r="Q42" t="s">
        <v>19</v>
      </c>
      <c r="T42" t="s">
        <v>74</v>
      </c>
    </row>
    <row r="43" spans="1:20" x14ac:dyDescent="0.25">
      <c r="A43">
        <v>722908296</v>
      </c>
      <c r="B43" s="1">
        <v>46124.98306377315</v>
      </c>
      <c r="C43" s="1">
        <v>46124.986659675924</v>
      </c>
      <c r="D43" s="2">
        <v>46124</v>
      </c>
      <c r="E43">
        <v>828</v>
      </c>
      <c r="F43">
        <v>69</v>
      </c>
      <c r="G43" t="s">
        <v>22</v>
      </c>
      <c r="H43" t="s">
        <v>114</v>
      </c>
      <c r="I43" s="2">
        <v>43353</v>
      </c>
      <c r="J43">
        <v>31</v>
      </c>
      <c r="K43" t="s">
        <v>32</v>
      </c>
      <c r="L43" t="s">
        <v>115</v>
      </c>
      <c r="M43" t="s">
        <v>38</v>
      </c>
      <c r="N43">
        <v>20</v>
      </c>
      <c r="O43" t="s">
        <v>34</v>
      </c>
      <c r="Q43" t="s">
        <v>19</v>
      </c>
      <c r="T43" t="s">
        <v>35</v>
      </c>
    </row>
    <row r="44" spans="1:20" x14ac:dyDescent="0.25">
      <c r="A44">
        <v>722909162</v>
      </c>
      <c r="B44" s="1">
        <v>46124.986660856484</v>
      </c>
      <c r="C44" s="1">
        <v>46124.990848576388</v>
      </c>
      <c r="D44" s="2">
        <v>46124</v>
      </c>
      <c r="E44">
        <v>216</v>
      </c>
      <c r="F44">
        <v>18</v>
      </c>
      <c r="G44" t="s">
        <v>30</v>
      </c>
      <c r="H44" t="s">
        <v>116</v>
      </c>
      <c r="I44" s="2">
        <v>43396</v>
      </c>
      <c r="J44">
        <v>1</v>
      </c>
      <c r="K44" t="s">
        <v>32</v>
      </c>
      <c r="L44" t="s">
        <v>117</v>
      </c>
      <c r="M44" t="s">
        <v>38</v>
      </c>
      <c r="N44">
        <v>50</v>
      </c>
      <c r="O44" t="s">
        <v>26</v>
      </c>
      <c r="P44" t="s">
        <v>27</v>
      </c>
      <c r="Q44" t="s">
        <v>19</v>
      </c>
      <c r="T44" t="s">
        <v>64</v>
      </c>
    </row>
    <row r="45" spans="1:20" x14ac:dyDescent="0.25">
      <c r="A45">
        <v>722910446</v>
      </c>
      <c r="B45" s="1">
        <v>46124.990849699076</v>
      </c>
      <c r="C45" s="1">
        <v>46124.995360706016</v>
      </c>
      <c r="D45" s="2">
        <v>46124</v>
      </c>
      <c r="E45">
        <v>612</v>
      </c>
      <c r="F45">
        <v>51</v>
      </c>
      <c r="G45" t="s">
        <v>30</v>
      </c>
      <c r="H45" t="s">
        <v>118</v>
      </c>
      <c r="I45" s="2">
        <v>43384</v>
      </c>
      <c r="J45">
        <v>4</v>
      </c>
      <c r="K45" t="s">
        <v>32</v>
      </c>
      <c r="L45" t="s">
        <v>119</v>
      </c>
      <c r="M45" t="s">
        <v>25</v>
      </c>
      <c r="N45">
        <v>10</v>
      </c>
      <c r="O45" t="s">
        <v>120</v>
      </c>
      <c r="P45" t="s">
        <v>121</v>
      </c>
      <c r="Q45" t="s">
        <v>19</v>
      </c>
      <c r="T45" t="s">
        <v>35</v>
      </c>
    </row>
    <row r="46" spans="1:20" x14ac:dyDescent="0.25">
      <c r="A46">
        <v>722913007</v>
      </c>
      <c r="B46" s="1">
        <v>46124.995361944442</v>
      </c>
      <c r="C46" s="1">
        <v>46125.002760393516</v>
      </c>
      <c r="D46" s="2">
        <v>46124</v>
      </c>
      <c r="E46">
        <v>396</v>
      </c>
      <c r="F46">
        <v>33</v>
      </c>
      <c r="G46" t="s">
        <v>30</v>
      </c>
      <c r="H46" t="s">
        <v>77</v>
      </c>
      <c r="I46" s="2">
        <v>43384</v>
      </c>
      <c r="J46">
        <v>1925</v>
      </c>
      <c r="K46" t="s">
        <v>32</v>
      </c>
      <c r="L46" t="s">
        <v>122</v>
      </c>
      <c r="M46" t="s">
        <v>25</v>
      </c>
      <c r="N46">
        <v>20</v>
      </c>
      <c r="O46" t="s">
        <v>60</v>
      </c>
      <c r="P46" t="s">
        <v>123</v>
      </c>
      <c r="Q46" t="s">
        <v>19</v>
      </c>
      <c r="T46" t="s">
        <v>35</v>
      </c>
    </row>
    <row r="47" spans="1:20" x14ac:dyDescent="0.25">
      <c r="A47">
        <v>723500929</v>
      </c>
      <c r="B47" s="1">
        <v>46125.002761875003</v>
      </c>
      <c r="C47" s="1">
        <v>46125.559270370373</v>
      </c>
      <c r="D47" s="2">
        <v>46125</v>
      </c>
      <c r="E47">
        <v>264</v>
      </c>
      <c r="F47">
        <v>22</v>
      </c>
      <c r="G47" t="s">
        <v>30</v>
      </c>
      <c r="H47" t="s">
        <v>97</v>
      </c>
      <c r="I47" s="2">
        <v>43319</v>
      </c>
      <c r="J47">
        <v>1</v>
      </c>
      <c r="K47" t="s">
        <v>24</v>
      </c>
      <c r="M47" t="s">
        <v>25</v>
      </c>
      <c r="N47">
        <v>20</v>
      </c>
      <c r="O47" t="s">
        <v>73</v>
      </c>
      <c r="Q47" t="s">
        <v>19</v>
      </c>
      <c r="T47" t="s">
        <v>74</v>
      </c>
    </row>
    <row r="48" spans="1:20" x14ac:dyDescent="0.25">
      <c r="A48">
        <v>723506643</v>
      </c>
      <c r="B48" s="1">
        <v>46125.559271782404</v>
      </c>
      <c r="C48" s="1">
        <v>46125.563204560189</v>
      </c>
      <c r="D48" s="2">
        <v>46125</v>
      </c>
      <c r="E48">
        <v>480</v>
      </c>
      <c r="F48">
        <v>40</v>
      </c>
      <c r="G48" t="s">
        <v>30</v>
      </c>
      <c r="H48" t="s">
        <v>77</v>
      </c>
      <c r="I48" s="2">
        <v>43433</v>
      </c>
      <c r="J48">
        <v>385</v>
      </c>
      <c r="K48" t="s">
        <v>32</v>
      </c>
      <c r="L48" t="s">
        <v>124</v>
      </c>
      <c r="M48" t="s">
        <v>25</v>
      </c>
      <c r="N48">
        <v>6</v>
      </c>
      <c r="O48" t="s">
        <v>26</v>
      </c>
      <c r="P48" t="s">
        <v>27</v>
      </c>
      <c r="Q48" t="s">
        <v>19</v>
      </c>
      <c r="T48" t="s">
        <v>70</v>
      </c>
    </row>
    <row r="49" spans="1:22" x14ac:dyDescent="0.25">
      <c r="A49">
        <v>723519297</v>
      </c>
      <c r="B49" s="1">
        <v>46125.563205879633</v>
      </c>
      <c r="C49" s="1">
        <v>46125.572342187501</v>
      </c>
      <c r="D49" s="2">
        <v>46125</v>
      </c>
      <c r="E49">
        <v>444</v>
      </c>
      <c r="F49">
        <v>37</v>
      </c>
      <c r="G49" t="s">
        <v>22</v>
      </c>
      <c r="H49" t="s">
        <v>125</v>
      </c>
      <c r="I49" s="2">
        <v>43291</v>
      </c>
      <c r="J49">
        <v>4</v>
      </c>
      <c r="K49" t="s">
        <v>32</v>
      </c>
      <c r="L49" t="s">
        <v>126</v>
      </c>
      <c r="M49" t="s">
        <v>25</v>
      </c>
      <c r="N49">
        <v>30</v>
      </c>
      <c r="O49" t="s">
        <v>51</v>
      </c>
      <c r="Q49" t="s">
        <v>19</v>
      </c>
      <c r="T49" t="s">
        <v>35</v>
      </c>
    </row>
    <row r="50" spans="1:22" x14ac:dyDescent="0.25">
      <c r="A50">
        <v>723528166</v>
      </c>
      <c r="B50" s="1">
        <v>46125.572343148146</v>
      </c>
      <c r="C50" s="1">
        <v>46125.579447384262</v>
      </c>
      <c r="D50" s="2">
        <v>46125</v>
      </c>
      <c r="E50">
        <v>816</v>
      </c>
      <c r="F50">
        <v>68</v>
      </c>
      <c r="G50" t="s">
        <v>22</v>
      </c>
      <c r="H50" t="s">
        <v>103</v>
      </c>
      <c r="I50" s="2">
        <v>43286</v>
      </c>
      <c r="J50">
        <v>385</v>
      </c>
      <c r="K50" t="s">
        <v>24</v>
      </c>
      <c r="M50" t="s">
        <v>25</v>
      </c>
      <c r="N50">
        <v>2</v>
      </c>
      <c r="O50" t="s">
        <v>26</v>
      </c>
      <c r="P50" t="s">
        <v>27</v>
      </c>
      <c r="Q50" t="s">
        <v>19</v>
      </c>
      <c r="T50" t="s">
        <v>35</v>
      </c>
    </row>
    <row r="51" spans="1:22" x14ac:dyDescent="0.25">
      <c r="A51">
        <v>726303830</v>
      </c>
      <c r="B51" s="1">
        <v>46124.807729907407</v>
      </c>
      <c r="C51" s="1">
        <v>46128.412530555557</v>
      </c>
      <c r="D51" s="2">
        <v>46124</v>
      </c>
      <c r="E51">
        <v>180</v>
      </c>
      <c r="F51">
        <v>15</v>
      </c>
      <c r="G51" t="s">
        <v>22</v>
      </c>
      <c r="H51" t="s">
        <v>81</v>
      </c>
      <c r="I51" s="2">
        <v>45747</v>
      </c>
      <c r="J51">
        <v>21</v>
      </c>
      <c r="K51" t="s">
        <v>24</v>
      </c>
      <c r="M51" t="s">
        <v>38</v>
      </c>
      <c r="N51">
        <v>17</v>
      </c>
      <c r="O51" t="s">
        <v>110</v>
      </c>
      <c r="Q51" t="s">
        <v>28</v>
      </c>
      <c r="S51" t="s">
        <v>47</v>
      </c>
      <c r="V51" t="s">
        <v>127</v>
      </c>
    </row>
    <row r="52" spans="1:22" x14ac:dyDescent="0.25">
      <c r="A52">
        <v>726306825</v>
      </c>
      <c r="B52" s="1">
        <v>46128.412531099537</v>
      </c>
      <c r="C52" s="1">
        <v>46128.414594351852</v>
      </c>
      <c r="D52" s="2">
        <v>46128</v>
      </c>
      <c r="E52">
        <v>192</v>
      </c>
      <c r="F52">
        <v>16</v>
      </c>
      <c r="G52" t="s">
        <v>30</v>
      </c>
      <c r="H52" t="s">
        <v>81</v>
      </c>
      <c r="I52" s="2">
        <v>45929</v>
      </c>
      <c r="J52">
        <v>3</v>
      </c>
      <c r="K52" t="s">
        <v>32</v>
      </c>
      <c r="L52" t="s">
        <v>128</v>
      </c>
      <c r="M52" t="s">
        <v>38</v>
      </c>
      <c r="N52">
        <v>20</v>
      </c>
      <c r="O52" t="s">
        <v>69</v>
      </c>
      <c r="Q52" t="s">
        <v>19</v>
      </c>
      <c r="T52" t="s">
        <v>47</v>
      </c>
      <c r="V52" t="s">
        <v>127</v>
      </c>
    </row>
    <row r="53" spans="1:22" x14ac:dyDescent="0.25">
      <c r="A53">
        <v>726343086</v>
      </c>
      <c r="B53" s="1">
        <v>46128.414594641203</v>
      </c>
      <c r="C53" s="1">
        <v>46128.441035613425</v>
      </c>
      <c r="D53" s="2">
        <v>46128</v>
      </c>
      <c r="E53">
        <v>132</v>
      </c>
      <c r="F53">
        <v>11</v>
      </c>
      <c r="G53" t="s">
        <v>22</v>
      </c>
      <c r="H53" t="s">
        <v>81</v>
      </c>
      <c r="I53" s="2">
        <v>45887</v>
      </c>
      <c r="J53">
        <v>7</v>
      </c>
      <c r="K53" t="s">
        <v>32</v>
      </c>
      <c r="L53" t="s">
        <v>129</v>
      </c>
      <c r="M53" t="s">
        <v>38</v>
      </c>
      <c r="N53">
        <v>12</v>
      </c>
      <c r="O53" t="s">
        <v>34</v>
      </c>
      <c r="Q53" t="s">
        <v>19</v>
      </c>
      <c r="T53" t="s">
        <v>74</v>
      </c>
    </row>
    <row r="54" spans="1:22" x14ac:dyDescent="0.25">
      <c r="A54">
        <v>726483329</v>
      </c>
      <c r="B54" s="1">
        <v>46128.441036145836</v>
      </c>
      <c r="C54" s="1">
        <v>46128.541520937499</v>
      </c>
      <c r="D54" s="2">
        <v>46128</v>
      </c>
      <c r="E54">
        <v>900</v>
      </c>
      <c r="F54">
        <v>75</v>
      </c>
      <c r="G54" t="s">
        <v>22</v>
      </c>
      <c r="H54" t="s">
        <v>130</v>
      </c>
      <c r="I54" s="2">
        <v>45524</v>
      </c>
      <c r="J54">
        <v>21</v>
      </c>
      <c r="K54" t="s">
        <v>24</v>
      </c>
      <c r="M54" t="s">
        <v>25</v>
      </c>
      <c r="N54">
        <v>3</v>
      </c>
      <c r="O54" t="s">
        <v>69</v>
      </c>
      <c r="Q54" t="s">
        <v>28</v>
      </c>
      <c r="S54" t="s">
        <v>47</v>
      </c>
      <c r="V54" t="s">
        <v>131</v>
      </c>
    </row>
    <row r="55" spans="1:22" x14ac:dyDescent="0.25">
      <c r="A55">
        <v>726486061</v>
      </c>
      <c r="B55" s="1">
        <v>46128.541521284722</v>
      </c>
      <c r="C55" s="1">
        <v>46128.543839618054</v>
      </c>
      <c r="D55" s="2">
        <v>46128</v>
      </c>
      <c r="E55">
        <v>720</v>
      </c>
      <c r="F55">
        <v>60</v>
      </c>
      <c r="G55" t="s">
        <v>30</v>
      </c>
      <c r="H55" t="s">
        <v>77</v>
      </c>
      <c r="I55" s="2">
        <v>45428</v>
      </c>
      <c r="J55">
        <v>60</v>
      </c>
      <c r="K55" t="s">
        <v>24</v>
      </c>
      <c r="M55" t="s">
        <v>25</v>
      </c>
      <c r="N55">
        <v>6</v>
      </c>
      <c r="O55" t="s">
        <v>34</v>
      </c>
      <c r="Q55" t="s">
        <v>40</v>
      </c>
      <c r="R55" t="s">
        <v>47</v>
      </c>
      <c r="V55" t="s">
        <v>132</v>
      </c>
    </row>
    <row r="56" spans="1:22" x14ac:dyDescent="0.25">
      <c r="A56">
        <v>726493855</v>
      </c>
      <c r="B56" s="1">
        <v>46128.543839872684</v>
      </c>
      <c r="C56" s="1">
        <v>46128.549896168981</v>
      </c>
      <c r="D56" s="2">
        <v>46128</v>
      </c>
      <c r="E56">
        <v>396</v>
      </c>
      <c r="F56">
        <v>33</v>
      </c>
      <c r="G56" t="s">
        <v>30</v>
      </c>
      <c r="H56" t="s">
        <v>133</v>
      </c>
      <c r="I56" s="2">
        <v>46042</v>
      </c>
      <c r="J56">
        <v>6</v>
      </c>
      <c r="K56" t="s">
        <v>32</v>
      </c>
      <c r="L56" t="s">
        <v>134</v>
      </c>
      <c r="M56" t="s">
        <v>25</v>
      </c>
      <c r="N56">
        <v>5</v>
      </c>
      <c r="O56" t="s">
        <v>34</v>
      </c>
      <c r="Q56" t="s">
        <v>19</v>
      </c>
      <c r="T56" t="s">
        <v>35</v>
      </c>
    </row>
    <row r="57" spans="1:22" x14ac:dyDescent="0.25">
      <c r="A57">
        <v>726495267</v>
      </c>
      <c r="B57" s="1">
        <v>46128.549896504628</v>
      </c>
      <c r="C57" s="1">
        <v>46128.551095115741</v>
      </c>
      <c r="D57" s="2">
        <v>46128</v>
      </c>
      <c r="E57">
        <v>156</v>
      </c>
      <c r="F57">
        <v>13</v>
      </c>
      <c r="G57" t="s">
        <v>30</v>
      </c>
      <c r="H57" t="s">
        <v>81</v>
      </c>
      <c r="I57" s="2">
        <v>46100</v>
      </c>
      <c r="J57">
        <v>4</v>
      </c>
      <c r="K57" t="s">
        <v>24</v>
      </c>
      <c r="M57" t="s">
        <v>25</v>
      </c>
      <c r="N57">
        <v>2</v>
      </c>
      <c r="O57" t="s">
        <v>88</v>
      </c>
      <c r="Q57" t="s">
        <v>28</v>
      </c>
      <c r="S57" t="s">
        <v>101</v>
      </c>
    </row>
    <row r="58" spans="1:22" x14ac:dyDescent="0.25">
      <c r="A58">
        <v>726513108</v>
      </c>
      <c r="B58" s="1">
        <v>46128.551095532406</v>
      </c>
      <c r="C58" s="1">
        <v>46128.564362696758</v>
      </c>
      <c r="D58" s="2">
        <v>46128</v>
      </c>
      <c r="E58">
        <v>36</v>
      </c>
      <c r="F58">
        <v>3</v>
      </c>
      <c r="G58" t="s">
        <v>30</v>
      </c>
      <c r="H58" t="s">
        <v>27</v>
      </c>
      <c r="I58" s="2">
        <v>45859</v>
      </c>
      <c r="J58">
        <v>14</v>
      </c>
      <c r="K58" t="s">
        <v>32</v>
      </c>
      <c r="L58" t="s">
        <v>95</v>
      </c>
      <c r="M58" t="s">
        <v>38</v>
      </c>
      <c r="N58">
        <v>90</v>
      </c>
      <c r="O58" t="s">
        <v>88</v>
      </c>
      <c r="Q58" t="s">
        <v>19</v>
      </c>
      <c r="T58" t="s">
        <v>64</v>
      </c>
    </row>
    <row r="59" spans="1:22" x14ac:dyDescent="0.25">
      <c r="A59">
        <v>726515934</v>
      </c>
      <c r="B59" s="1">
        <v>46128.564363263889</v>
      </c>
      <c r="C59" s="1">
        <v>46128.565966562499</v>
      </c>
      <c r="D59" s="2">
        <v>46128</v>
      </c>
      <c r="E59">
        <v>144</v>
      </c>
      <c r="F59">
        <v>12</v>
      </c>
      <c r="G59" t="s">
        <v>22</v>
      </c>
      <c r="H59" t="s">
        <v>81</v>
      </c>
      <c r="I59" s="2">
        <v>45876</v>
      </c>
      <c r="J59">
        <v>7</v>
      </c>
      <c r="K59" t="s">
        <v>32</v>
      </c>
      <c r="L59" t="s">
        <v>105</v>
      </c>
      <c r="M59" t="s">
        <v>38</v>
      </c>
      <c r="N59">
        <v>31</v>
      </c>
      <c r="O59" t="s">
        <v>69</v>
      </c>
      <c r="Q59" t="s">
        <v>19</v>
      </c>
      <c r="T59" t="s">
        <v>64</v>
      </c>
    </row>
    <row r="60" spans="1:22" x14ac:dyDescent="0.25">
      <c r="A60">
        <v>726521403</v>
      </c>
      <c r="B60" s="1">
        <v>46128.56596699074</v>
      </c>
      <c r="C60" s="1">
        <v>46128.568923425926</v>
      </c>
      <c r="D60" s="2">
        <v>46128</v>
      </c>
      <c r="E60">
        <v>108</v>
      </c>
      <c r="F60">
        <v>9</v>
      </c>
      <c r="G60" t="s">
        <v>22</v>
      </c>
      <c r="H60" t="s">
        <v>86</v>
      </c>
      <c r="I60" s="2">
        <v>45820</v>
      </c>
      <c r="J60">
        <v>3</v>
      </c>
      <c r="K60" t="s">
        <v>32</v>
      </c>
      <c r="L60" t="s">
        <v>135</v>
      </c>
      <c r="M60" t="s">
        <v>38</v>
      </c>
      <c r="N60">
        <v>35</v>
      </c>
      <c r="O60" t="s">
        <v>88</v>
      </c>
      <c r="Q60" t="s">
        <v>19</v>
      </c>
      <c r="T60" t="s">
        <v>64</v>
      </c>
    </row>
    <row r="61" spans="1:22" x14ac:dyDescent="0.25">
      <c r="A61">
        <v>726526577</v>
      </c>
      <c r="B61" s="1">
        <v>46128.568923773149</v>
      </c>
      <c r="C61" s="1">
        <v>46128.571173171295</v>
      </c>
      <c r="D61" s="2">
        <v>46128</v>
      </c>
      <c r="E61">
        <v>60</v>
      </c>
      <c r="F61">
        <v>5</v>
      </c>
      <c r="G61" t="s">
        <v>22</v>
      </c>
      <c r="H61" t="s">
        <v>86</v>
      </c>
      <c r="I61" s="2">
        <v>45798</v>
      </c>
      <c r="J61">
        <v>3</v>
      </c>
      <c r="K61" t="s">
        <v>24</v>
      </c>
      <c r="M61" t="s">
        <v>25</v>
      </c>
      <c r="N61">
        <v>8</v>
      </c>
      <c r="O61" t="s">
        <v>34</v>
      </c>
      <c r="Q61" t="s">
        <v>28</v>
      </c>
      <c r="S61" t="s">
        <v>101</v>
      </c>
    </row>
    <row r="62" spans="1:22" x14ac:dyDescent="0.25">
      <c r="A62">
        <v>726532569</v>
      </c>
      <c r="B62" s="1">
        <v>46128.571173449076</v>
      </c>
      <c r="C62" s="1">
        <v>46128.574363043983</v>
      </c>
      <c r="D62" s="2">
        <v>46128</v>
      </c>
      <c r="E62">
        <v>648</v>
      </c>
      <c r="F62">
        <v>54</v>
      </c>
      <c r="G62" t="s">
        <v>30</v>
      </c>
      <c r="H62" t="s">
        <v>31</v>
      </c>
      <c r="I62" s="2">
        <v>43999</v>
      </c>
      <c r="J62">
        <v>30</v>
      </c>
      <c r="K62" t="s">
        <v>24</v>
      </c>
      <c r="M62" t="s">
        <v>38</v>
      </c>
      <c r="N62">
        <v>45</v>
      </c>
      <c r="O62" t="s">
        <v>69</v>
      </c>
      <c r="Q62" t="s">
        <v>40</v>
      </c>
      <c r="R62" t="s">
        <v>136</v>
      </c>
    </row>
    <row r="63" spans="1:22" x14ac:dyDescent="0.25">
      <c r="A63">
        <v>726537104</v>
      </c>
      <c r="B63" s="1">
        <v>46128.574363356478</v>
      </c>
      <c r="C63" s="1">
        <v>46128.576718912038</v>
      </c>
      <c r="D63" s="2">
        <v>46128</v>
      </c>
      <c r="E63">
        <v>132</v>
      </c>
      <c r="F63">
        <v>11</v>
      </c>
      <c r="G63" t="s">
        <v>22</v>
      </c>
      <c r="H63" t="s">
        <v>86</v>
      </c>
      <c r="I63" s="2">
        <v>44173</v>
      </c>
      <c r="J63">
        <v>7</v>
      </c>
      <c r="K63" t="s">
        <v>24</v>
      </c>
      <c r="M63" t="s">
        <v>38</v>
      </c>
      <c r="N63">
        <v>8</v>
      </c>
      <c r="O63" t="s">
        <v>34</v>
      </c>
      <c r="Q63" t="s">
        <v>19</v>
      </c>
      <c r="T63" t="s">
        <v>74</v>
      </c>
    </row>
    <row r="64" spans="1:22" x14ac:dyDescent="0.25">
      <c r="A64">
        <v>726539838</v>
      </c>
      <c r="B64" s="1">
        <v>46128.576719212964</v>
      </c>
      <c r="C64" s="1">
        <v>46128.578267083336</v>
      </c>
      <c r="D64" s="2">
        <v>46128</v>
      </c>
      <c r="E64">
        <v>60</v>
      </c>
      <c r="F64">
        <v>5</v>
      </c>
      <c r="G64" t="s">
        <v>30</v>
      </c>
      <c r="H64" t="s">
        <v>79</v>
      </c>
      <c r="I64" s="2">
        <v>43915</v>
      </c>
      <c r="J64">
        <v>7</v>
      </c>
      <c r="K64" t="s">
        <v>24</v>
      </c>
      <c r="M64" t="s">
        <v>25</v>
      </c>
      <c r="N64">
        <v>1</v>
      </c>
      <c r="O64" t="s">
        <v>26</v>
      </c>
      <c r="P64" t="s">
        <v>27</v>
      </c>
      <c r="Q64" t="s">
        <v>28</v>
      </c>
      <c r="S64" t="s">
        <v>101</v>
      </c>
    </row>
    <row r="65" spans="1:20" x14ac:dyDescent="0.25">
      <c r="A65">
        <v>726543699</v>
      </c>
      <c r="B65" s="1">
        <v>46128.578267407407</v>
      </c>
      <c r="C65" s="1">
        <v>46128.580463101855</v>
      </c>
      <c r="D65" s="2">
        <v>46128</v>
      </c>
      <c r="E65">
        <v>900</v>
      </c>
      <c r="F65">
        <v>75</v>
      </c>
      <c r="G65" t="s">
        <v>22</v>
      </c>
      <c r="H65" t="s">
        <v>137</v>
      </c>
      <c r="I65" s="2">
        <v>44127</v>
      </c>
      <c r="J65">
        <v>14</v>
      </c>
      <c r="K65" t="s">
        <v>32</v>
      </c>
      <c r="L65" t="s">
        <v>92</v>
      </c>
      <c r="M65" t="s">
        <v>38</v>
      </c>
      <c r="N65">
        <v>50</v>
      </c>
      <c r="O65" t="s">
        <v>59</v>
      </c>
      <c r="Q65" t="s">
        <v>19</v>
      </c>
      <c r="T65" t="s">
        <v>64</v>
      </c>
    </row>
    <row r="66" spans="1:20" x14ac:dyDescent="0.25">
      <c r="A66">
        <v>726548975</v>
      </c>
      <c r="B66" s="1">
        <v>46128.580463460647</v>
      </c>
      <c r="C66" s="1">
        <v>46128.583261145832</v>
      </c>
      <c r="D66" s="2">
        <v>46128</v>
      </c>
      <c r="E66">
        <v>60</v>
      </c>
      <c r="F66">
        <v>5</v>
      </c>
      <c r="G66" t="s">
        <v>30</v>
      </c>
      <c r="H66" t="s">
        <v>79</v>
      </c>
      <c r="I66" s="2">
        <v>44167</v>
      </c>
      <c r="J66">
        <v>4</v>
      </c>
      <c r="K66" t="s">
        <v>32</v>
      </c>
      <c r="L66" t="s">
        <v>92</v>
      </c>
      <c r="M66" t="s">
        <v>25</v>
      </c>
      <c r="N66">
        <v>15</v>
      </c>
      <c r="O66" t="s">
        <v>69</v>
      </c>
      <c r="Q66" t="s">
        <v>19</v>
      </c>
      <c r="T66" t="s">
        <v>35</v>
      </c>
    </row>
    <row r="67" spans="1:20" x14ac:dyDescent="0.25">
      <c r="A67">
        <v>726554261</v>
      </c>
      <c r="B67" s="1">
        <v>46128.583261504631</v>
      </c>
      <c r="C67" s="1">
        <v>46128.585583981483</v>
      </c>
      <c r="D67" s="2">
        <v>46128</v>
      </c>
      <c r="E67">
        <v>24</v>
      </c>
      <c r="F67">
        <v>2</v>
      </c>
      <c r="G67" t="s">
        <v>22</v>
      </c>
      <c r="H67" t="s">
        <v>27</v>
      </c>
      <c r="I67" s="2">
        <v>44154</v>
      </c>
      <c r="J67">
        <v>5</v>
      </c>
      <c r="K67" t="s">
        <v>32</v>
      </c>
      <c r="L67" t="s">
        <v>138</v>
      </c>
      <c r="M67" t="s">
        <v>38</v>
      </c>
      <c r="N67">
        <v>31</v>
      </c>
      <c r="O67" t="s">
        <v>88</v>
      </c>
      <c r="Q67" t="s">
        <v>19</v>
      </c>
      <c r="T67" t="s">
        <v>64</v>
      </c>
    </row>
    <row r="68" spans="1:20" x14ac:dyDescent="0.25">
      <c r="A68">
        <v>726595677</v>
      </c>
      <c r="B68" s="1">
        <v>46128.585584282409</v>
      </c>
      <c r="C68" s="1">
        <v>46128.605656157408</v>
      </c>
      <c r="D68" s="2">
        <v>46128</v>
      </c>
      <c r="E68">
        <v>840</v>
      </c>
      <c r="F68">
        <v>70</v>
      </c>
      <c r="G68" t="s">
        <v>30</v>
      </c>
      <c r="H68" t="s">
        <v>23</v>
      </c>
      <c r="I68" s="2">
        <v>45923</v>
      </c>
      <c r="J68">
        <v>6</v>
      </c>
      <c r="K68" t="s">
        <v>32</v>
      </c>
      <c r="L68" t="s">
        <v>139</v>
      </c>
      <c r="M68" t="s">
        <v>25</v>
      </c>
      <c r="N68">
        <v>39</v>
      </c>
      <c r="O68" t="s">
        <v>88</v>
      </c>
      <c r="Q68" t="s">
        <v>19</v>
      </c>
      <c r="T68" t="s">
        <v>64</v>
      </c>
    </row>
    <row r="69" spans="1:20" x14ac:dyDescent="0.25">
      <c r="A69">
        <v>726600709</v>
      </c>
      <c r="B69" s="1">
        <v>46128.605656608794</v>
      </c>
      <c r="C69" s="1">
        <v>46128.608212465275</v>
      </c>
      <c r="D69" s="2">
        <v>46128</v>
      </c>
      <c r="E69">
        <v>876</v>
      </c>
      <c r="F69">
        <v>73</v>
      </c>
      <c r="G69" t="s">
        <v>22</v>
      </c>
      <c r="H69" t="s">
        <v>23</v>
      </c>
      <c r="I69" s="2">
        <v>46058</v>
      </c>
      <c r="J69">
        <v>7</v>
      </c>
      <c r="K69" t="s">
        <v>24</v>
      </c>
      <c r="M69" t="s">
        <v>25</v>
      </c>
      <c r="N69">
        <v>5</v>
      </c>
      <c r="O69" t="s">
        <v>69</v>
      </c>
      <c r="Q69" t="s">
        <v>40</v>
      </c>
      <c r="R69" t="s">
        <v>136</v>
      </c>
    </row>
    <row r="70" spans="1:20" x14ac:dyDescent="0.25">
      <c r="A70">
        <v>726604770</v>
      </c>
      <c r="B70" s="1">
        <v>46128.608212800929</v>
      </c>
      <c r="C70" s="1">
        <v>46128.610248888886</v>
      </c>
      <c r="D70" s="2">
        <v>46128</v>
      </c>
      <c r="E70">
        <v>900</v>
      </c>
      <c r="F70">
        <v>75</v>
      </c>
      <c r="G70" t="s">
        <v>30</v>
      </c>
      <c r="H70" t="s">
        <v>23</v>
      </c>
      <c r="I70" s="2">
        <v>45468</v>
      </c>
      <c r="J70">
        <v>30</v>
      </c>
      <c r="K70" t="s">
        <v>24</v>
      </c>
      <c r="M70" t="s">
        <v>25</v>
      </c>
      <c r="N70">
        <v>1</v>
      </c>
      <c r="O70" t="s">
        <v>34</v>
      </c>
      <c r="Q70" t="s">
        <v>40</v>
      </c>
      <c r="R70" t="s">
        <v>44</v>
      </c>
    </row>
    <row r="71" spans="1:20" x14ac:dyDescent="0.25">
      <c r="A71">
        <v>726607612</v>
      </c>
      <c r="B71" s="1">
        <v>46128.610249212965</v>
      </c>
      <c r="C71" s="1">
        <v>46128.611850185189</v>
      </c>
      <c r="D71" s="2">
        <v>46128</v>
      </c>
      <c r="E71">
        <v>1164</v>
      </c>
      <c r="F71">
        <v>97</v>
      </c>
      <c r="G71" t="s">
        <v>30</v>
      </c>
      <c r="H71" t="s">
        <v>23</v>
      </c>
      <c r="I71" s="2">
        <v>45356</v>
      </c>
      <c r="J71">
        <v>42</v>
      </c>
      <c r="K71" t="s">
        <v>24</v>
      </c>
      <c r="M71" t="s">
        <v>25</v>
      </c>
      <c r="N71">
        <v>10</v>
      </c>
      <c r="O71" t="s">
        <v>34</v>
      </c>
      <c r="Q71" t="s">
        <v>40</v>
      </c>
      <c r="R71" t="s">
        <v>44</v>
      </c>
    </row>
    <row r="72" spans="1:20" x14ac:dyDescent="0.25">
      <c r="A72">
        <v>726613688</v>
      </c>
      <c r="B72" s="1">
        <v>46128.611850474539</v>
      </c>
      <c r="C72" s="1">
        <v>46128.614850381942</v>
      </c>
      <c r="D72" s="2">
        <v>46128</v>
      </c>
      <c r="E72">
        <v>91</v>
      </c>
      <c r="F72">
        <v>7.6</v>
      </c>
      <c r="G72" t="s">
        <v>30</v>
      </c>
      <c r="H72" t="s">
        <v>79</v>
      </c>
      <c r="I72" s="2">
        <v>45639</v>
      </c>
      <c r="J72">
        <v>15</v>
      </c>
      <c r="K72" t="s">
        <v>24</v>
      </c>
      <c r="M72" t="s">
        <v>38</v>
      </c>
      <c r="N72">
        <v>18</v>
      </c>
      <c r="O72" t="s">
        <v>69</v>
      </c>
      <c r="Q72" t="s">
        <v>19</v>
      </c>
      <c r="T72" t="s">
        <v>70</v>
      </c>
    </row>
    <row r="73" spans="1:20" x14ac:dyDescent="0.25">
      <c r="A73">
        <v>726618268</v>
      </c>
      <c r="B73" s="1">
        <v>46128.614850706021</v>
      </c>
      <c r="C73" s="1">
        <v>46128.617198576387</v>
      </c>
      <c r="D73" s="2">
        <v>46128</v>
      </c>
      <c r="E73">
        <v>732</v>
      </c>
      <c r="F73">
        <v>61</v>
      </c>
      <c r="G73" t="s">
        <v>30</v>
      </c>
      <c r="H73" t="s">
        <v>27</v>
      </c>
      <c r="I73" s="2">
        <v>45364</v>
      </c>
      <c r="J73">
        <v>10</v>
      </c>
      <c r="K73" t="s">
        <v>24</v>
      </c>
      <c r="M73" t="s">
        <v>25</v>
      </c>
      <c r="N73">
        <v>17</v>
      </c>
      <c r="O73" t="s">
        <v>34</v>
      </c>
      <c r="Q73" t="s">
        <v>40</v>
      </c>
      <c r="R73" t="s">
        <v>44</v>
      </c>
    </row>
    <row r="74" spans="1:20" x14ac:dyDescent="0.25">
      <c r="A74">
        <v>727067760</v>
      </c>
      <c r="B74" s="1">
        <v>46128.617198946762</v>
      </c>
      <c r="C74" s="1">
        <v>46128.916751840276</v>
      </c>
      <c r="D74" s="2">
        <v>46128</v>
      </c>
      <c r="E74">
        <v>20</v>
      </c>
      <c r="F74">
        <v>1.7</v>
      </c>
      <c r="G74" t="s">
        <v>22</v>
      </c>
      <c r="H74" t="s">
        <v>23</v>
      </c>
      <c r="I74" s="2">
        <v>44194</v>
      </c>
      <c r="J74">
        <v>5</v>
      </c>
      <c r="K74" t="s">
        <v>32</v>
      </c>
      <c r="L74" t="s">
        <v>140</v>
      </c>
      <c r="M74" t="s">
        <v>38</v>
      </c>
      <c r="N74">
        <v>90</v>
      </c>
      <c r="O74" t="s">
        <v>73</v>
      </c>
      <c r="Q74" t="s">
        <v>19</v>
      </c>
      <c r="T74" t="s">
        <v>64</v>
      </c>
    </row>
    <row r="75" spans="1:20" x14ac:dyDescent="0.25">
      <c r="A75">
        <v>727075917</v>
      </c>
      <c r="B75" s="1">
        <v>46128.916752314813</v>
      </c>
      <c r="C75" s="1">
        <v>46128.922604444444</v>
      </c>
      <c r="D75" s="2">
        <v>46128</v>
      </c>
      <c r="E75">
        <v>564</v>
      </c>
      <c r="F75">
        <v>47</v>
      </c>
      <c r="G75" t="s">
        <v>30</v>
      </c>
      <c r="H75" t="s">
        <v>23</v>
      </c>
      <c r="I75" s="2">
        <v>44040</v>
      </c>
      <c r="J75">
        <v>912</v>
      </c>
      <c r="K75" t="s">
        <v>24</v>
      </c>
      <c r="M75" t="s">
        <v>38</v>
      </c>
      <c r="N75">
        <v>20</v>
      </c>
      <c r="O75" t="s">
        <v>34</v>
      </c>
      <c r="Q75" t="s">
        <v>40</v>
      </c>
      <c r="R75" t="s">
        <v>136</v>
      </c>
    </row>
    <row r="76" spans="1:20" x14ac:dyDescent="0.25">
      <c r="A76">
        <v>727075927</v>
      </c>
      <c r="B76" s="1">
        <v>46128.922605046297</v>
      </c>
      <c r="C76" s="1">
        <v>46128.926178831018</v>
      </c>
      <c r="D76" s="2">
        <v>46128</v>
      </c>
      <c r="E76">
        <v>60</v>
      </c>
      <c r="F76">
        <v>5</v>
      </c>
      <c r="G76" t="s">
        <v>30</v>
      </c>
      <c r="H76" t="s">
        <v>79</v>
      </c>
      <c r="I76" s="2">
        <v>43748</v>
      </c>
      <c r="J76">
        <v>730</v>
      </c>
      <c r="K76" t="s">
        <v>24</v>
      </c>
      <c r="M76" t="s">
        <v>38</v>
      </c>
      <c r="N76">
        <v>6</v>
      </c>
      <c r="O76" t="s">
        <v>34</v>
      </c>
      <c r="Q76" t="s">
        <v>19</v>
      </c>
      <c r="T76" t="s">
        <v>35</v>
      </c>
    </row>
    <row r="77" spans="1:20" x14ac:dyDescent="0.25">
      <c r="A77">
        <v>727075931</v>
      </c>
      <c r="B77" s="1">
        <v>46128.926179189817</v>
      </c>
      <c r="C77" s="1">
        <v>46128.928734050925</v>
      </c>
      <c r="D77" s="2">
        <v>46128</v>
      </c>
      <c r="E77">
        <v>672</v>
      </c>
      <c r="F77">
        <v>56</v>
      </c>
      <c r="G77" t="s">
        <v>30</v>
      </c>
      <c r="H77" t="s">
        <v>77</v>
      </c>
      <c r="I77" s="2">
        <v>43871</v>
      </c>
      <c r="J77">
        <v>21</v>
      </c>
      <c r="K77" t="s">
        <v>24</v>
      </c>
      <c r="M77" t="s">
        <v>38</v>
      </c>
      <c r="N77">
        <v>40</v>
      </c>
      <c r="O77" t="s">
        <v>69</v>
      </c>
      <c r="Q77" t="s">
        <v>40</v>
      </c>
      <c r="R77" t="s">
        <v>91</v>
      </c>
    </row>
    <row r="78" spans="1:20" x14ac:dyDescent="0.25">
      <c r="A78">
        <v>727075934</v>
      </c>
      <c r="B78" s="1">
        <v>46128.928734398149</v>
      </c>
      <c r="C78" s="1">
        <v>46128.930693807873</v>
      </c>
      <c r="D78" s="2">
        <v>46128</v>
      </c>
      <c r="E78">
        <v>624</v>
      </c>
      <c r="F78">
        <v>52</v>
      </c>
      <c r="G78" t="s">
        <v>22</v>
      </c>
      <c r="H78" t="s">
        <v>133</v>
      </c>
      <c r="I78" s="2">
        <v>45265</v>
      </c>
      <c r="J78">
        <v>7</v>
      </c>
      <c r="K78" t="s">
        <v>24</v>
      </c>
      <c r="M78" t="s">
        <v>38</v>
      </c>
      <c r="N78">
        <v>30</v>
      </c>
      <c r="O78" t="s">
        <v>34</v>
      </c>
      <c r="Q78" t="s">
        <v>40</v>
      </c>
      <c r="R78" t="s">
        <v>44</v>
      </c>
    </row>
    <row r="79" spans="1:20" x14ac:dyDescent="0.25">
      <c r="A79">
        <v>727075938</v>
      </c>
      <c r="B79" s="1">
        <v>46128.930694189818</v>
      </c>
      <c r="C79" s="1">
        <v>46128.933192060184</v>
      </c>
      <c r="D79" s="2">
        <v>46128</v>
      </c>
      <c r="E79">
        <v>852</v>
      </c>
      <c r="F79">
        <v>71</v>
      </c>
      <c r="G79" t="s">
        <v>30</v>
      </c>
      <c r="H79" t="s">
        <v>141</v>
      </c>
      <c r="I79" s="2">
        <v>43745</v>
      </c>
      <c r="J79">
        <v>7</v>
      </c>
      <c r="K79" t="s">
        <v>24</v>
      </c>
      <c r="M79" t="s">
        <v>38</v>
      </c>
      <c r="N79">
        <v>7</v>
      </c>
      <c r="O79" t="s">
        <v>69</v>
      </c>
      <c r="Q79" t="s">
        <v>40</v>
      </c>
      <c r="R79" t="s">
        <v>44</v>
      </c>
    </row>
    <row r="80" spans="1:20" x14ac:dyDescent="0.25">
      <c r="A80">
        <v>727169159</v>
      </c>
      <c r="B80" s="1">
        <v>46128.933192500001</v>
      </c>
      <c r="C80" s="1">
        <v>46129.159121018522</v>
      </c>
      <c r="D80" s="2">
        <v>46128</v>
      </c>
      <c r="E80">
        <v>552</v>
      </c>
      <c r="F80">
        <v>46</v>
      </c>
      <c r="G80" t="s">
        <v>30</v>
      </c>
      <c r="H80" t="s">
        <v>134</v>
      </c>
      <c r="I80" s="2">
        <v>45233</v>
      </c>
      <c r="J80">
        <v>5</v>
      </c>
      <c r="K80" t="s">
        <v>24</v>
      </c>
      <c r="M80" t="s">
        <v>25</v>
      </c>
      <c r="N80">
        <v>14</v>
      </c>
      <c r="O80" t="s">
        <v>88</v>
      </c>
      <c r="Q80" t="s">
        <v>28</v>
      </c>
      <c r="S80" t="s">
        <v>101</v>
      </c>
    </row>
    <row r="81" spans="1:22" x14ac:dyDescent="0.25">
      <c r="A81">
        <v>727169164</v>
      </c>
      <c r="B81" s="1">
        <v>46129.159121446763</v>
      </c>
      <c r="C81" s="1">
        <v>46129.162394571758</v>
      </c>
      <c r="D81" s="2">
        <v>46129</v>
      </c>
      <c r="E81">
        <v>48</v>
      </c>
      <c r="F81">
        <v>4</v>
      </c>
      <c r="G81" t="s">
        <v>22</v>
      </c>
      <c r="H81" t="s">
        <v>86</v>
      </c>
      <c r="I81" s="2">
        <v>45237</v>
      </c>
      <c r="J81">
        <v>1458</v>
      </c>
      <c r="K81" t="s">
        <v>24</v>
      </c>
      <c r="M81" t="s">
        <v>38</v>
      </c>
      <c r="N81">
        <v>15</v>
      </c>
      <c r="O81" t="s">
        <v>34</v>
      </c>
      <c r="Q81" t="s">
        <v>40</v>
      </c>
      <c r="R81" t="s">
        <v>47</v>
      </c>
      <c r="V81" t="s">
        <v>142</v>
      </c>
    </row>
    <row r="82" spans="1:22" x14ac:dyDescent="0.25">
      <c r="A82">
        <v>727169171</v>
      </c>
      <c r="B82" s="1">
        <v>46129.162394884261</v>
      </c>
      <c r="C82" s="1">
        <v>46129.166005509258</v>
      </c>
      <c r="D82" s="2">
        <v>46129</v>
      </c>
      <c r="E82">
        <v>552</v>
      </c>
      <c r="F82">
        <v>46</v>
      </c>
      <c r="G82" t="s">
        <v>30</v>
      </c>
      <c r="H82" t="s">
        <v>143</v>
      </c>
      <c r="I82" s="2">
        <v>45412</v>
      </c>
      <c r="J82">
        <v>657</v>
      </c>
      <c r="K82" t="s">
        <v>24</v>
      </c>
      <c r="M82" t="s">
        <v>25</v>
      </c>
      <c r="N82">
        <v>4</v>
      </c>
      <c r="O82" t="s">
        <v>34</v>
      </c>
      <c r="Q82" t="s">
        <v>144</v>
      </c>
      <c r="U82" t="s">
        <v>47</v>
      </c>
      <c r="V82" t="s">
        <v>145</v>
      </c>
    </row>
    <row r="83" spans="1:22" x14ac:dyDescent="0.25">
      <c r="A83">
        <v>727169173</v>
      </c>
      <c r="B83" s="1">
        <v>46129.166005833336</v>
      </c>
      <c r="C83" s="1">
        <v>46129.167279340276</v>
      </c>
      <c r="D83" s="2">
        <v>46129</v>
      </c>
      <c r="E83">
        <v>11</v>
      </c>
      <c r="F83">
        <v>0.9</v>
      </c>
      <c r="G83" t="s">
        <v>30</v>
      </c>
      <c r="H83" t="s">
        <v>23</v>
      </c>
      <c r="I83" s="2">
        <v>45469</v>
      </c>
      <c r="J83">
        <v>4</v>
      </c>
      <c r="K83" t="s">
        <v>24</v>
      </c>
      <c r="M83" t="s">
        <v>25</v>
      </c>
      <c r="N83">
        <v>10</v>
      </c>
      <c r="O83" t="s">
        <v>34</v>
      </c>
      <c r="Q83" t="s">
        <v>28</v>
      </c>
      <c r="S83" t="s">
        <v>101</v>
      </c>
    </row>
    <row r="84" spans="1:22" x14ac:dyDescent="0.25">
      <c r="A84">
        <v>727169177</v>
      </c>
      <c r="B84" s="1">
        <v>46129.167279618057</v>
      </c>
      <c r="C84" s="1">
        <v>46129.169292766201</v>
      </c>
      <c r="D84" s="2">
        <v>46129</v>
      </c>
      <c r="E84">
        <v>552</v>
      </c>
      <c r="F84">
        <v>46</v>
      </c>
      <c r="G84" t="s">
        <v>22</v>
      </c>
      <c r="H84" t="s">
        <v>146</v>
      </c>
      <c r="I84" s="2">
        <v>45435</v>
      </c>
      <c r="J84">
        <v>30</v>
      </c>
      <c r="K84" t="s">
        <v>24</v>
      </c>
      <c r="M84" t="s">
        <v>25</v>
      </c>
      <c r="N84">
        <v>10</v>
      </c>
      <c r="O84" t="s">
        <v>88</v>
      </c>
      <c r="Q84" t="s">
        <v>28</v>
      </c>
      <c r="S84" t="s">
        <v>147</v>
      </c>
    </row>
    <row r="85" spans="1:22" x14ac:dyDescent="0.25">
      <c r="A85">
        <v>727254557</v>
      </c>
      <c r="B85" s="1">
        <v>46129.169293136576</v>
      </c>
      <c r="C85" s="1">
        <v>46129.280062048609</v>
      </c>
      <c r="D85" s="2">
        <v>46129</v>
      </c>
      <c r="E85">
        <v>564</v>
      </c>
      <c r="F85">
        <v>47</v>
      </c>
      <c r="G85" t="s">
        <v>22</v>
      </c>
      <c r="H85" t="s">
        <v>39</v>
      </c>
      <c r="I85" s="2">
        <v>45546</v>
      </c>
      <c r="J85">
        <v>7</v>
      </c>
      <c r="K85" t="s">
        <v>32</v>
      </c>
      <c r="L85" t="s">
        <v>148</v>
      </c>
      <c r="M85" t="s">
        <v>38</v>
      </c>
      <c r="N85">
        <v>22</v>
      </c>
      <c r="O85" t="s">
        <v>69</v>
      </c>
      <c r="Q85" t="s">
        <v>19</v>
      </c>
      <c r="T85" t="s">
        <v>35</v>
      </c>
    </row>
    <row r="86" spans="1:22" x14ac:dyDescent="0.25">
      <c r="A86">
        <v>727363670</v>
      </c>
      <c r="B86" s="1">
        <v>46129.280062442129</v>
      </c>
      <c r="C86" s="1">
        <v>46129.368551273146</v>
      </c>
      <c r="D86" s="2">
        <v>46129</v>
      </c>
      <c r="E86">
        <v>624</v>
      </c>
      <c r="F86">
        <v>52</v>
      </c>
      <c r="G86" t="s">
        <v>30</v>
      </c>
      <c r="H86" t="s">
        <v>77</v>
      </c>
      <c r="I86" s="2">
        <v>45489</v>
      </c>
      <c r="J86">
        <v>730</v>
      </c>
      <c r="K86" t="s">
        <v>24</v>
      </c>
      <c r="M86" t="s">
        <v>25</v>
      </c>
      <c r="N86">
        <v>15</v>
      </c>
      <c r="O86" t="s">
        <v>88</v>
      </c>
      <c r="Q86" t="s">
        <v>144</v>
      </c>
      <c r="U86" t="s">
        <v>47</v>
      </c>
      <c r="V86" t="s">
        <v>145</v>
      </c>
    </row>
    <row r="87" spans="1:22" x14ac:dyDescent="0.25">
      <c r="A87">
        <v>727368762</v>
      </c>
      <c r="B87" s="1">
        <v>46129.368551782405</v>
      </c>
      <c r="C87" s="1">
        <v>46129.372988148149</v>
      </c>
      <c r="D87" s="2">
        <v>46129</v>
      </c>
      <c r="E87">
        <v>972</v>
      </c>
      <c r="F87">
        <v>81</v>
      </c>
      <c r="G87" t="s">
        <v>22</v>
      </c>
      <c r="H87" t="s">
        <v>149</v>
      </c>
      <c r="I87" s="2">
        <v>45523</v>
      </c>
      <c r="J87">
        <v>14</v>
      </c>
      <c r="K87" t="s">
        <v>32</v>
      </c>
      <c r="L87" t="s">
        <v>134</v>
      </c>
      <c r="M87" t="s">
        <v>58</v>
      </c>
      <c r="N87">
        <v>3</v>
      </c>
      <c r="O87" t="s">
        <v>34</v>
      </c>
      <c r="Q87" t="s">
        <v>19</v>
      </c>
      <c r="T87" t="s">
        <v>35</v>
      </c>
    </row>
    <row r="88" spans="1:22" x14ac:dyDescent="0.25">
      <c r="A88">
        <v>727375146</v>
      </c>
      <c r="B88" s="1">
        <v>46129.372988506948</v>
      </c>
      <c r="C88" s="1">
        <v>46129.377149386572</v>
      </c>
      <c r="D88" s="2">
        <v>46129</v>
      </c>
      <c r="E88">
        <v>792</v>
      </c>
      <c r="F88">
        <v>66</v>
      </c>
      <c r="G88" t="s">
        <v>30</v>
      </c>
      <c r="H88" t="s">
        <v>77</v>
      </c>
      <c r="I88" s="2">
        <v>45534</v>
      </c>
      <c r="J88">
        <v>365</v>
      </c>
      <c r="K88" t="s">
        <v>24</v>
      </c>
      <c r="M88" t="s">
        <v>25</v>
      </c>
      <c r="N88">
        <v>15</v>
      </c>
      <c r="O88" t="s">
        <v>34</v>
      </c>
      <c r="Q88" t="s">
        <v>40</v>
      </c>
      <c r="R88" t="s">
        <v>91</v>
      </c>
    </row>
    <row r="89" spans="1:22" x14ac:dyDescent="0.25">
      <c r="A89">
        <v>727381382</v>
      </c>
      <c r="B89" s="1">
        <v>46129.37714971065</v>
      </c>
      <c r="C89" s="1">
        <v>46129.381235833331</v>
      </c>
      <c r="D89" s="2">
        <v>46129</v>
      </c>
      <c r="E89">
        <v>840</v>
      </c>
      <c r="F89">
        <v>70</v>
      </c>
      <c r="G89" t="s">
        <v>30</v>
      </c>
      <c r="H89" t="s">
        <v>77</v>
      </c>
      <c r="I89" s="2">
        <v>46038</v>
      </c>
      <c r="J89">
        <v>6</v>
      </c>
      <c r="K89" t="s">
        <v>32</v>
      </c>
      <c r="L89" t="s">
        <v>92</v>
      </c>
      <c r="M89" t="s">
        <v>25</v>
      </c>
      <c r="N89">
        <v>47</v>
      </c>
      <c r="O89" t="s">
        <v>88</v>
      </c>
      <c r="Q89" t="s">
        <v>19</v>
      </c>
      <c r="T89" t="s">
        <v>64</v>
      </c>
    </row>
    <row r="90" spans="1:22" x14ac:dyDescent="0.25">
      <c r="A90">
        <v>727387342</v>
      </c>
      <c r="B90" s="1">
        <v>46129.381236180554</v>
      </c>
      <c r="C90" s="1">
        <v>46129.385445312502</v>
      </c>
      <c r="D90" s="2">
        <v>46129</v>
      </c>
      <c r="E90">
        <v>18</v>
      </c>
      <c r="F90">
        <v>1.5</v>
      </c>
      <c r="G90" t="s">
        <v>22</v>
      </c>
      <c r="H90" t="s">
        <v>27</v>
      </c>
      <c r="I90" s="2">
        <v>45406</v>
      </c>
      <c r="J90">
        <v>2</v>
      </c>
      <c r="K90" t="s">
        <v>24</v>
      </c>
      <c r="M90" t="s">
        <v>25</v>
      </c>
      <c r="N90">
        <v>1</v>
      </c>
      <c r="O90" t="s">
        <v>34</v>
      </c>
      <c r="Q90" t="s">
        <v>28</v>
      </c>
      <c r="S90" t="s">
        <v>101</v>
      </c>
    </row>
    <row r="91" spans="1:22" x14ac:dyDescent="0.25">
      <c r="A91">
        <v>727394807</v>
      </c>
      <c r="B91" s="1">
        <v>46129.385445671294</v>
      </c>
      <c r="C91" s="1">
        <v>46129.390417002316</v>
      </c>
      <c r="D91" s="2">
        <v>46129</v>
      </c>
      <c r="E91">
        <v>552</v>
      </c>
      <c r="F91">
        <v>46</v>
      </c>
      <c r="G91" t="s">
        <v>22</v>
      </c>
      <c r="H91" t="s">
        <v>150</v>
      </c>
      <c r="I91" s="2">
        <v>46043</v>
      </c>
      <c r="J91">
        <v>4</v>
      </c>
      <c r="K91" t="s">
        <v>32</v>
      </c>
      <c r="L91" t="s">
        <v>151</v>
      </c>
      <c r="M91" t="s">
        <v>38</v>
      </c>
      <c r="N91">
        <v>5</v>
      </c>
      <c r="O91" t="s">
        <v>88</v>
      </c>
      <c r="Q91" t="s">
        <v>19</v>
      </c>
      <c r="T91" t="s">
        <v>74</v>
      </c>
    </row>
    <row r="92" spans="1:22" x14ac:dyDescent="0.25">
      <c r="A92">
        <v>727401585</v>
      </c>
      <c r="B92" s="1">
        <v>46129.390417361108</v>
      </c>
      <c r="C92" s="1">
        <v>46129.395338159724</v>
      </c>
      <c r="D92" s="2">
        <v>46129</v>
      </c>
      <c r="E92">
        <v>1164</v>
      </c>
      <c r="F92">
        <v>97</v>
      </c>
      <c r="G92" t="s">
        <v>30</v>
      </c>
      <c r="H92" t="s">
        <v>23</v>
      </c>
      <c r="I92" s="2">
        <v>46106</v>
      </c>
      <c r="J92">
        <v>60</v>
      </c>
      <c r="K92" t="s">
        <v>24</v>
      </c>
      <c r="M92" t="s">
        <v>25</v>
      </c>
      <c r="N92">
        <v>15</v>
      </c>
      <c r="O92" t="s">
        <v>88</v>
      </c>
      <c r="Q92" t="s">
        <v>40</v>
      </c>
      <c r="R92" t="s">
        <v>44</v>
      </c>
    </row>
    <row r="93" spans="1:22" x14ac:dyDescent="0.25">
      <c r="A93">
        <v>727409977</v>
      </c>
      <c r="B93" s="1">
        <v>46129.395338530092</v>
      </c>
      <c r="C93" s="1">
        <v>46129.401674930552</v>
      </c>
      <c r="D93" s="2">
        <v>46129</v>
      </c>
      <c r="E93">
        <v>912</v>
      </c>
      <c r="F93">
        <v>76</v>
      </c>
      <c r="G93" t="s">
        <v>30</v>
      </c>
      <c r="H93" t="s">
        <v>77</v>
      </c>
      <c r="I93" s="2">
        <v>46111</v>
      </c>
      <c r="J93">
        <v>60</v>
      </c>
      <c r="K93" t="s">
        <v>24</v>
      </c>
      <c r="M93" t="s">
        <v>25</v>
      </c>
      <c r="N93">
        <v>14</v>
      </c>
      <c r="O93" t="s">
        <v>88</v>
      </c>
      <c r="Q93" t="s">
        <v>40</v>
      </c>
      <c r="R93" t="s">
        <v>47</v>
      </c>
      <c r="V93" t="s">
        <v>132</v>
      </c>
    </row>
    <row r="94" spans="1:22" x14ac:dyDescent="0.25">
      <c r="A94">
        <v>727417895</v>
      </c>
      <c r="B94" s="1">
        <v>46129.401675312503</v>
      </c>
      <c r="C94" s="1">
        <v>46129.407057835648</v>
      </c>
      <c r="D94" s="2">
        <v>46129</v>
      </c>
      <c r="E94">
        <v>792</v>
      </c>
      <c r="F94">
        <v>66</v>
      </c>
      <c r="G94" t="s">
        <v>30</v>
      </c>
      <c r="H94" t="s">
        <v>23</v>
      </c>
      <c r="I94" s="2">
        <v>45362</v>
      </c>
      <c r="J94">
        <v>210</v>
      </c>
      <c r="K94" t="s">
        <v>24</v>
      </c>
      <c r="M94" t="s">
        <v>25</v>
      </c>
      <c r="N94">
        <v>6</v>
      </c>
      <c r="O94" t="s">
        <v>34</v>
      </c>
      <c r="Q94" t="s">
        <v>40</v>
      </c>
      <c r="R94" t="s">
        <v>44</v>
      </c>
    </row>
    <row r="95" spans="1:22" x14ac:dyDescent="0.25">
      <c r="A95">
        <v>727422558</v>
      </c>
      <c r="B95" s="1">
        <v>46129.407058229168</v>
      </c>
      <c r="C95" s="1">
        <v>46129.410446481481</v>
      </c>
      <c r="D95" s="2">
        <v>46129</v>
      </c>
      <c r="E95">
        <v>948</v>
      </c>
      <c r="F95">
        <v>79</v>
      </c>
      <c r="G95" t="s">
        <v>22</v>
      </c>
      <c r="H95" t="s">
        <v>152</v>
      </c>
      <c r="I95" s="2">
        <v>46049</v>
      </c>
      <c r="J95">
        <v>35</v>
      </c>
      <c r="K95" t="s">
        <v>24</v>
      </c>
      <c r="M95" t="s">
        <v>25</v>
      </c>
      <c r="N95">
        <v>10</v>
      </c>
      <c r="O95" t="s">
        <v>34</v>
      </c>
      <c r="Q95" t="s">
        <v>40</v>
      </c>
      <c r="R95" t="s">
        <v>136</v>
      </c>
    </row>
    <row r="96" spans="1:22" x14ac:dyDescent="0.25">
      <c r="A96">
        <v>727427192</v>
      </c>
      <c r="B96" s="1">
        <v>46129.410446793983</v>
      </c>
      <c r="C96" s="1">
        <v>46129.414217708334</v>
      </c>
      <c r="D96" s="2">
        <v>46129</v>
      </c>
      <c r="E96">
        <v>648</v>
      </c>
      <c r="F96">
        <v>54</v>
      </c>
      <c r="G96" t="s">
        <v>30</v>
      </c>
      <c r="H96" t="s">
        <v>77</v>
      </c>
      <c r="I96" s="2">
        <v>45406</v>
      </c>
      <c r="J96">
        <v>90</v>
      </c>
      <c r="K96" t="s">
        <v>24</v>
      </c>
      <c r="M96" t="s">
        <v>25</v>
      </c>
      <c r="N96">
        <v>12</v>
      </c>
      <c r="O96" t="s">
        <v>34</v>
      </c>
      <c r="Q96" t="s">
        <v>144</v>
      </c>
      <c r="U96" t="s">
        <v>47</v>
      </c>
      <c r="V96" t="s">
        <v>145</v>
      </c>
    </row>
    <row r="97" spans="1:22" x14ac:dyDescent="0.25">
      <c r="A97">
        <v>727560327</v>
      </c>
      <c r="B97" s="1">
        <v>46129.41421800926</v>
      </c>
      <c r="C97" s="1">
        <v>46129.523002986112</v>
      </c>
      <c r="D97" s="2">
        <v>46129</v>
      </c>
      <c r="E97">
        <v>528</v>
      </c>
      <c r="F97">
        <v>44</v>
      </c>
      <c r="G97" t="s">
        <v>22</v>
      </c>
      <c r="H97" t="s">
        <v>153</v>
      </c>
      <c r="I97" s="2">
        <v>44179</v>
      </c>
      <c r="J97">
        <v>14</v>
      </c>
      <c r="K97" t="s">
        <v>32</v>
      </c>
      <c r="L97" t="s">
        <v>128</v>
      </c>
      <c r="M97" t="s">
        <v>38</v>
      </c>
      <c r="N97">
        <v>26</v>
      </c>
      <c r="O97" t="s">
        <v>69</v>
      </c>
      <c r="Q97" t="s">
        <v>19</v>
      </c>
      <c r="T97" t="s">
        <v>74</v>
      </c>
    </row>
    <row r="98" spans="1:22" x14ac:dyDescent="0.25">
      <c r="A98">
        <v>727564575</v>
      </c>
      <c r="B98" s="1">
        <v>46129.523003506947</v>
      </c>
      <c r="C98" s="1">
        <v>46129.52622684028</v>
      </c>
      <c r="D98" s="2">
        <v>46129</v>
      </c>
      <c r="E98">
        <v>72</v>
      </c>
      <c r="F98">
        <v>6</v>
      </c>
      <c r="G98" t="s">
        <v>22</v>
      </c>
      <c r="H98" t="s">
        <v>86</v>
      </c>
      <c r="I98" s="2">
        <v>43955</v>
      </c>
      <c r="J98">
        <v>3</v>
      </c>
      <c r="K98" t="s">
        <v>32</v>
      </c>
      <c r="L98" t="s">
        <v>105</v>
      </c>
      <c r="M98" t="s">
        <v>38</v>
      </c>
      <c r="N98">
        <v>9</v>
      </c>
      <c r="O98" t="s">
        <v>88</v>
      </c>
      <c r="Q98" t="s">
        <v>19</v>
      </c>
      <c r="T98" t="s">
        <v>74</v>
      </c>
    </row>
    <row r="99" spans="1:22" x14ac:dyDescent="0.25">
      <c r="A99">
        <v>727575819</v>
      </c>
      <c r="B99" s="1">
        <v>46129.526227326387</v>
      </c>
      <c r="C99" s="1">
        <v>46129.534637604163</v>
      </c>
      <c r="D99" s="2">
        <v>46129</v>
      </c>
      <c r="E99">
        <v>72</v>
      </c>
      <c r="F99">
        <v>6</v>
      </c>
      <c r="G99" t="s">
        <v>30</v>
      </c>
      <c r="H99" t="s">
        <v>79</v>
      </c>
      <c r="I99" s="2">
        <v>43676</v>
      </c>
      <c r="J99">
        <v>12</v>
      </c>
      <c r="K99" t="s">
        <v>24</v>
      </c>
      <c r="M99" t="s">
        <v>25</v>
      </c>
      <c r="N99">
        <v>7</v>
      </c>
      <c r="O99" t="s">
        <v>34</v>
      </c>
      <c r="Q99" t="s">
        <v>28</v>
      </c>
      <c r="S99" t="s">
        <v>29</v>
      </c>
    </row>
    <row r="100" spans="1:22" x14ac:dyDescent="0.25">
      <c r="A100">
        <v>727580014</v>
      </c>
      <c r="B100" s="1">
        <v>46129.534638252313</v>
      </c>
      <c r="C100" s="1">
        <v>46129.537729340278</v>
      </c>
      <c r="D100" s="2">
        <v>46129</v>
      </c>
      <c r="E100">
        <v>36</v>
      </c>
      <c r="F100">
        <v>3</v>
      </c>
      <c r="G100" t="s">
        <v>22</v>
      </c>
      <c r="H100" t="s">
        <v>23</v>
      </c>
      <c r="I100" s="2">
        <v>43544</v>
      </c>
      <c r="J100">
        <v>180</v>
      </c>
      <c r="K100" t="s">
        <v>24</v>
      </c>
      <c r="M100" t="s">
        <v>25</v>
      </c>
      <c r="N100">
        <v>6</v>
      </c>
      <c r="O100" t="s">
        <v>34</v>
      </c>
      <c r="Q100" t="s">
        <v>28</v>
      </c>
      <c r="S100" t="s">
        <v>101</v>
      </c>
    </row>
    <row r="101" spans="1:22" x14ac:dyDescent="0.25">
      <c r="A101">
        <v>727583780</v>
      </c>
      <c r="B101" s="1">
        <v>46129.537729768519</v>
      </c>
      <c r="C101" s="1">
        <v>46129.540583657406</v>
      </c>
      <c r="D101" s="2">
        <v>46129</v>
      </c>
      <c r="E101">
        <v>36</v>
      </c>
      <c r="F101">
        <v>3</v>
      </c>
      <c r="G101" t="s">
        <v>30</v>
      </c>
      <c r="H101" t="s">
        <v>79</v>
      </c>
      <c r="I101" s="2">
        <v>43598</v>
      </c>
      <c r="J101">
        <v>5</v>
      </c>
      <c r="K101" t="s">
        <v>24</v>
      </c>
      <c r="M101" t="s">
        <v>25</v>
      </c>
      <c r="N101">
        <v>1</v>
      </c>
      <c r="O101" t="s">
        <v>88</v>
      </c>
      <c r="Q101" t="s">
        <v>28</v>
      </c>
      <c r="S101" t="s">
        <v>101</v>
      </c>
    </row>
    <row r="102" spans="1:22" x14ac:dyDescent="0.25">
      <c r="A102">
        <v>727587593</v>
      </c>
      <c r="B102" s="1">
        <v>46129.526660381947</v>
      </c>
      <c r="C102" s="1">
        <v>46129.543653171299</v>
      </c>
      <c r="D102" s="2">
        <v>46129</v>
      </c>
      <c r="E102">
        <v>312</v>
      </c>
      <c r="F102">
        <v>26</v>
      </c>
      <c r="G102" t="s">
        <v>22</v>
      </c>
      <c r="H102" t="s">
        <v>39</v>
      </c>
      <c r="I102" s="2">
        <v>43971</v>
      </c>
      <c r="J102">
        <v>10</v>
      </c>
      <c r="K102" t="s">
        <v>32</v>
      </c>
      <c r="L102" t="s">
        <v>154</v>
      </c>
      <c r="M102" t="s">
        <v>38</v>
      </c>
      <c r="N102">
        <v>1</v>
      </c>
      <c r="O102" t="s">
        <v>51</v>
      </c>
      <c r="Q102" t="s">
        <v>19</v>
      </c>
      <c r="T102" t="s">
        <v>35</v>
      </c>
    </row>
    <row r="103" spans="1:22" x14ac:dyDescent="0.25">
      <c r="A103">
        <v>727587971</v>
      </c>
      <c r="B103" s="1">
        <v>46129.540583969909</v>
      </c>
      <c r="C103" s="1">
        <v>46129.544028680553</v>
      </c>
      <c r="D103" s="2">
        <v>46129</v>
      </c>
      <c r="E103">
        <v>948</v>
      </c>
      <c r="F103">
        <v>79</v>
      </c>
      <c r="G103" t="s">
        <v>30</v>
      </c>
      <c r="H103" t="s">
        <v>23</v>
      </c>
      <c r="I103" s="2">
        <v>44104</v>
      </c>
      <c r="J103">
        <v>28</v>
      </c>
      <c r="K103" t="s">
        <v>24</v>
      </c>
      <c r="M103" t="s">
        <v>25</v>
      </c>
      <c r="N103">
        <v>2</v>
      </c>
      <c r="O103" t="s">
        <v>88</v>
      </c>
      <c r="Q103" t="s">
        <v>40</v>
      </c>
      <c r="R103" t="s">
        <v>136</v>
      </c>
    </row>
    <row r="104" spans="1:22" x14ac:dyDescent="0.25">
      <c r="A104">
        <v>727591779</v>
      </c>
      <c r="B104" s="1">
        <v>46129.544029062497</v>
      </c>
      <c r="C104" s="1">
        <v>46129.547018831021</v>
      </c>
      <c r="D104" s="2">
        <v>46129</v>
      </c>
      <c r="E104">
        <v>396</v>
      </c>
      <c r="F104">
        <v>33</v>
      </c>
      <c r="G104" t="s">
        <v>22</v>
      </c>
      <c r="H104" t="s">
        <v>155</v>
      </c>
      <c r="I104" s="2">
        <v>43587</v>
      </c>
      <c r="J104">
        <v>14</v>
      </c>
      <c r="K104" t="s">
        <v>32</v>
      </c>
      <c r="L104" t="s">
        <v>134</v>
      </c>
      <c r="M104" t="s">
        <v>38</v>
      </c>
      <c r="N104">
        <v>10</v>
      </c>
      <c r="O104" t="s">
        <v>69</v>
      </c>
      <c r="Q104" t="s">
        <v>19</v>
      </c>
      <c r="T104" t="s">
        <v>74</v>
      </c>
    </row>
    <row r="105" spans="1:22" x14ac:dyDescent="0.25">
      <c r="A105">
        <v>727647105</v>
      </c>
      <c r="B105" s="1">
        <v>46129.547019282407</v>
      </c>
      <c r="C105" s="1">
        <v>46129.583760046298</v>
      </c>
      <c r="D105" s="2">
        <v>46129</v>
      </c>
      <c r="E105">
        <v>720</v>
      </c>
      <c r="F105">
        <v>60</v>
      </c>
      <c r="G105" t="s">
        <v>22</v>
      </c>
      <c r="H105" t="s">
        <v>153</v>
      </c>
      <c r="I105" s="2">
        <v>46027</v>
      </c>
      <c r="J105">
        <v>6</v>
      </c>
      <c r="K105" t="s">
        <v>24</v>
      </c>
      <c r="M105" t="s">
        <v>25</v>
      </c>
      <c r="N105">
        <v>2</v>
      </c>
      <c r="O105" t="s">
        <v>88</v>
      </c>
      <c r="Q105" t="s">
        <v>28</v>
      </c>
      <c r="S105" t="s">
        <v>147</v>
      </c>
    </row>
    <row r="106" spans="1:22" x14ac:dyDescent="0.25">
      <c r="A106">
        <v>727652676</v>
      </c>
      <c r="B106" s="1">
        <v>46129.58376050926</v>
      </c>
      <c r="C106" s="1">
        <v>46129.586736817131</v>
      </c>
      <c r="D106" s="2">
        <v>46129</v>
      </c>
      <c r="E106">
        <v>324</v>
      </c>
      <c r="F106">
        <v>27</v>
      </c>
      <c r="G106" t="s">
        <v>30</v>
      </c>
      <c r="H106" t="s">
        <v>23</v>
      </c>
      <c r="I106" s="2">
        <v>46017</v>
      </c>
      <c r="J106">
        <v>6</v>
      </c>
      <c r="K106" t="s">
        <v>24</v>
      </c>
      <c r="M106" t="s">
        <v>38</v>
      </c>
      <c r="N106">
        <v>16</v>
      </c>
      <c r="O106" t="s">
        <v>88</v>
      </c>
      <c r="Q106" t="s">
        <v>19</v>
      </c>
      <c r="T106" t="s">
        <v>47</v>
      </c>
      <c r="V106" t="s">
        <v>127</v>
      </c>
    </row>
    <row r="107" spans="1:22" x14ac:dyDescent="0.25">
      <c r="A107">
        <v>727653455</v>
      </c>
      <c r="B107" s="1">
        <v>46125.57944927083</v>
      </c>
      <c r="C107" s="1">
        <v>46129.58718278935</v>
      </c>
      <c r="D107" s="2">
        <v>46125</v>
      </c>
      <c r="E107">
        <v>492</v>
      </c>
      <c r="F107">
        <v>41</v>
      </c>
      <c r="G107" t="s">
        <v>30</v>
      </c>
      <c r="H107" t="s">
        <v>156</v>
      </c>
      <c r="I107" s="2">
        <v>45468</v>
      </c>
      <c r="J107">
        <v>385</v>
      </c>
      <c r="K107" t="s">
        <v>32</v>
      </c>
      <c r="L107" t="s">
        <v>157</v>
      </c>
      <c r="M107" t="s">
        <v>25</v>
      </c>
      <c r="N107">
        <v>60</v>
      </c>
      <c r="O107" t="s">
        <v>69</v>
      </c>
      <c r="Q107" t="s">
        <v>19</v>
      </c>
      <c r="T107" t="s">
        <v>35</v>
      </c>
    </row>
    <row r="108" spans="1:22" x14ac:dyDescent="0.25">
      <c r="A108">
        <v>727658203</v>
      </c>
      <c r="B108" s="1">
        <v>46129.587184328702</v>
      </c>
      <c r="C108" s="1">
        <v>46129.589605775465</v>
      </c>
      <c r="D108" s="2">
        <v>46129</v>
      </c>
      <c r="E108">
        <v>396</v>
      </c>
      <c r="F108">
        <v>33</v>
      </c>
      <c r="G108" t="s">
        <v>30</v>
      </c>
      <c r="H108" t="s">
        <v>42</v>
      </c>
      <c r="I108" s="2">
        <v>45166</v>
      </c>
      <c r="J108">
        <v>577</v>
      </c>
      <c r="K108" t="s">
        <v>24</v>
      </c>
      <c r="M108" t="s">
        <v>38</v>
      </c>
      <c r="N108">
        <v>48</v>
      </c>
      <c r="O108" t="s">
        <v>88</v>
      </c>
      <c r="Q108" t="s">
        <v>40</v>
      </c>
      <c r="R108" t="s">
        <v>136</v>
      </c>
    </row>
    <row r="109" spans="1:22" x14ac:dyDescent="0.25">
      <c r="A109">
        <v>727661443</v>
      </c>
      <c r="B109" s="1">
        <v>46129.589607094909</v>
      </c>
      <c r="C109" s="1">
        <v>46129.591293530095</v>
      </c>
      <c r="D109" s="2">
        <v>46129</v>
      </c>
      <c r="E109">
        <v>840</v>
      </c>
      <c r="F109">
        <v>70</v>
      </c>
      <c r="G109" t="s">
        <v>30</v>
      </c>
      <c r="H109" t="s">
        <v>90</v>
      </c>
      <c r="I109" s="2">
        <v>45289</v>
      </c>
      <c r="J109">
        <v>62</v>
      </c>
      <c r="K109" t="s">
        <v>24</v>
      </c>
      <c r="M109" t="s">
        <v>25</v>
      </c>
      <c r="N109">
        <v>95</v>
      </c>
      <c r="O109" t="s">
        <v>69</v>
      </c>
      <c r="Q109" t="s">
        <v>40</v>
      </c>
      <c r="R109" t="s">
        <v>44</v>
      </c>
    </row>
    <row r="110" spans="1:22" x14ac:dyDescent="0.25">
      <c r="A110">
        <v>727664616</v>
      </c>
      <c r="B110" s="1">
        <v>46129.591294965277</v>
      </c>
      <c r="C110" s="1">
        <v>46129.592773657409</v>
      </c>
      <c r="D110" s="2">
        <v>46129</v>
      </c>
      <c r="E110">
        <v>324</v>
      </c>
      <c r="F110">
        <v>27</v>
      </c>
      <c r="G110" t="s">
        <v>30</v>
      </c>
      <c r="H110" t="s">
        <v>158</v>
      </c>
      <c r="I110" s="2">
        <v>44376</v>
      </c>
      <c r="J110">
        <v>10</v>
      </c>
      <c r="K110" t="s">
        <v>32</v>
      </c>
      <c r="L110" t="s">
        <v>159</v>
      </c>
      <c r="M110" t="s">
        <v>25</v>
      </c>
      <c r="N110">
        <v>90</v>
      </c>
      <c r="O110" t="s">
        <v>69</v>
      </c>
      <c r="Q110" t="s">
        <v>19</v>
      </c>
      <c r="T110" t="s">
        <v>74</v>
      </c>
    </row>
    <row r="111" spans="1:22" x14ac:dyDescent="0.25">
      <c r="A111">
        <v>727667835</v>
      </c>
      <c r="B111" s="1">
        <v>46129.592774872683</v>
      </c>
      <c r="C111" s="1">
        <v>46129.594375983797</v>
      </c>
      <c r="D111" s="2">
        <v>46129</v>
      </c>
      <c r="E111">
        <v>564</v>
      </c>
      <c r="F111">
        <v>47</v>
      </c>
      <c r="G111" t="s">
        <v>30</v>
      </c>
      <c r="H111" t="s">
        <v>141</v>
      </c>
      <c r="I111" s="2">
        <v>44516</v>
      </c>
      <c r="J111">
        <v>4</v>
      </c>
      <c r="K111" t="s">
        <v>32</v>
      </c>
      <c r="L111" t="s">
        <v>160</v>
      </c>
      <c r="M111" t="s">
        <v>25</v>
      </c>
      <c r="N111">
        <v>5</v>
      </c>
      <c r="O111" t="s">
        <v>26</v>
      </c>
      <c r="P111" t="s">
        <v>27</v>
      </c>
      <c r="Q111" t="s">
        <v>19</v>
      </c>
      <c r="T111" t="s">
        <v>35</v>
      </c>
    </row>
    <row r="112" spans="1:22" x14ac:dyDescent="0.25">
      <c r="A112">
        <v>727670481</v>
      </c>
      <c r="B112" s="1">
        <v>46129.586737129626</v>
      </c>
      <c r="C112" s="1">
        <v>46129.596082094904</v>
      </c>
      <c r="D112" s="2">
        <v>46129</v>
      </c>
      <c r="E112">
        <v>1080</v>
      </c>
      <c r="F112">
        <v>90</v>
      </c>
      <c r="G112" t="s">
        <v>30</v>
      </c>
      <c r="H112" t="s">
        <v>23</v>
      </c>
      <c r="I112" s="2">
        <v>46122</v>
      </c>
      <c r="J112">
        <v>270</v>
      </c>
      <c r="K112" t="s">
        <v>24</v>
      </c>
      <c r="M112" t="s">
        <v>25</v>
      </c>
      <c r="N112">
        <v>3</v>
      </c>
      <c r="O112" t="s">
        <v>34</v>
      </c>
      <c r="Q112" t="s">
        <v>40</v>
      </c>
      <c r="R112" t="s">
        <v>44</v>
      </c>
    </row>
    <row r="113" spans="1:22" x14ac:dyDescent="0.25">
      <c r="A113">
        <v>727740627</v>
      </c>
      <c r="B113" s="1">
        <v>46129.5960825</v>
      </c>
      <c r="C113" s="1">
        <v>46129.634948333332</v>
      </c>
      <c r="D113" s="2">
        <v>46129</v>
      </c>
      <c r="E113">
        <v>120</v>
      </c>
      <c r="F113">
        <v>10</v>
      </c>
      <c r="G113" t="s">
        <v>22</v>
      </c>
      <c r="H113" t="s">
        <v>86</v>
      </c>
      <c r="I113" s="2">
        <v>43607</v>
      </c>
      <c r="J113">
        <v>14</v>
      </c>
      <c r="K113" t="s">
        <v>24</v>
      </c>
      <c r="M113" t="s">
        <v>25</v>
      </c>
      <c r="N113">
        <v>3</v>
      </c>
      <c r="O113" t="s">
        <v>34</v>
      </c>
      <c r="Q113" t="s">
        <v>28</v>
      </c>
      <c r="S113" t="s">
        <v>101</v>
      </c>
    </row>
    <row r="114" spans="1:22" x14ac:dyDescent="0.25">
      <c r="A114">
        <v>727744299</v>
      </c>
      <c r="B114" s="1">
        <v>46129.634948761573</v>
      </c>
      <c r="C114" s="1">
        <v>46129.637086539355</v>
      </c>
      <c r="D114" s="2">
        <v>46129</v>
      </c>
      <c r="E114">
        <v>336</v>
      </c>
      <c r="F114">
        <v>28</v>
      </c>
      <c r="G114" t="s">
        <v>30</v>
      </c>
      <c r="H114" t="s">
        <v>97</v>
      </c>
      <c r="I114" s="2">
        <v>43591</v>
      </c>
      <c r="J114">
        <v>5</v>
      </c>
      <c r="K114" t="s">
        <v>32</v>
      </c>
      <c r="L114" t="s">
        <v>161</v>
      </c>
      <c r="M114" t="s">
        <v>25</v>
      </c>
      <c r="N114">
        <v>6</v>
      </c>
      <c r="O114" t="s">
        <v>34</v>
      </c>
      <c r="Q114" t="s">
        <v>19</v>
      </c>
      <c r="T114" t="s">
        <v>47</v>
      </c>
      <c r="V114" t="s">
        <v>162</v>
      </c>
    </row>
    <row r="115" spans="1:22" x14ac:dyDescent="0.25">
      <c r="A115">
        <v>727747282</v>
      </c>
      <c r="B115" s="1">
        <v>46129.637086898147</v>
      </c>
      <c r="C115" s="1">
        <v>46129.638775636573</v>
      </c>
      <c r="D115" s="2">
        <v>46129</v>
      </c>
      <c r="E115">
        <v>77</v>
      </c>
      <c r="F115">
        <v>6.4</v>
      </c>
      <c r="G115" t="s">
        <v>22</v>
      </c>
      <c r="H115" t="s">
        <v>86</v>
      </c>
      <c r="I115" s="2">
        <v>43536</v>
      </c>
      <c r="J115">
        <v>14</v>
      </c>
      <c r="K115" t="s">
        <v>32</v>
      </c>
      <c r="L115" t="s">
        <v>105</v>
      </c>
      <c r="M115" t="s">
        <v>38</v>
      </c>
      <c r="N115">
        <v>9</v>
      </c>
      <c r="O115" t="s">
        <v>110</v>
      </c>
      <c r="Q115" t="s">
        <v>19</v>
      </c>
      <c r="T115" t="s">
        <v>74</v>
      </c>
    </row>
    <row r="116" spans="1:22" x14ac:dyDescent="0.25">
      <c r="A116">
        <v>727750230</v>
      </c>
      <c r="B116" s="1">
        <v>46129.594377372683</v>
      </c>
      <c r="C116" s="1">
        <v>46129.640256168983</v>
      </c>
      <c r="D116" s="2">
        <v>46129</v>
      </c>
      <c r="E116">
        <v>192</v>
      </c>
      <c r="F116">
        <v>16</v>
      </c>
      <c r="G116" t="s">
        <v>30</v>
      </c>
      <c r="H116" t="s">
        <v>81</v>
      </c>
      <c r="I116" s="2">
        <v>44382</v>
      </c>
      <c r="J116">
        <v>10</v>
      </c>
      <c r="K116" t="s">
        <v>32</v>
      </c>
      <c r="L116" t="s">
        <v>163</v>
      </c>
      <c r="M116" t="s">
        <v>38</v>
      </c>
      <c r="N116">
        <v>10</v>
      </c>
      <c r="O116" t="s">
        <v>26</v>
      </c>
      <c r="P116" t="s">
        <v>27</v>
      </c>
      <c r="Q116" t="s">
        <v>19</v>
      </c>
      <c r="T116" t="s">
        <v>35</v>
      </c>
    </row>
    <row r="117" spans="1:22" x14ac:dyDescent="0.25">
      <c r="A117">
        <v>727755155</v>
      </c>
      <c r="B117" s="1">
        <v>46129.640258530089</v>
      </c>
      <c r="C117" s="1">
        <v>46129.64301673611</v>
      </c>
      <c r="D117" s="2">
        <v>46129</v>
      </c>
      <c r="E117">
        <v>576</v>
      </c>
      <c r="F117">
        <v>48</v>
      </c>
      <c r="G117" t="s">
        <v>30</v>
      </c>
      <c r="H117" t="s">
        <v>77</v>
      </c>
      <c r="I117" s="2">
        <v>44046</v>
      </c>
      <c r="J117">
        <v>124</v>
      </c>
      <c r="K117" t="s">
        <v>32</v>
      </c>
      <c r="L117" t="s">
        <v>164</v>
      </c>
      <c r="M117" t="s">
        <v>38</v>
      </c>
      <c r="N117">
        <v>45</v>
      </c>
      <c r="O117" t="s">
        <v>69</v>
      </c>
      <c r="Q117" t="s">
        <v>40</v>
      </c>
      <c r="R117" t="s">
        <v>136</v>
      </c>
    </row>
    <row r="118" spans="1:22" x14ac:dyDescent="0.25">
      <c r="A118">
        <v>727755338</v>
      </c>
      <c r="B118" s="1">
        <v>46129.638776099535</v>
      </c>
      <c r="C118" s="1">
        <v>46129.643186053239</v>
      </c>
      <c r="D118" s="2">
        <v>46129</v>
      </c>
      <c r="E118">
        <v>312</v>
      </c>
      <c r="F118">
        <v>26</v>
      </c>
      <c r="G118" t="s">
        <v>30</v>
      </c>
      <c r="H118" t="s">
        <v>23</v>
      </c>
      <c r="I118" s="2">
        <v>43479</v>
      </c>
      <c r="J118">
        <v>8</v>
      </c>
      <c r="K118" t="s">
        <v>32</v>
      </c>
      <c r="L118" t="s">
        <v>105</v>
      </c>
      <c r="M118" t="s">
        <v>38</v>
      </c>
      <c r="N118">
        <v>25</v>
      </c>
      <c r="O118" t="s">
        <v>88</v>
      </c>
      <c r="Q118" t="s">
        <v>19</v>
      </c>
      <c r="T118" t="s">
        <v>70</v>
      </c>
    </row>
    <row r="119" spans="1:22" x14ac:dyDescent="0.25">
      <c r="A119">
        <v>727758680</v>
      </c>
      <c r="B119" s="1">
        <v>46129.643186365742</v>
      </c>
      <c r="C119" s="1">
        <v>46129.644855659724</v>
      </c>
      <c r="D119" s="2">
        <v>46129</v>
      </c>
      <c r="E119">
        <v>360</v>
      </c>
      <c r="F119">
        <v>30</v>
      </c>
      <c r="G119" t="s">
        <v>22</v>
      </c>
      <c r="H119" t="s">
        <v>130</v>
      </c>
      <c r="I119" s="2">
        <v>44614</v>
      </c>
      <c r="J119">
        <v>3</v>
      </c>
      <c r="K119" t="s">
        <v>32</v>
      </c>
      <c r="L119" t="s">
        <v>165</v>
      </c>
      <c r="M119" t="s">
        <v>38</v>
      </c>
      <c r="N119">
        <v>35</v>
      </c>
      <c r="O119" t="s">
        <v>88</v>
      </c>
      <c r="Q119" t="s">
        <v>19</v>
      </c>
      <c r="T119" t="s">
        <v>64</v>
      </c>
    </row>
    <row r="120" spans="1:22" x14ac:dyDescent="0.25">
      <c r="A120">
        <v>727759452</v>
      </c>
      <c r="B120" s="1">
        <v>46129.643017881943</v>
      </c>
      <c r="C120" s="1">
        <v>46129.645325138888</v>
      </c>
      <c r="D120" s="2">
        <v>46129</v>
      </c>
      <c r="E120">
        <v>456</v>
      </c>
      <c r="F120">
        <v>38</v>
      </c>
      <c r="G120" t="s">
        <v>30</v>
      </c>
      <c r="H120" t="s">
        <v>166</v>
      </c>
      <c r="I120" s="2">
        <v>43944</v>
      </c>
      <c r="J120">
        <v>21</v>
      </c>
      <c r="K120" t="s">
        <v>32</v>
      </c>
      <c r="L120" t="s">
        <v>167</v>
      </c>
      <c r="M120" t="s">
        <v>25</v>
      </c>
      <c r="N120">
        <v>10</v>
      </c>
      <c r="O120" t="s">
        <v>34</v>
      </c>
      <c r="Q120" t="s">
        <v>19</v>
      </c>
      <c r="T120" t="s">
        <v>35</v>
      </c>
    </row>
    <row r="121" spans="1:22" x14ac:dyDescent="0.25">
      <c r="A121">
        <v>727761736</v>
      </c>
      <c r="B121" s="1">
        <v>46129.644856053237</v>
      </c>
      <c r="C121" s="1">
        <v>46129.646421215279</v>
      </c>
      <c r="D121" s="2">
        <v>46129</v>
      </c>
      <c r="E121">
        <v>84</v>
      </c>
      <c r="F121">
        <v>7</v>
      </c>
      <c r="G121" t="s">
        <v>22</v>
      </c>
      <c r="H121" t="s">
        <v>86</v>
      </c>
      <c r="I121" s="2">
        <v>44574</v>
      </c>
      <c r="J121">
        <v>21</v>
      </c>
      <c r="K121" t="s">
        <v>24</v>
      </c>
      <c r="M121" t="s">
        <v>25</v>
      </c>
      <c r="N121">
        <v>90</v>
      </c>
      <c r="O121" t="s">
        <v>34</v>
      </c>
      <c r="Q121" t="s">
        <v>144</v>
      </c>
      <c r="U121" t="s">
        <v>47</v>
      </c>
      <c r="V121" t="s">
        <v>145</v>
      </c>
    </row>
    <row r="122" spans="1:22" x14ac:dyDescent="0.25">
      <c r="A122">
        <v>727766085</v>
      </c>
      <c r="B122" s="1">
        <v>46129.645326041667</v>
      </c>
      <c r="C122" s="1">
        <v>46129.648612106481</v>
      </c>
      <c r="D122" s="2">
        <v>46129</v>
      </c>
      <c r="E122">
        <v>300</v>
      </c>
      <c r="F122">
        <v>25</v>
      </c>
      <c r="G122" t="s">
        <v>30</v>
      </c>
      <c r="H122" t="s">
        <v>141</v>
      </c>
      <c r="I122" s="2">
        <v>44035</v>
      </c>
      <c r="J122">
        <v>31</v>
      </c>
      <c r="K122" t="s">
        <v>32</v>
      </c>
      <c r="L122" t="s">
        <v>168</v>
      </c>
      <c r="M122" t="s">
        <v>38</v>
      </c>
      <c r="N122">
        <v>45</v>
      </c>
      <c r="O122" t="s">
        <v>88</v>
      </c>
      <c r="Q122" t="s">
        <v>19</v>
      </c>
      <c r="T122" t="s">
        <v>74</v>
      </c>
    </row>
    <row r="123" spans="1:22" x14ac:dyDescent="0.25">
      <c r="A123">
        <v>727766353</v>
      </c>
      <c r="B123" s="1">
        <v>46129.646421527781</v>
      </c>
      <c r="C123" s="1">
        <v>46129.648813078704</v>
      </c>
      <c r="D123" s="2">
        <v>46129</v>
      </c>
      <c r="E123">
        <v>780</v>
      </c>
      <c r="F123">
        <v>65</v>
      </c>
      <c r="G123" t="s">
        <v>30</v>
      </c>
      <c r="H123" t="s">
        <v>77</v>
      </c>
      <c r="I123" s="2">
        <v>44258</v>
      </c>
      <c r="J123">
        <v>14</v>
      </c>
      <c r="K123" t="s">
        <v>32</v>
      </c>
      <c r="L123" t="s">
        <v>169</v>
      </c>
      <c r="M123" t="s">
        <v>38</v>
      </c>
      <c r="N123">
        <v>70</v>
      </c>
      <c r="O123" t="s">
        <v>69</v>
      </c>
      <c r="Q123" t="s">
        <v>19</v>
      </c>
      <c r="T123" t="s">
        <v>35</v>
      </c>
    </row>
    <row r="124" spans="1:22" x14ac:dyDescent="0.25">
      <c r="A124">
        <v>727769696</v>
      </c>
      <c r="B124" s="1">
        <v>46129.648813472224</v>
      </c>
      <c r="C124" s="1">
        <v>46129.650339479165</v>
      </c>
      <c r="D124" s="2">
        <v>46129</v>
      </c>
      <c r="E124">
        <v>1020</v>
      </c>
      <c r="F124">
        <v>85</v>
      </c>
      <c r="G124" t="s">
        <v>30</v>
      </c>
      <c r="H124" t="s">
        <v>42</v>
      </c>
      <c r="I124" s="2">
        <v>44355</v>
      </c>
      <c r="J124">
        <v>90</v>
      </c>
      <c r="K124" t="s">
        <v>24</v>
      </c>
      <c r="M124" t="s">
        <v>38</v>
      </c>
      <c r="N124">
        <v>40</v>
      </c>
      <c r="O124" t="s">
        <v>34</v>
      </c>
      <c r="Q124" t="s">
        <v>40</v>
      </c>
      <c r="R124" t="s">
        <v>44</v>
      </c>
    </row>
    <row r="125" spans="1:22" x14ac:dyDescent="0.25">
      <c r="A125">
        <v>727771481</v>
      </c>
      <c r="B125" s="1">
        <v>46129.648613113422</v>
      </c>
      <c r="C125" s="1">
        <v>46129.651108738428</v>
      </c>
      <c r="D125" s="2">
        <v>46129</v>
      </c>
      <c r="E125">
        <v>36</v>
      </c>
      <c r="F125">
        <v>3</v>
      </c>
      <c r="G125" t="s">
        <v>30</v>
      </c>
      <c r="H125" t="s">
        <v>27</v>
      </c>
      <c r="I125" s="2">
        <v>46112</v>
      </c>
      <c r="J125">
        <v>7</v>
      </c>
      <c r="K125" t="s">
        <v>32</v>
      </c>
      <c r="L125" t="s">
        <v>170</v>
      </c>
      <c r="M125" t="s">
        <v>38</v>
      </c>
      <c r="N125">
        <v>20</v>
      </c>
      <c r="O125" t="s">
        <v>88</v>
      </c>
      <c r="Q125" t="s">
        <v>19</v>
      </c>
      <c r="T125" t="s">
        <v>74</v>
      </c>
    </row>
    <row r="126" spans="1:22" x14ac:dyDescent="0.25">
      <c r="A126">
        <v>727774023</v>
      </c>
      <c r="B126" s="1">
        <v>46129.651110312501</v>
      </c>
      <c r="C126" s="1">
        <v>46129.652482280093</v>
      </c>
      <c r="D126" s="2">
        <v>46129</v>
      </c>
      <c r="E126">
        <v>144</v>
      </c>
      <c r="F126">
        <v>12</v>
      </c>
      <c r="G126" t="s">
        <v>22</v>
      </c>
      <c r="H126" t="s">
        <v>81</v>
      </c>
      <c r="I126" s="2">
        <v>45442</v>
      </c>
      <c r="J126">
        <v>7</v>
      </c>
      <c r="K126" t="s">
        <v>24</v>
      </c>
      <c r="M126" t="s">
        <v>38</v>
      </c>
      <c r="N126">
        <v>25</v>
      </c>
      <c r="O126" t="s">
        <v>26</v>
      </c>
      <c r="P126" t="s">
        <v>27</v>
      </c>
      <c r="Q126" t="s">
        <v>19</v>
      </c>
      <c r="T126" t="s">
        <v>64</v>
      </c>
    </row>
    <row r="127" spans="1:22" x14ac:dyDescent="0.25">
      <c r="A127">
        <v>727778799</v>
      </c>
      <c r="B127" s="1">
        <v>46129.652483472222</v>
      </c>
      <c r="C127" s="1">
        <v>46129.654765185187</v>
      </c>
      <c r="D127" s="2">
        <v>46129</v>
      </c>
      <c r="E127">
        <v>960</v>
      </c>
      <c r="F127">
        <v>80</v>
      </c>
      <c r="G127" t="s">
        <v>22</v>
      </c>
      <c r="H127" t="s">
        <v>171</v>
      </c>
      <c r="I127" s="2">
        <v>45520</v>
      </c>
      <c r="J127">
        <v>6</v>
      </c>
      <c r="K127" t="s">
        <v>24</v>
      </c>
      <c r="M127" t="s">
        <v>25</v>
      </c>
      <c r="N127">
        <v>60</v>
      </c>
      <c r="O127" t="s">
        <v>59</v>
      </c>
      <c r="Q127" t="s">
        <v>40</v>
      </c>
      <c r="R127" t="s">
        <v>44</v>
      </c>
    </row>
    <row r="128" spans="1:22" x14ac:dyDescent="0.25">
      <c r="A128">
        <v>727782862</v>
      </c>
      <c r="B128" s="1">
        <v>46129.654766956017</v>
      </c>
      <c r="C128" s="1">
        <v>46129.656774409719</v>
      </c>
      <c r="D128" s="2">
        <v>46129</v>
      </c>
      <c r="E128">
        <v>612</v>
      </c>
      <c r="F128">
        <v>51</v>
      </c>
      <c r="G128" t="s">
        <v>22</v>
      </c>
      <c r="H128" t="s">
        <v>172</v>
      </c>
      <c r="I128" s="2">
        <v>44732</v>
      </c>
      <c r="J128">
        <v>21</v>
      </c>
      <c r="K128" t="s">
        <v>24</v>
      </c>
      <c r="M128" t="s">
        <v>38</v>
      </c>
      <c r="N128">
        <v>70</v>
      </c>
      <c r="O128" t="s">
        <v>69</v>
      </c>
      <c r="Q128" t="s">
        <v>40</v>
      </c>
      <c r="R128" t="s">
        <v>44</v>
      </c>
    </row>
    <row r="129" spans="1:21" x14ac:dyDescent="0.25">
      <c r="A129">
        <v>727785231</v>
      </c>
      <c r="B129" s="1">
        <v>46129.656776053242</v>
      </c>
      <c r="C129" s="1">
        <v>46129.657919050929</v>
      </c>
      <c r="D129" s="2">
        <v>46129</v>
      </c>
      <c r="E129">
        <v>300</v>
      </c>
      <c r="F129">
        <v>25</v>
      </c>
      <c r="G129" t="s">
        <v>30</v>
      </c>
      <c r="H129" t="s">
        <v>141</v>
      </c>
      <c r="I129" s="2">
        <v>46063</v>
      </c>
      <c r="J129">
        <v>21</v>
      </c>
      <c r="K129" t="s">
        <v>32</v>
      </c>
      <c r="L129" t="s">
        <v>173</v>
      </c>
      <c r="M129" t="s">
        <v>38</v>
      </c>
      <c r="N129">
        <v>54</v>
      </c>
      <c r="O129" t="s">
        <v>69</v>
      </c>
      <c r="Q129" t="s">
        <v>19</v>
      </c>
      <c r="T129" t="s">
        <v>64</v>
      </c>
    </row>
    <row r="130" spans="1:21" x14ac:dyDescent="0.25">
      <c r="A130">
        <v>727792180</v>
      </c>
      <c r="B130" s="1">
        <v>46129.657919930556</v>
      </c>
      <c r="C130" s="1">
        <v>46129.661857800929</v>
      </c>
      <c r="D130" s="2">
        <v>46129</v>
      </c>
      <c r="E130">
        <v>420</v>
      </c>
      <c r="F130">
        <v>35</v>
      </c>
      <c r="G130" t="s">
        <v>30</v>
      </c>
      <c r="H130" t="s">
        <v>31</v>
      </c>
      <c r="I130" s="2">
        <v>46030</v>
      </c>
      <c r="J130">
        <v>31</v>
      </c>
      <c r="K130" t="s">
        <v>32</v>
      </c>
      <c r="L130" t="s">
        <v>174</v>
      </c>
      <c r="M130" t="s">
        <v>38</v>
      </c>
      <c r="N130">
        <v>85</v>
      </c>
      <c r="O130" t="s">
        <v>69</v>
      </c>
      <c r="Q130" t="s">
        <v>19</v>
      </c>
      <c r="T130" t="s">
        <v>74</v>
      </c>
    </row>
    <row r="131" spans="1:21" x14ac:dyDescent="0.25">
      <c r="A131">
        <v>727795764</v>
      </c>
      <c r="B131" s="1">
        <v>46129.6618590625</v>
      </c>
      <c r="C131" s="1">
        <v>46129.663759895833</v>
      </c>
      <c r="D131" s="2">
        <v>46129</v>
      </c>
      <c r="E131">
        <v>696</v>
      </c>
      <c r="F131">
        <v>58</v>
      </c>
      <c r="G131" t="s">
        <v>22</v>
      </c>
      <c r="H131" t="s">
        <v>49</v>
      </c>
      <c r="I131" s="2">
        <v>45770</v>
      </c>
      <c r="J131">
        <v>21</v>
      </c>
      <c r="K131" t="s">
        <v>24</v>
      </c>
      <c r="M131" t="s">
        <v>38</v>
      </c>
      <c r="N131">
        <v>60</v>
      </c>
      <c r="O131" t="s">
        <v>88</v>
      </c>
      <c r="Q131" t="s">
        <v>144</v>
      </c>
      <c r="U131" t="s">
        <v>175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1DC76-8D45-4B4B-847B-A85448193C08}">
  <dimension ref="A1:J281"/>
  <sheetViews>
    <sheetView zoomScaleNormal="100" workbookViewId="0">
      <pane ySplit="2" topLeftCell="A3" activePane="bottomLeft" state="frozen"/>
      <selection pane="bottomLeft" activeCell="D85" sqref="D85"/>
    </sheetView>
  </sheetViews>
  <sheetFormatPr defaultColWidth="8.875" defaultRowHeight="14.25" x14ac:dyDescent="0.25"/>
  <cols>
    <col min="1" max="1" width="66.125" style="3" bestFit="1" customWidth="1"/>
    <col min="2" max="2" width="55.125" style="230" bestFit="1" customWidth="1"/>
    <col min="3" max="3" width="38.375" style="230" bestFit="1" customWidth="1"/>
    <col min="4" max="4" width="55.125" style="230" bestFit="1" customWidth="1"/>
    <col min="5" max="5" width="13.875" style="230" bestFit="1" customWidth="1"/>
    <col min="6" max="6" width="13.375" style="230" customWidth="1"/>
    <col min="7" max="8" width="11.625" style="230" customWidth="1"/>
    <col min="9" max="9" width="8.375" style="230" customWidth="1"/>
    <col min="10" max="10" width="8.375" style="3" customWidth="1"/>
    <col min="11" max="16384" width="8.875" style="3"/>
  </cols>
  <sheetData>
    <row r="1" spans="1:10" ht="39.950000000000003" customHeight="1" x14ac:dyDescent="0.25">
      <c r="A1" s="253" t="s">
        <v>1501</v>
      </c>
      <c r="B1" s="254"/>
      <c r="C1" s="254"/>
      <c r="D1" s="254"/>
      <c r="E1" s="254"/>
      <c r="F1" s="254"/>
      <c r="G1" s="254"/>
      <c r="H1" s="254"/>
      <c r="I1" s="254"/>
      <c r="J1" s="254"/>
    </row>
    <row r="2" spans="1:10" ht="24.95" customHeight="1" x14ac:dyDescent="0.25">
      <c r="A2" s="255" t="s">
        <v>1502</v>
      </c>
      <c r="B2" s="256"/>
      <c r="C2" s="256"/>
      <c r="D2" s="256"/>
      <c r="E2" s="256"/>
      <c r="F2" s="256"/>
      <c r="G2" s="256"/>
      <c r="H2" s="256"/>
      <c r="I2" s="256"/>
      <c r="J2" s="256"/>
    </row>
    <row r="3" spans="1:10" ht="8.1" customHeight="1" x14ac:dyDescent="0.25">
      <c r="A3" s="107"/>
      <c r="B3" s="108"/>
      <c r="C3" s="108"/>
      <c r="D3" s="108"/>
      <c r="E3" s="108"/>
      <c r="F3" s="108"/>
      <c r="G3" s="108"/>
      <c r="H3" s="108"/>
      <c r="I3" s="108"/>
      <c r="J3" s="109"/>
    </row>
    <row r="4" spans="1:10" ht="30" customHeight="1" x14ac:dyDescent="0.25">
      <c r="A4" s="257" t="s">
        <v>1503</v>
      </c>
      <c r="B4" s="258"/>
      <c r="C4" s="258"/>
      <c r="D4" s="258"/>
      <c r="E4" s="258"/>
      <c r="F4" s="258"/>
      <c r="G4" s="258"/>
      <c r="H4" s="258"/>
      <c r="I4" s="257"/>
      <c r="J4" s="257"/>
    </row>
    <row r="5" spans="1:10" ht="8.1" customHeight="1" x14ac:dyDescent="0.25">
      <c r="A5" s="107"/>
      <c r="B5" s="108"/>
      <c r="C5" s="108"/>
      <c r="D5" s="108"/>
      <c r="E5" s="108"/>
      <c r="F5" s="108"/>
      <c r="G5" s="108"/>
      <c r="H5" s="108"/>
      <c r="I5" s="108"/>
      <c r="J5" s="109"/>
    </row>
    <row r="6" spans="1:10" ht="21.95" customHeight="1" x14ac:dyDescent="0.25">
      <c r="A6" s="110" t="s">
        <v>1504</v>
      </c>
      <c r="B6" s="111"/>
      <c r="C6" s="111"/>
      <c r="D6" s="111"/>
      <c r="E6" s="111"/>
      <c r="F6" s="111"/>
      <c r="G6" s="111"/>
      <c r="H6" s="111"/>
      <c r="I6" s="111"/>
      <c r="J6" s="112"/>
    </row>
    <row r="7" spans="1:10" ht="45" customHeight="1" x14ac:dyDescent="0.25">
      <c r="A7" s="259" t="s">
        <v>1505</v>
      </c>
      <c r="B7" s="260"/>
      <c r="C7" s="260"/>
      <c r="D7" s="260"/>
      <c r="E7" s="260"/>
      <c r="F7" s="260"/>
      <c r="G7" s="260"/>
      <c r="H7" s="260"/>
      <c r="I7" s="261"/>
      <c r="J7" s="261"/>
    </row>
    <row r="8" spans="1:10" ht="8.1" customHeight="1" x14ac:dyDescent="0.25">
      <c r="A8" s="107"/>
      <c r="B8" s="108"/>
      <c r="C8" s="108"/>
      <c r="D8" s="108"/>
      <c r="E8" s="108"/>
      <c r="F8" s="108"/>
      <c r="G8" s="108"/>
      <c r="H8" s="108"/>
      <c r="I8" s="108"/>
      <c r="J8" s="109"/>
    </row>
    <row r="9" spans="1:10" ht="45" customHeight="1" x14ac:dyDescent="0.25">
      <c r="A9" s="259" t="s">
        <v>1506</v>
      </c>
      <c r="B9" s="260"/>
      <c r="C9" s="260"/>
      <c r="D9" s="260"/>
      <c r="E9" s="260"/>
      <c r="F9" s="260"/>
      <c r="G9" s="260"/>
      <c r="H9" s="260"/>
      <c r="I9" s="261"/>
      <c r="J9" s="261"/>
    </row>
    <row r="10" spans="1:10" ht="8.1" customHeight="1" x14ac:dyDescent="0.25">
      <c r="A10" s="107"/>
      <c r="B10" s="108"/>
      <c r="C10" s="108"/>
      <c r="D10" s="108"/>
      <c r="E10" s="108"/>
      <c r="F10" s="108"/>
      <c r="G10" s="108"/>
      <c r="H10" s="108"/>
      <c r="I10" s="108"/>
      <c r="J10" s="109"/>
    </row>
    <row r="11" spans="1:10" ht="21.95" customHeight="1" x14ac:dyDescent="0.25">
      <c r="A11" s="110" t="s">
        <v>1507</v>
      </c>
      <c r="B11" s="111"/>
      <c r="C11" s="111"/>
      <c r="D11" s="111"/>
      <c r="E11" s="111"/>
      <c r="F11" s="111"/>
      <c r="G11" s="111"/>
      <c r="H11" s="111"/>
      <c r="I11" s="111"/>
      <c r="J11" s="112"/>
    </row>
    <row r="12" spans="1:10" ht="28.5" x14ac:dyDescent="0.25">
      <c r="A12" s="113" t="s">
        <v>1508</v>
      </c>
      <c r="B12" s="114"/>
      <c r="C12" s="114"/>
      <c r="D12" s="114"/>
      <c r="E12" s="114"/>
      <c r="F12" s="114"/>
      <c r="G12" s="114"/>
      <c r="H12" s="114"/>
      <c r="I12" s="114"/>
      <c r="J12" s="115"/>
    </row>
    <row r="13" spans="1:10" ht="28.5" x14ac:dyDescent="0.25">
      <c r="A13" s="113" t="s">
        <v>1509</v>
      </c>
      <c r="B13" s="114"/>
      <c r="C13" s="114"/>
      <c r="D13" s="114"/>
      <c r="E13" s="114"/>
      <c r="F13" s="114"/>
      <c r="G13" s="114"/>
      <c r="H13" s="114"/>
      <c r="I13" s="114"/>
      <c r="J13" s="115"/>
    </row>
    <row r="14" spans="1:10" ht="28.5" x14ac:dyDescent="0.25">
      <c r="A14" s="113" t="s">
        <v>1510</v>
      </c>
      <c r="B14" s="114"/>
      <c r="C14" s="114"/>
      <c r="D14" s="114"/>
      <c r="E14" s="114"/>
      <c r="F14" s="114"/>
      <c r="G14" s="114"/>
      <c r="H14" s="114"/>
      <c r="I14" s="114"/>
      <c r="J14" s="115"/>
    </row>
    <row r="15" spans="1:10" x14ac:dyDescent="0.25">
      <c r="A15" s="113" t="s">
        <v>1511</v>
      </c>
      <c r="B15" s="114"/>
      <c r="C15" s="114"/>
      <c r="D15" s="114"/>
      <c r="E15" s="114"/>
      <c r="F15" s="114"/>
      <c r="G15" s="114"/>
      <c r="H15" s="114"/>
      <c r="I15" s="114"/>
      <c r="J15" s="115"/>
    </row>
    <row r="16" spans="1:10" x14ac:dyDescent="0.25">
      <c r="A16" s="113" t="s">
        <v>1512</v>
      </c>
      <c r="B16" s="114"/>
      <c r="C16" s="114"/>
      <c r="D16" s="114"/>
      <c r="E16" s="114"/>
      <c r="F16" s="114"/>
      <c r="G16" s="114"/>
      <c r="H16" s="114"/>
      <c r="I16" s="114"/>
      <c r="J16" s="115"/>
    </row>
    <row r="17" spans="1:10" ht="8.1" customHeight="1" x14ac:dyDescent="0.25">
      <c r="A17" s="107"/>
      <c r="B17" s="108"/>
      <c r="C17" s="108"/>
      <c r="D17" s="108"/>
      <c r="E17" s="108"/>
      <c r="F17" s="108"/>
      <c r="G17" s="108"/>
      <c r="H17" s="108"/>
      <c r="I17" s="108"/>
      <c r="J17" s="109"/>
    </row>
    <row r="18" spans="1:10" ht="8.1" customHeight="1" x14ac:dyDescent="0.25">
      <c r="A18" s="107"/>
      <c r="B18" s="108"/>
      <c r="C18" s="108"/>
      <c r="D18" s="108"/>
      <c r="E18" s="108"/>
      <c r="F18" s="108"/>
      <c r="G18" s="108"/>
      <c r="H18" s="108"/>
      <c r="I18" s="108"/>
      <c r="J18" s="109"/>
    </row>
    <row r="19" spans="1:10" ht="30" customHeight="1" x14ac:dyDescent="0.25">
      <c r="A19" s="251" t="s">
        <v>1513</v>
      </c>
      <c r="B19" s="252"/>
      <c r="C19" s="252"/>
      <c r="D19" s="252"/>
      <c r="E19" s="252"/>
      <c r="F19" s="252"/>
      <c r="G19" s="252"/>
      <c r="H19" s="252"/>
      <c r="I19" s="251"/>
      <c r="J19" s="251"/>
    </row>
    <row r="20" spans="1:10" ht="8.1" customHeight="1" x14ac:dyDescent="0.25">
      <c r="A20" s="107"/>
      <c r="B20" s="108"/>
      <c r="C20" s="108"/>
      <c r="D20" s="108"/>
      <c r="E20" s="108"/>
      <c r="F20" s="108"/>
      <c r="G20" s="108"/>
      <c r="H20" s="108"/>
      <c r="I20" s="108"/>
      <c r="J20" s="109"/>
    </row>
    <row r="21" spans="1:10" ht="21.95" customHeight="1" x14ac:dyDescent="0.25">
      <c r="A21" s="110" t="s">
        <v>1514</v>
      </c>
      <c r="B21" s="111"/>
      <c r="C21" s="111"/>
      <c r="D21" s="111"/>
      <c r="E21" s="111"/>
      <c r="F21" s="111"/>
      <c r="G21" s="111"/>
      <c r="H21" s="111"/>
      <c r="I21" s="111"/>
      <c r="J21" s="112"/>
    </row>
    <row r="22" spans="1:10" x14ac:dyDescent="0.25">
      <c r="A22" s="116" t="s">
        <v>1515</v>
      </c>
      <c r="B22" s="108" t="s">
        <v>1516</v>
      </c>
      <c r="C22" s="108"/>
      <c r="D22" s="108"/>
      <c r="E22" s="108"/>
      <c r="F22" s="108"/>
      <c r="G22" s="108"/>
      <c r="H22" s="108"/>
      <c r="I22" s="108"/>
      <c r="J22" s="109"/>
    </row>
    <row r="23" spans="1:10" x14ac:dyDescent="0.25">
      <c r="A23" s="116" t="s">
        <v>1517</v>
      </c>
      <c r="B23" s="108" t="s">
        <v>1518</v>
      </c>
      <c r="C23" s="108"/>
      <c r="D23" s="108"/>
      <c r="E23" s="108"/>
      <c r="F23" s="108"/>
      <c r="G23" s="108"/>
      <c r="H23" s="108"/>
      <c r="I23" s="108"/>
      <c r="J23" s="109"/>
    </row>
    <row r="24" spans="1:10" x14ac:dyDescent="0.25">
      <c r="A24" s="116" t="s">
        <v>1519</v>
      </c>
      <c r="B24" s="108" t="s">
        <v>1520</v>
      </c>
      <c r="C24" s="108"/>
      <c r="D24" s="108"/>
      <c r="E24" s="108"/>
      <c r="F24" s="108"/>
      <c r="G24" s="108"/>
      <c r="H24" s="108"/>
      <c r="I24" s="108"/>
      <c r="J24" s="109"/>
    </row>
    <row r="25" spans="1:10" x14ac:dyDescent="0.25">
      <c r="A25" s="116" t="s">
        <v>1521</v>
      </c>
      <c r="B25" s="108" t="s">
        <v>1522</v>
      </c>
      <c r="C25" s="108"/>
      <c r="D25" s="108"/>
      <c r="E25" s="108"/>
      <c r="F25" s="108"/>
      <c r="G25" s="108"/>
      <c r="H25" s="108"/>
      <c r="I25" s="108"/>
      <c r="J25" s="109"/>
    </row>
    <row r="26" spans="1:10" ht="8.1" customHeight="1" x14ac:dyDescent="0.25">
      <c r="A26" s="107"/>
      <c r="B26" s="108"/>
      <c r="C26" s="108"/>
      <c r="D26" s="108"/>
      <c r="E26" s="108"/>
      <c r="F26" s="108"/>
      <c r="G26" s="108"/>
      <c r="H26" s="108"/>
      <c r="I26" s="108"/>
      <c r="J26" s="109"/>
    </row>
    <row r="27" spans="1:10" ht="21.95" customHeight="1" x14ac:dyDescent="0.25">
      <c r="A27" s="110" t="s">
        <v>1523</v>
      </c>
      <c r="B27" s="111"/>
      <c r="C27" s="111"/>
      <c r="D27" s="111"/>
      <c r="E27" s="111"/>
      <c r="F27" s="111"/>
      <c r="G27" s="111"/>
      <c r="H27" s="111"/>
      <c r="I27" s="111"/>
      <c r="J27" s="112"/>
    </row>
    <row r="28" spans="1:10" x14ac:dyDescent="0.25">
      <c r="A28" s="116" t="s">
        <v>1524</v>
      </c>
      <c r="B28" s="108">
        <f>Rapport_Complet!B6</f>
        <v>130</v>
      </c>
      <c r="C28" s="108"/>
      <c r="D28" s="108"/>
      <c r="E28" s="108"/>
      <c r="F28" s="108"/>
      <c r="G28" s="108"/>
      <c r="H28" s="108"/>
      <c r="I28" s="108"/>
      <c r="J28" s="109"/>
    </row>
    <row r="29" spans="1:10" ht="8.1" customHeight="1" x14ac:dyDescent="0.25">
      <c r="A29" s="107"/>
      <c r="B29" s="108"/>
      <c r="C29" s="108"/>
      <c r="D29" s="108"/>
      <c r="E29" s="108"/>
      <c r="F29" s="108"/>
      <c r="G29" s="108"/>
      <c r="H29" s="108"/>
      <c r="I29" s="108"/>
      <c r="J29" s="109"/>
    </row>
    <row r="30" spans="1:10" x14ac:dyDescent="0.25">
      <c r="A30" s="116" t="s">
        <v>1525</v>
      </c>
      <c r="B30" s="108"/>
      <c r="C30" s="108"/>
      <c r="D30" s="108"/>
      <c r="E30" s="108"/>
      <c r="F30" s="108"/>
      <c r="G30" s="108"/>
      <c r="H30" s="108"/>
      <c r="I30" s="108"/>
      <c r="J30" s="109"/>
    </row>
    <row r="31" spans="1:10" x14ac:dyDescent="0.25">
      <c r="A31" s="117" t="s">
        <v>1526</v>
      </c>
      <c r="B31" s="108"/>
      <c r="C31" s="108"/>
      <c r="D31" s="108"/>
      <c r="E31" s="108"/>
      <c r="F31" s="108"/>
      <c r="G31" s="108"/>
      <c r="H31" s="108"/>
      <c r="I31" s="108"/>
      <c r="J31" s="109"/>
    </row>
    <row r="32" spans="1:10" x14ac:dyDescent="0.25">
      <c r="A32" s="117" t="s">
        <v>1527</v>
      </c>
      <c r="B32" s="108"/>
      <c r="C32" s="108"/>
      <c r="D32" s="108"/>
      <c r="E32" s="108"/>
      <c r="F32" s="108"/>
      <c r="G32" s="108"/>
      <c r="H32" s="108"/>
      <c r="I32" s="108"/>
      <c r="J32" s="109"/>
    </row>
    <row r="33" spans="1:10" x14ac:dyDescent="0.25">
      <c r="A33" s="117" t="s">
        <v>1528</v>
      </c>
      <c r="B33" s="108"/>
      <c r="C33" s="108"/>
      <c r="D33" s="108"/>
      <c r="E33" s="108"/>
      <c r="F33" s="108"/>
      <c r="G33" s="108"/>
      <c r="H33" s="108"/>
      <c r="I33" s="108"/>
      <c r="J33" s="109"/>
    </row>
    <row r="34" spans="1:10" ht="8.1" customHeight="1" x14ac:dyDescent="0.25">
      <c r="A34" s="107"/>
      <c r="B34" s="108"/>
      <c r="C34" s="108"/>
      <c r="D34" s="108"/>
      <c r="E34" s="108"/>
      <c r="F34" s="108"/>
      <c r="G34" s="108"/>
      <c r="H34" s="108"/>
      <c r="I34" s="108"/>
      <c r="J34" s="109"/>
    </row>
    <row r="35" spans="1:10" ht="21.95" customHeight="1" x14ac:dyDescent="0.25">
      <c r="A35" s="110" t="s">
        <v>1529</v>
      </c>
      <c r="B35" s="111"/>
      <c r="C35" s="111"/>
      <c r="D35" s="111"/>
      <c r="E35" s="111"/>
      <c r="F35" s="111"/>
      <c r="G35" s="111"/>
      <c r="H35" s="111"/>
      <c r="I35" s="111"/>
      <c r="J35" s="112"/>
    </row>
    <row r="36" spans="1:10" ht="20.100000000000001" customHeight="1" thickBot="1" x14ac:dyDescent="0.3">
      <c r="A36" s="118" t="s">
        <v>225</v>
      </c>
      <c r="B36" s="119" t="s">
        <v>1530</v>
      </c>
      <c r="C36" s="119" t="s">
        <v>668</v>
      </c>
      <c r="D36" s="120"/>
      <c r="E36" s="121"/>
      <c r="F36" s="121"/>
      <c r="G36" s="121"/>
      <c r="H36" s="121"/>
      <c r="I36" s="108"/>
      <c r="J36" s="109"/>
    </row>
    <row r="37" spans="1:10" ht="15" thickBot="1" x14ac:dyDescent="0.3">
      <c r="A37" s="122" t="s">
        <v>1531</v>
      </c>
      <c r="B37" s="123" t="s">
        <v>1532</v>
      </c>
      <c r="C37" s="123" t="s">
        <v>1533</v>
      </c>
      <c r="D37" s="124"/>
      <c r="E37" s="108"/>
      <c r="F37" s="108"/>
      <c r="G37" s="108"/>
      <c r="H37" s="108"/>
      <c r="I37" s="108"/>
      <c r="J37" s="109"/>
    </row>
    <row r="38" spans="1:10" ht="15" thickBot="1" x14ac:dyDescent="0.3">
      <c r="A38" s="122" t="s">
        <v>1534</v>
      </c>
      <c r="B38" s="123" t="s">
        <v>1535</v>
      </c>
      <c r="C38" s="123" t="s">
        <v>1536</v>
      </c>
      <c r="D38" s="124"/>
      <c r="E38" s="108"/>
      <c r="F38" s="108"/>
      <c r="G38" s="108"/>
      <c r="H38" s="108"/>
      <c r="I38" s="108"/>
      <c r="J38" s="109"/>
    </row>
    <row r="39" spans="1:10" ht="15" thickBot="1" x14ac:dyDescent="0.3">
      <c r="A39" s="122" t="s">
        <v>1537</v>
      </c>
      <c r="B39" s="123" t="s">
        <v>1538</v>
      </c>
      <c r="C39" s="123" t="s">
        <v>1539</v>
      </c>
      <c r="D39" s="124"/>
      <c r="E39" s="108"/>
      <c r="F39" s="108"/>
      <c r="G39" s="108"/>
      <c r="H39" s="108"/>
      <c r="I39" s="108"/>
      <c r="J39" s="109"/>
    </row>
    <row r="40" spans="1:10" ht="15" thickBot="1" x14ac:dyDescent="0.3">
      <c r="A40" s="122" t="s">
        <v>1540</v>
      </c>
      <c r="B40" s="123" t="s">
        <v>1541</v>
      </c>
      <c r="C40" s="123" t="s">
        <v>1542</v>
      </c>
      <c r="D40" s="124"/>
      <c r="E40" s="108"/>
      <c r="F40" s="108"/>
      <c r="G40" s="108"/>
      <c r="H40" s="108"/>
      <c r="I40" s="108"/>
      <c r="J40" s="109"/>
    </row>
    <row r="41" spans="1:10" ht="15" thickBot="1" x14ac:dyDescent="0.3">
      <c r="A41" s="122" t="s">
        <v>1543</v>
      </c>
      <c r="B41" s="123" t="s">
        <v>1544</v>
      </c>
      <c r="C41" s="123" t="s">
        <v>1545</v>
      </c>
      <c r="D41" s="124"/>
      <c r="E41" s="108"/>
      <c r="F41" s="108"/>
      <c r="G41" s="108"/>
      <c r="H41" s="108"/>
      <c r="I41" s="108"/>
      <c r="J41" s="109"/>
    </row>
    <row r="42" spans="1:10" x14ac:dyDescent="0.25">
      <c r="A42" s="125" t="s">
        <v>1546</v>
      </c>
      <c r="B42" s="126" t="s">
        <v>1547</v>
      </c>
      <c r="C42" s="126" t="s">
        <v>1548</v>
      </c>
      <c r="D42" s="127"/>
      <c r="E42" s="108"/>
      <c r="F42" s="108"/>
      <c r="G42" s="108"/>
      <c r="H42" s="108"/>
      <c r="I42" s="108"/>
      <c r="J42" s="109"/>
    </row>
    <row r="43" spans="1:10" ht="8.1" customHeight="1" x14ac:dyDescent="0.25">
      <c r="A43" s="107"/>
      <c r="B43" s="108"/>
      <c r="C43" s="108"/>
      <c r="D43" s="108"/>
      <c r="E43" s="108"/>
      <c r="F43" s="108"/>
      <c r="G43" s="108"/>
      <c r="H43" s="108"/>
      <c r="I43" s="108"/>
      <c r="J43" s="109"/>
    </row>
    <row r="44" spans="1:10" ht="21.95" customHeight="1" x14ac:dyDescent="0.25">
      <c r="A44" s="110" t="s">
        <v>1549</v>
      </c>
      <c r="B44" s="111"/>
      <c r="C44" s="111"/>
      <c r="D44" s="111"/>
      <c r="E44" s="111"/>
      <c r="F44" s="111"/>
      <c r="G44" s="111"/>
      <c r="H44" s="111"/>
      <c r="I44" s="111"/>
      <c r="J44" s="112"/>
    </row>
    <row r="45" spans="1:10" ht="20.100000000000001" customHeight="1" thickBot="1" x14ac:dyDescent="0.3">
      <c r="A45" s="118" t="s">
        <v>1095</v>
      </c>
      <c r="B45" s="119" t="s">
        <v>1550</v>
      </c>
      <c r="C45" s="119" t="s">
        <v>1551</v>
      </c>
      <c r="D45" s="120"/>
      <c r="E45" s="121"/>
      <c r="F45" s="121"/>
      <c r="G45" s="121"/>
      <c r="H45" s="121"/>
      <c r="I45" s="108"/>
      <c r="J45" s="109"/>
    </row>
    <row r="46" spans="1:10" ht="15" thickBot="1" x14ac:dyDescent="0.3">
      <c r="A46" s="122" t="s">
        <v>1552</v>
      </c>
      <c r="B46" s="123" t="s">
        <v>1553</v>
      </c>
      <c r="C46" s="123" t="s">
        <v>1554</v>
      </c>
      <c r="D46" s="124"/>
      <c r="E46" s="108"/>
      <c r="F46" s="108"/>
      <c r="G46" s="108"/>
      <c r="H46" s="108"/>
      <c r="I46" s="108"/>
      <c r="J46" s="109"/>
    </row>
    <row r="47" spans="1:10" ht="15" thickBot="1" x14ac:dyDescent="0.3">
      <c r="A47" s="122" t="s">
        <v>1555</v>
      </c>
      <c r="B47" s="123" t="s">
        <v>1556</v>
      </c>
      <c r="C47" s="123" t="s">
        <v>1557</v>
      </c>
      <c r="D47" s="124"/>
      <c r="E47" s="108"/>
      <c r="F47" s="108"/>
      <c r="G47" s="108"/>
      <c r="H47" s="108"/>
      <c r="I47" s="108"/>
      <c r="J47" s="109"/>
    </row>
    <row r="48" spans="1:10" ht="15" thickBot="1" x14ac:dyDescent="0.3">
      <c r="A48" s="122" t="s">
        <v>1558</v>
      </c>
      <c r="B48" s="123" t="s">
        <v>1559</v>
      </c>
      <c r="C48" s="123" t="s">
        <v>1560</v>
      </c>
      <c r="D48" s="124"/>
      <c r="E48" s="108"/>
      <c r="F48" s="108"/>
      <c r="G48" s="108"/>
      <c r="H48" s="108"/>
      <c r="I48" s="108"/>
      <c r="J48" s="109"/>
    </row>
    <row r="49" spans="1:10" ht="15" thickBot="1" x14ac:dyDescent="0.3">
      <c r="A49" s="122" t="s">
        <v>1561</v>
      </c>
      <c r="B49" s="123" t="s">
        <v>1562</v>
      </c>
      <c r="C49" s="123" t="s">
        <v>1563</v>
      </c>
      <c r="D49" s="124"/>
      <c r="E49" s="108"/>
      <c r="F49" s="108"/>
      <c r="G49" s="108"/>
      <c r="H49" s="108"/>
      <c r="I49" s="108"/>
      <c r="J49" s="109"/>
    </row>
    <row r="50" spans="1:10" ht="15" thickBot="1" x14ac:dyDescent="0.3">
      <c r="A50" s="122" t="s">
        <v>1564</v>
      </c>
      <c r="B50" s="123" t="s">
        <v>1565</v>
      </c>
      <c r="C50" s="123" t="s">
        <v>1566</v>
      </c>
      <c r="D50" s="124"/>
      <c r="E50" s="108"/>
      <c r="F50" s="108"/>
      <c r="G50" s="108"/>
      <c r="H50" s="108"/>
      <c r="I50" s="108"/>
      <c r="J50" s="109"/>
    </row>
    <row r="51" spans="1:10" ht="15" thickBot="1" x14ac:dyDescent="0.3">
      <c r="A51" s="122" t="s">
        <v>1567</v>
      </c>
      <c r="B51" s="123" t="s">
        <v>1568</v>
      </c>
      <c r="C51" s="123" t="s">
        <v>1569</v>
      </c>
      <c r="D51" s="124"/>
      <c r="E51" s="108"/>
      <c r="F51" s="108"/>
      <c r="G51" s="108"/>
      <c r="H51" s="108"/>
      <c r="I51" s="108"/>
      <c r="J51" s="109"/>
    </row>
    <row r="52" spans="1:10" x14ac:dyDescent="0.25">
      <c r="A52" s="125" t="s">
        <v>1570</v>
      </c>
      <c r="B52" s="126" t="s">
        <v>1571</v>
      </c>
      <c r="C52" s="126" t="s">
        <v>238</v>
      </c>
      <c r="D52" s="127"/>
      <c r="E52" s="108"/>
      <c r="F52" s="108"/>
      <c r="G52" s="108"/>
      <c r="H52" s="108"/>
      <c r="I52" s="108"/>
      <c r="J52" s="109"/>
    </row>
    <row r="53" spans="1:10" ht="8.1" customHeight="1" x14ac:dyDescent="0.25">
      <c r="A53" s="107"/>
      <c r="B53" s="108"/>
      <c r="C53" s="108"/>
      <c r="D53" s="108"/>
      <c r="E53" s="108"/>
      <c r="F53" s="108"/>
      <c r="G53" s="108"/>
      <c r="H53" s="108"/>
      <c r="I53" s="108"/>
      <c r="J53" s="109"/>
    </row>
    <row r="54" spans="1:10" ht="8.1" customHeight="1" x14ac:dyDescent="0.25">
      <c r="A54" s="107"/>
      <c r="B54" s="108"/>
      <c r="C54" s="108"/>
      <c r="D54" s="108"/>
      <c r="E54" s="108"/>
      <c r="F54" s="108"/>
      <c r="G54" s="108"/>
      <c r="H54" s="108"/>
      <c r="I54" s="108"/>
      <c r="J54" s="109"/>
    </row>
    <row r="55" spans="1:10" ht="30" customHeight="1" x14ac:dyDescent="0.25">
      <c r="A55" s="257" t="s">
        <v>1572</v>
      </c>
      <c r="B55" s="258"/>
      <c r="C55" s="258"/>
      <c r="D55" s="258"/>
      <c r="E55" s="258"/>
      <c r="F55" s="258"/>
      <c r="G55" s="258"/>
      <c r="H55" s="258"/>
      <c r="I55" s="257"/>
      <c r="J55" s="257"/>
    </row>
    <row r="56" spans="1:10" ht="8.1" customHeight="1" x14ac:dyDescent="0.25">
      <c r="A56" s="107"/>
      <c r="B56" s="108"/>
      <c r="C56" s="108"/>
      <c r="D56" s="108"/>
      <c r="E56" s="108"/>
      <c r="F56" s="108"/>
      <c r="G56" s="108"/>
      <c r="H56" s="108"/>
      <c r="I56" s="108"/>
      <c r="J56" s="109"/>
    </row>
    <row r="57" spans="1:10" ht="21.95" customHeight="1" x14ac:dyDescent="0.25">
      <c r="A57" s="110" t="s">
        <v>1573</v>
      </c>
      <c r="B57" s="111"/>
      <c r="C57" s="111"/>
      <c r="D57" s="111"/>
      <c r="E57" s="111"/>
      <c r="F57" s="111"/>
      <c r="G57" s="111"/>
      <c r="H57" s="111"/>
      <c r="I57" s="111"/>
      <c r="J57" s="112"/>
    </row>
    <row r="58" spans="1:10" ht="8.1" customHeight="1" x14ac:dyDescent="0.25">
      <c r="A58" s="107"/>
      <c r="B58" s="108"/>
      <c r="C58" s="108"/>
      <c r="D58" s="108"/>
      <c r="E58" s="108"/>
      <c r="F58" s="108"/>
      <c r="G58" s="108"/>
      <c r="H58" s="108"/>
      <c r="I58" s="108"/>
      <c r="J58" s="109"/>
    </row>
    <row r="59" spans="1:10" ht="20.100000000000001" customHeight="1" thickBot="1" x14ac:dyDescent="0.3">
      <c r="A59" s="128" t="s">
        <v>251</v>
      </c>
      <c r="B59" s="129" t="s">
        <v>181</v>
      </c>
      <c r="C59" s="129" t="s">
        <v>1574</v>
      </c>
      <c r="D59" s="130" t="s">
        <v>1574</v>
      </c>
      <c r="E59" s="121"/>
      <c r="F59" s="121"/>
      <c r="G59" s="121"/>
      <c r="H59" s="121"/>
      <c r="I59" s="108"/>
      <c r="J59" s="109"/>
    </row>
    <row r="60" spans="1:10" ht="15" thickBot="1" x14ac:dyDescent="0.3">
      <c r="A60" s="131" t="s">
        <v>252</v>
      </c>
      <c r="B60" s="132">
        <f>Rapport_Complet!B6</f>
        <v>130</v>
      </c>
      <c r="C60" s="132" t="s">
        <v>1575</v>
      </c>
      <c r="D60" s="133"/>
      <c r="E60" s="108"/>
      <c r="F60" s="108"/>
      <c r="G60" s="108"/>
      <c r="H60" s="108"/>
      <c r="I60" s="108"/>
      <c r="J60" s="109"/>
    </row>
    <row r="61" spans="1:10" ht="15" thickBot="1" x14ac:dyDescent="0.3">
      <c r="A61" s="134" t="s">
        <v>253</v>
      </c>
      <c r="B61" s="135">
        <f>Rapport_Complet!B10</f>
        <v>36.086923076923071</v>
      </c>
      <c r="C61" s="136" t="s">
        <v>1575</v>
      </c>
      <c r="D61" s="137"/>
      <c r="E61" s="108"/>
      <c r="F61" s="108"/>
      <c r="G61" s="108"/>
      <c r="H61" s="108"/>
      <c r="I61" s="108"/>
      <c r="J61" s="109"/>
    </row>
    <row r="62" spans="1:10" ht="15" thickBot="1" x14ac:dyDescent="0.3">
      <c r="A62" s="131" t="s">
        <v>254</v>
      </c>
      <c r="B62" s="138">
        <f>Rapport_Complet!B11</f>
        <v>33</v>
      </c>
      <c r="C62" s="132" t="s">
        <v>1575</v>
      </c>
      <c r="D62" s="133"/>
      <c r="E62" s="108"/>
      <c r="F62" s="108"/>
      <c r="G62" s="108"/>
      <c r="H62" s="108"/>
      <c r="I62" s="108"/>
      <c r="J62" s="109"/>
    </row>
    <row r="63" spans="1:10" ht="15" thickBot="1" x14ac:dyDescent="0.3">
      <c r="A63" s="134" t="s">
        <v>1576</v>
      </c>
      <c r="B63" s="135">
        <f>Rapport_Complet!B13</f>
        <v>25.733801143666579</v>
      </c>
      <c r="C63" s="136" t="s">
        <v>1575</v>
      </c>
      <c r="D63" s="137"/>
      <c r="E63" s="108"/>
      <c r="F63" s="108"/>
      <c r="G63" s="108"/>
      <c r="H63" s="108"/>
      <c r="I63" s="108"/>
      <c r="J63" s="109"/>
    </row>
    <row r="64" spans="1:10" ht="15" thickBot="1" x14ac:dyDescent="0.3">
      <c r="A64" s="131" t="s">
        <v>1577</v>
      </c>
      <c r="B64" s="132">
        <f>Rapport_Complet!B17</f>
        <v>74</v>
      </c>
      <c r="C64" s="132" t="s">
        <v>1575</v>
      </c>
      <c r="D64" s="133"/>
      <c r="E64" s="108"/>
      <c r="F64" s="108"/>
      <c r="G64" s="108"/>
      <c r="H64" s="108"/>
      <c r="I64" s="108"/>
      <c r="J64" s="109"/>
    </row>
    <row r="65" spans="1:10" ht="15" thickBot="1" x14ac:dyDescent="0.3">
      <c r="A65" s="134" t="s">
        <v>1578</v>
      </c>
      <c r="B65" s="135">
        <f>Rapport_Complet!C17</f>
        <v>56.92307692307692</v>
      </c>
      <c r="C65" s="136" t="s">
        <v>1575</v>
      </c>
      <c r="D65" s="137"/>
      <c r="E65" s="108"/>
      <c r="F65" s="108"/>
      <c r="G65" s="108"/>
      <c r="H65" s="108"/>
      <c r="I65" s="108"/>
      <c r="J65" s="109"/>
    </row>
    <row r="66" spans="1:10" ht="15" thickBot="1" x14ac:dyDescent="0.3">
      <c r="A66" s="131" t="s">
        <v>515</v>
      </c>
      <c r="B66" s="138">
        <f>Rapport_Complet!B33</f>
        <v>24.853846153846153</v>
      </c>
      <c r="C66" s="132" t="s">
        <v>1575</v>
      </c>
      <c r="D66" s="133"/>
      <c r="E66" s="108"/>
      <c r="F66" s="108"/>
      <c r="G66" s="108"/>
      <c r="H66" s="108"/>
      <c r="I66" s="108"/>
      <c r="J66" s="109"/>
    </row>
    <row r="67" spans="1:10" ht="15" thickBot="1" x14ac:dyDescent="0.3">
      <c r="A67" s="134" t="s">
        <v>1579</v>
      </c>
      <c r="B67" s="135">
        <f>Rapport_Complet!B34</f>
        <v>15</v>
      </c>
      <c r="C67" s="136" t="s">
        <v>1575</v>
      </c>
      <c r="D67" s="137"/>
      <c r="E67" s="108"/>
      <c r="F67" s="108"/>
      <c r="G67" s="108"/>
      <c r="H67" s="108"/>
      <c r="I67" s="108"/>
      <c r="J67" s="109"/>
    </row>
    <row r="68" spans="1:10" x14ac:dyDescent="0.25">
      <c r="A68" s="139" t="s">
        <v>1580</v>
      </c>
      <c r="B68" s="140">
        <f>Rapport_Complet!B22</f>
        <v>68</v>
      </c>
      <c r="C68" s="140" t="s">
        <v>1575</v>
      </c>
      <c r="D68" s="141"/>
      <c r="E68" s="108"/>
      <c r="F68" s="108"/>
      <c r="G68" s="108"/>
      <c r="H68" s="108"/>
      <c r="I68" s="108"/>
      <c r="J68" s="109"/>
    </row>
    <row r="69" spans="1:10" ht="8.1" customHeight="1" x14ac:dyDescent="0.25">
      <c r="A69" s="107"/>
      <c r="B69" s="108"/>
      <c r="C69" s="108"/>
      <c r="D69" s="108"/>
      <c r="E69" s="108"/>
      <c r="F69" s="108"/>
      <c r="G69" s="108"/>
      <c r="H69" s="108"/>
      <c r="I69" s="108"/>
      <c r="J69" s="109"/>
    </row>
    <row r="70" spans="1:10" ht="8.1" customHeight="1" x14ac:dyDescent="0.25">
      <c r="A70" s="107"/>
      <c r="B70" s="108"/>
      <c r="C70" s="108"/>
      <c r="D70" s="108"/>
      <c r="E70" s="108"/>
      <c r="F70" s="108"/>
      <c r="G70" s="108"/>
      <c r="H70" s="108"/>
      <c r="I70" s="108"/>
      <c r="J70" s="109"/>
    </row>
    <row r="71" spans="1:10" ht="21.95" customHeight="1" x14ac:dyDescent="0.25">
      <c r="A71" s="110" t="s">
        <v>1581</v>
      </c>
      <c r="B71" s="111"/>
      <c r="C71" s="111"/>
      <c r="D71" s="111"/>
      <c r="E71" s="111"/>
      <c r="F71" s="111"/>
      <c r="G71" s="111"/>
      <c r="H71" s="111"/>
      <c r="I71" s="111"/>
      <c r="J71" s="112"/>
    </row>
    <row r="72" spans="1:10" ht="8.1" customHeight="1" x14ac:dyDescent="0.25">
      <c r="A72" s="107"/>
      <c r="B72" s="108"/>
      <c r="C72" s="108"/>
      <c r="D72" s="108"/>
      <c r="E72" s="108"/>
      <c r="F72" s="108"/>
      <c r="G72" s="108"/>
      <c r="H72" s="108"/>
      <c r="I72" s="108"/>
      <c r="J72" s="109"/>
    </row>
    <row r="73" spans="1:10" ht="20.100000000000001" customHeight="1" thickBot="1" x14ac:dyDescent="0.3">
      <c r="A73" s="128" t="s">
        <v>200</v>
      </c>
      <c r="B73" s="129" t="s">
        <v>228</v>
      </c>
      <c r="C73" s="129" t="s">
        <v>188</v>
      </c>
      <c r="D73" s="130"/>
      <c r="E73" s="121"/>
      <c r="F73" s="121"/>
      <c r="G73" s="121"/>
      <c r="H73" s="121"/>
      <c r="I73" s="108"/>
      <c r="J73" s="109"/>
    </row>
    <row r="74" spans="1:10" ht="15" thickBot="1" x14ac:dyDescent="0.3">
      <c r="A74" s="134" t="s">
        <v>1582</v>
      </c>
      <c r="B74" s="136">
        <f>Rapport_Complet!B89</f>
        <v>43</v>
      </c>
      <c r="C74" s="135">
        <f>Rapport_Complet!C89</f>
        <v>33.076923076923073</v>
      </c>
      <c r="D74" s="137"/>
      <c r="E74" s="108"/>
      <c r="F74" s="108"/>
      <c r="G74" s="108"/>
      <c r="H74" s="108"/>
      <c r="I74" s="108"/>
      <c r="J74" s="109"/>
    </row>
    <row r="75" spans="1:10" ht="15" thickBot="1" x14ac:dyDescent="0.3">
      <c r="A75" s="134" t="s">
        <v>1583</v>
      </c>
      <c r="B75" s="136">
        <f>Rapport_Complet!B90</f>
        <v>58</v>
      </c>
      <c r="C75" s="135">
        <f>Rapport_Complet!C90</f>
        <v>44.61538461538462</v>
      </c>
      <c r="D75" s="137"/>
      <c r="E75" s="108"/>
      <c r="F75" s="108"/>
      <c r="G75" s="108"/>
      <c r="H75" s="108"/>
      <c r="I75" s="108"/>
      <c r="J75" s="109"/>
    </row>
    <row r="76" spans="1:10" ht="15" thickBot="1" x14ac:dyDescent="0.3">
      <c r="A76" s="134" t="s">
        <v>1584</v>
      </c>
      <c r="B76" s="136">
        <f>Rapport_Complet!B91</f>
        <v>29</v>
      </c>
      <c r="C76" s="135">
        <f>Rapport_Complet!C91</f>
        <v>22.30769230769231</v>
      </c>
      <c r="D76" s="137"/>
      <c r="E76" s="108"/>
      <c r="F76" s="108"/>
      <c r="G76" s="108"/>
      <c r="H76" s="108"/>
      <c r="I76" s="108"/>
      <c r="J76" s="109"/>
    </row>
    <row r="77" spans="1:10" x14ac:dyDescent="0.25">
      <c r="A77" s="142" t="s">
        <v>202</v>
      </c>
      <c r="B77" s="143">
        <f>Rapport_Complet!B92</f>
        <v>130</v>
      </c>
      <c r="C77" s="143">
        <v>100</v>
      </c>
      <c r="D77" s="144"/>
      <c r="E77" s="108"/>
      <c r="F77" s="108"/>
      <c r="G77" s="108"/>
      <c r="H77" s="108"/>
      <c r="I77" s="108"/>
      <c r="J77" s="109"/>
    </row>
    <row r="78" spans="1:10" ht="8.1" customHeight="1" x14ac:dyDescent="0.25">
      <c r="A78" s="107"/>
      <c r="B78" s="108"/>
      <c r="C78" s="108"/>
      <c r="D78" s="108"/>
      <c r="E78" s="108"/>
      <c r="F78" s="108"/>
      <c r="G78" s="108"/>
      <c r="H78" s="108"/>
      <c r="I78" s="108"/>
      <c r="J78" s="109"/>
    </row>
    <row r="79" spans="1:10" ht="8.1" customHeight="1" x14ac:dyDescent="0.25">
      <c r="A79" s="107"/>
      <c r="B79" s="108"/>
      <c r="C79" s="108"/>
      <c r="D79" s="108"/>
      <c r="E79" s="108"/>
      <c r="F79" s="108"/>
      <c r="G79" s="108"/>
      <c r="H79" s="108"/>
      <c r="I79" s="108"/>
      <c r="J79" s="109"/>
    </row>
    <row r="80" spans="1:10" ht="21.95" customHeight="1" x14ac:dyDescent="0.25">
      <c r="A80" s="110" t="s">
        <v>1585</v>
      </c>
      <c r="B80" s="111"/>
      <c r="C80" s="111"/>
      <c r="D80" s="111"/>
      <c r="E80" s="111"/>
      <c r="F80" s="111"/>
      <c r="G80" s="111"/>
      <c r="H80" s="111"/>
      <c r="I80" s="111"/>
      <c r="J80" s="112"/>
    </row>
    <row r="81" spans="1:10" ht="8.1" customHeight="1" x14ac:dyDescent="0.25">
      <c r="A81" s="107"/>
      <c r="B81" s="108"/>
      <c r="C81" s="108"/>
      <c r="D81" s="108"/>
      <c r="E81" s="108"/>
      <c r="F81" s="108"/>
      <c r="G81" s="108"/>
      <c r="H81" s="108"/>
      <c r="I81" s="108"/>
      <c r="J81" s="109"/>
    </row>
    <row r="82" spans="1:10" ht="20.100000000000001" customHeight="1" thickBot="1" x14ac:dyDescent="0.3">
      <c r="A82" s="128" t="s">
        <v>225</v>
      </c>
      <c r="B82" s="129" t="s">
        <v>228</v>
      </c>
      <c r="C82" s="129" t="s">
        <v>188</v>
      </c>
      <c r="D82" s="129" t="s">
        <v>523</v>
      </c>
      <c r="E82" s="130"/>
      <c r="F82" s="121"/>
      <c r="G82" s="121"/>
      <c r="H82" s="121"/>
      <c r="I82" s="108"/>
      <c r="J82" s="109"/>
    </row>
    <row r="83" spans="1:10" ht="15" thickBot="1" x14ac:dyDescent="0.3">
      <c r="A83" s="134" t="s">
        <v>19</v>
      </c>
      <c r="B83" s="136">
        <f>Rapport_Complet!B47</f>
        <v>75</v>
      </c>
      <c r="C83" s="145">
        <f>Rapport_Complet!C47</f>
        <v>57.692307692307686</v>
      </c>
      <c r="D83" s="136">
        <f>Analyse_Statistique!F15</f>
        <v>55.57692307692308</v>
      </c>
      <c r="E83" s="137"/>
      <c r="F83" s="108"/>
      <c r="G83" s="108"/>
      <c r="H83" s="108"/>
      <c r="I83" s="108"/>
      <c r="J83" s="109"/>
    </row>
    <row r="84" spans="1:10" ht="15" thickBot="1" x14ac:dyDescent="0.3">
      <c r="A84" s="134" t="s">
        <v>40</v>
      </c>
      <c r="B84" s="136">
        <f>Rapport_Complet!B48</f>
        <v>31</v>
      </c>
      <c r="C84" s="135">
        <f>Rapport_Complet!C48</f>
        <v>23.846153846153847</v>
      </c>
      <c r="D84" s="136">
        <f>Analyse_Statistique!F16</f>
        <v>6.9230769230769235E-2</v>
      </c>
      <c r="E84" s="137"/>
      <c r="F84" s="108"/>
      <c r="G84" s="108"/>
      <c r="H84" s="108"/>
      <c r="I84" s="108"/>
      <c r="J84" s="109"/>
    </row>
    <row r="85" spans="1:10" ht="15" thickBot="1" x14ac:dyDescent="0.3">
      <c r="A85" s="134" t="s">
        <v>28</v>
      </c>
      <c r="B85" s="136">
        <f>Rapport_Complet!B49</f>
        <v>19</v>
      </c>
      <c r="C85" s="135">
        <f>Rapport_Complet!C49</f>
        <v>14.615384615384617</v>
      </c>
      <c r="D85" s="136">
        <f>Analyse_Statistique!F17</f>
        <v>5.6076923076923073</v>
      </c>
      <c r="E85" s="137"/>
      <c r="F85" s="108"/>
      <c r="G85" s="108"/>
      <c r="H85" s="108"/>
      <c r="I85" s="108"/>
      <c r="J85" s="109"/>
    </row>
    <row r="86" spans="1:10" ht="15" thickBot="1" x14ac:dyDescent="0.3">
      <c r="A86" s="134" t="s">
        <v>144</v>
      </c>
      <c r="B86" s="136">
        <f>Rapport_Complet!B50</f>
        <v>5</v>
      </c>
      <c r="C86" s="135">
        <f>Rapport_Complet!C50</f>
        <v>3.8461538461538463</v>
      </c>
      <c r="D86" s="136">
        <f>Analyse_Statistique!F18</f>
        <v>23.26923076923077</v>
      </c>
      <c r="E86" s="137"/>
      <c r="F86" s="108"/>
      <c r="G86" s="108"/>
      <c r="H86" s="108"/>
      <c r="I86" s="108"/>
      <c r="J86" s="109"/>
    </row>
    <row r="87" spans="1:10" x14ac:dyDescent="0.25">
      <c r="A87" s="142" t="s">
        <v>202</v>
      </c>
      <c r="B87" s="143">
        <f>SUM(B83:B86)</f>
        <v>130</v>
      </c>
      <c r="C87" s="143">
        <v>100</v>
      </c>
      <c r="D87" s="143">
        <f>Analyse_Statistique!F19</f>
        <v>84.523076923076928</v>
      </c>
      <c r="E87" s="146"/>
      <c r="F87" s="108"/>
      <c r="G87" s="108"/>
      <c r="H87" s="108"/>
      <c r="I87" s="108"/>
      <c r="J87" s="109"/>
    </row>
    <row r="88" spans="1:10" ht="8.1" customHeight="1" x14ac:dyDescent="0.25">
      <c r="A88" s="107"/>
      <c r="B88" s="108"/>
      <c r="C88" s="108"/>
      <c r="D88" s="108"/>
      <c r="E88" s="108"/>
      <c r="F88" s="108"/>
      <c r="G88" s="108"/>
      <c r="H88" s="108"/>
      <c r="I88" s="108"/>
      <c r="J88" s="109"/>
    </row>
    <row r="89" spans="1:10" ht="45" customHeight="1" x14ac:dyDescent="0.25">
      <c r="A89" s="262" t="s">
        <v>1586</v>
      </c>
      <c r="B89" s="263"/>
      <c r="C89" s="263"/>
      <c r="D89" s="263"/>
      <c r="E89" s="263"/>
      <c r="F89" s="263"/>
      <c r="G89" s="263"/>
      <c r="H89" s="263"/>
      <c r="I89" s="264"/>
      <c r="J89" s="264"/>
    </row>
    <row r="90" spans="1:10" ht="8.1" customHeight="1" x14ac:dyDescent="0.25">
      <c r="A90" s="107"/>
      <c r="B90" s="108"/>
      <c r="C90" s="108"/>
      <c r="D90" s="108"/>
      <c r="E90" s="108"/>
      <c r="F90" s="108"/>
      <c r="G90" s="108"/>
      <c r="H90" s="108"/>
      <c r="I90" s="108"/>
      <c r="J90" s="109"/>
    </row>
    <row r="91" spans="1:10" ht="8.1" customHeight="1" x14ac:dyDescent="0.25">
      <c r="A91" s="107"/>
      <c r="B91" s="108"/>
      <c r="C91" s="108"/>
      <c r="D91" s="108"/>
      <c r="E91" s="108"/>
      <c r="F91" s="108"/>
      <c r="G91" s="108"/>
      <c r="H91" s="108"/>
      <c r="I91" s="108"/>
      <c r="J91" s="109"/>
    </row>
    <row r="92" spans="1:10" ht="21.95" customHeight="1" x14ac:dyDescent="0.25">
      <c r="A92" s="110" t="s">
        <v>1587</v>
      </c>
      <c r="B92" s="111"/>
      <c r="C92" s="111"/>
      <c r="D92" s="111"/>
      <c r="E92" s="111"/>
      <c r="F92" s="111"/>
      <c r="G92" s="111"/>
      <c r="H92" s="111"/>
      <c r="I92" s="111"/>
      <c r="J92" s="112"/>
    </row>
    <row r="93" spans="1:10" ht="8.1" customHeight="1" x14ac:dyDescent="0.25">
      <c r="A93" s="107"/>
      <c r="B93" s="108"/>
      <c r="C93" s="108"/>
      <c r="D93" s="108"/>
      <c r="E93" s="108"/>
      <c r="F93" s="108"/>
      <c r="G93" s="108"/>
      <c r="H93" s="108"/>
      <c r="I93" s="108"/>
      <c r="J93" s="109"/>
    </row>
    <row r="94" spans="1:10" ht="20.100000000000001" customHeight="1" thickBot="1" x14ac:dyDescent="0.3">
      <c r="A94" s="128" t="s">
        <v>1588</v>
      </c>
      <c r="B94" s="129" t="s">
        <v>228</v>
      </c>
      <c r="C94" s="129" t="s">
        <v>188</v>
      </c>
      <c r="D94" s="130"/>
      <c r="E94" s="121"/>
      <c r="F94" s="121"/>
      <c r="G94" s="121"/>
      <c r="H94" s="121"/>
      <c r="I94" s="108"/>
      <c r="J94" s="109"/>
    </row>
    <row r="95" spans="1:10" ht="15" thickBot="1" x14ac:dyDescent="0.3">
      <c r="A95" s="131" t="s">
        <v>35</v>
      </c>
      <c r="B95" s="132">
        <f>Rapport_Complet!B71</f>
        <v>25</v>
      </c>
      <c r="C95" s="138">
        <f>Rapport_Complet!C71</f>
        <v>19.230769230769234</v>
      </c>
      <c r="D95" s="133"/>
      <c r="E95" s="108"/>
      <c r="F95" s="108"/>
      <c r="G95" s="108"/>
      <c r="H95" s="108"/>
      <c r="I95" s="108"/>
      <c r="J95" s="109"/>
    </row>
    <row r="96" spans="1:10" ht="15" thickBot="1" x14ac:dyDescent="0.3">
      <c r="A96" s="134" t="s">
        <v>1589</v>
      </c>
      <c r="B96" s="136">
        <f>Rapport_Complet!B72</f>
        <v>20</v>
      </c>
      <c r="C96" s="135">
        <f>Rapport_Complet!C72</f>
        <v>15.384615384615385</v>
      </c>
      <c r="D96" s="137"/>
      <c r="E96" s="108"/>
      <c r="F96" s="108"/>
      <c r="G96" s="108"/>
      <c r="H96" s="108"/>
      <c r="I96" s="108"/>
      <c r="J96" s="109"/>
    </row>
    <row r="97" spans="1:10" ht="15" thickBot="1" x14ac:dyDescent="0.3">
      <c r="A97" s="131" t="s">
        <v>64</v>
      </c>
      <c r="B97" s="132">
        <f>Rapport_Complet!B73</f>
        <v>15</v>
      </c>
      <c r="C97" s="138">
        <f>Rapport_Complet!C73</f>
        <v>11.538461538461538</v>
      </c>
      <c r="D97" s="133"/>
      <c r="E97" s="108"/>
      <c r="F97" s="108"/>
      <c r="G97" s="108"/>
      <c r="H97" s="108"/>
      <c r="I97" s="108"/>
      <c r="J97" s="109"/>
    </row>
    <row r="98" spans="1:10" ht="15" thickBot="1" x14ac:dyDescent="0.3">
      <c r="A98" s="134" t="s">
        <v>70</v>
      </c>
      <c r="B98" s="136">
        <f>Rapport_Complet!B74</f>
        <v>8</v>
      </c>
      <c r="C98" s="135">
        <f>Rapport_Complet!C74</f>
        <v>6.1538461538461542</v>
      </c>
      <c r="D98" s="137"/>
      <c r="E98" s="108"/>
      <c r="F98" s="108"/>
      <c r="G98" s="108"/>
      <c r="H98" s="108"/>
      <c r="I98" s="108"/>
      <c r="J98" s="109"/>
    </row>
    <row r="99" spans="1:10" x14ac:dyDescent="0.25">
      <c r="A99" s="139" t="s">
        <v>26</v>
      </c>
      <c r="B99" s="140">
        <f>Rapport_Complet!B75</f>
        <v>7</v>
      </c>
      <c r="C99" s="147">
        <f>Rapport_Complet!C75</f>
        <v>5.384615384615385</v>
      </c>
      <c r="D99" s="141"/>
      <c r="E99" s="108"/>
      <c r="F99" s="108"/>
      <c r="G99" s="108"/>
      <c r="H99" s="108"/>
      <c r="I99" s="108"/>
      <c r="J99" s="109"/>
    </row>
    <row r="100" spans="1:10" ht="8.1" customHeight="1" x14ac:dyDescent="0.25">
      <c r="A100" s="107"/>
      <c r="B100" s="108"/>
      <c r="C100" s="108"/>
      <c r="D100" s="108"/>
      <c r="E100" s="108"/>
      <c r="F100" s="108"/>
      <c r="G100" s="108"/>
      <c r="H100" s="108"/>
      <c r="I100" s="108"/>
      <c r="J100" s="109"/>
    </row>
    <row r="101" spans="1:10" x14ac:dyDescent="0.25">
      <c r="A101" s="116" t="s">
        <v>1590</v>
      </c>
      <c r="B101" s="108">
        <f>Statistic_Analysis!B35</f>
        <v>35</v>
      </c>
      <c r="C101" s="108" t="s">
        <v>1591</v>
      </c>
      <c r="D101" s="108">
        <f>Statistic_Analysis!C35</f>
        <v>0.26919999999999999</v>
      </c>
      <c r="E101" s="108"/>
      <c r="F101" s="108"/>
      <c r="G101" s="108"/>
      <c r="H101" s="108"/>
      <c r="I101" s="108"/>
      <c r="J101" s="109"/>
    </row>
    <row r="102" spans="1:10" ht="8.1" customHeight="1" x14ac:dyDescent="0.25">
      <c r="A102" s="107"/>
      <c r="B102" s="108"/>
      <c r="C102" s="108"/>
      <c r="D102" s="108"/>
      <c r="E102" s="108"/>
      <c r="F102" s="108"/>
      <c r="G102" s="108"/>
      <c r="H102" s="108"/>
      <c r="I102" s="108"/>
      <c r="J102" s="109"/>
    </row>
    <row r="103" spans="1:10" ht="8.1" customHeight="1" x14ac:dyDescent="0.25">
      <c r="A103" s="107"/>
      <c r="B103" s="108"/>
      <c r="C103" s="108"/>
      <c r="D103" s="108"/>
      <c r="E103" s="108"/>
      <c r="F103" s="108"/>
      <c r="G103" s="108"/>
      <c r="H103" s="108"/>
      <c r="I103" s="108"/>
      <c r="J103" s="109"/>
    </row>
    <row r="104" spans="1:10" ht="21.95" customHeight="1" x14ac:dyDescent="0.25">
      <c r="A104" s="110" t="s">
        <v>1592</v>
      </c>
      <c r="B104" s="111"/>
      <c r="C104" s="111"/>
      <c r="D104" s="111"/>
      <c r="E104" s="111"/>
      <c r="F104" s="111"/>
      <c r="G104" s="111"/>
      <c r="H104" s="111"/>
      <c r="I104" s="111"/>
      <c r="J104" s="112"/>
    </row>
    <row r="105" spans="1:10" ht="8.1" customHeight="1" x14ac:dyDescent="0.25">
      <c r="A105" s="107"/>
      <c r="B105" s="108"/>
      <c r="C105" s="108"/>
      <c r="D105" s="108"/>
      <c r="E105" s="108"/>
      <c r="F105" s="108"/>
      <c r="G105" s="108"/>
      <c r="H105" s="108"/>
      <c r="I105" s="108"/>
      <c r="J105" s="109"/>
    </row>
    <row r="106" spans="1:10" ht="20.100000000000001" customHeight="1" thickBot="1" x14ac:dyDescent="0.3">
      <c r="A106" s="128" t="s">
        <v>226</v>
      </c>
      <c r="B106" s="129" t="s">
        <v>235</v>
      </c>
      <c r="C106" s="129" t="s">
        <v>236</v>
      </c>
      <c r="D106" s="129" t="s">
        <v>393</v>
      </c>
      <c r="E106" s="129" t="s">
        <v>241</v>
      </c>
      <c r="F106" s="129" t="s">
        <v>230</v>
      </c>
      <c r="G106" s="129" t="s">
        <v>231</v>
      </c>
      <c r="H106" s="130" t="s">
        <v>232</v>
      </c>
      <c r="I106" s="108"/>
      <c r="J106" s="109"/>
    </row>
    <row r="107" spans="1:10" ht="15" thickBot="1" x14ac:dyDescent="0.3">
      <c r="A107" s="134" t="s">
        <v>237</v>
      </c>
      <c r="B107" s="136">
        <f>Statistic_Analysis!B47</f>
        <v>0.31</v>
      </c>
      <c r="C107" s="136">
        <f>Statistic_Analysis!C47</f>
        <v>0.45</v>
      </c>
      <c r="D107" s="136">
        <f>Statistic_Analysis!D47</f>
        <v>0.68920000000000003</v>
      </c>
      <c r="E107" s="136">
        <f>Statistic_Analysis!E47</f>
        <v>0.49070000000000003</v>
      </c>
      <c r="F107" s="136">
        <f>Statistic_Analysis!F47</f>
        <v>1.3635999999999999</v>
      </c>
      <c r="G107" s="136">
        <f>Statistic_Analysis!G47</f>
        <v>0.5645</v>
      </c>
      <c r="H107" s="137">
        <f>Statistic_Analysis!H47</f>
        <v>3.2942</v>
      </c>
      <c r="I107" s="108"/>
      <c r="J107" s="109"/>
    </row>
    <row r="108" spans="1:10" ht="15" thickBot="1" x14ac:dyDescent="0.3">
      <c r="A108" s="131" t="s">
        <v>377</v>
      </c>
      <c r="B108" s="132">
        <f>Statistic_Analysis!B48</f>
        <v>-2.5000000000000001E-2</v>
      </c>
      <c r="C108" s="132">
        <f>Statistic_Analysis!C48</f>
        <v>8.0000000000000002E-3</v>
      </c>
      <c r="D108" s="132">
        <f>Statistic_Analysis!D48</f>
        <v>-3.125</v>
      </c>
      <c r="E108" s="132">
        <f>Statistic_Analysis!E48</f>
        <v>1.8E-3</v>
      </c>
      <c r="F108" s="132">
        <f>Statistic_Analysis!F48</f>
        <v>0.97529999999999994</v>
      </c>
      <c r="G108" s="132">
        <f>Statistic_Analysis!G48</f>
        <v>0.96009999999999995</v>
      </c>
      <c r="H108" s="133">
        <f>Statistic_Analysis!H48</f>
        <v>0.99070000000000003</v>
      </c>
      <c r="I108" s="108"/>
      <c r="J108" s="109"/>
    </row>
    <row r="109" spans="1:10" ht="15" thickBot="1" x14ac:dyDescent="0.3">
      <c r="A109" s="134" t="s">
        <v>394</v>
      </c>
      <c r="B109" s="136">
        <f>Statistic_Analysis!B49</f>
        <v>0.04</v>
      </c>
      <c r="C109" s="136">
        <f>Statistic_Analysis!C49</f>
        <v>0.38</v>
      </c>
      <c r="D109" s="136">
        <f>Statistic_Analysis!D49</f>
        <v>0.104</v>
      </c>
      <c r="E109" s="136">
        <f>Statistic_Analysis!E49</f>
        <v>0.91710000000000003</v>
      </c>
      <c r="F109" s="136">
        <f>Statistic_Analysis!F49</f>
        <v>1.0403</v>
      </c>
      <c r="G109" s="136">
        <f>Statistic_Analysis!G49</f>
        <v>0.49399999999999999</v>
      </c>
      <c r="H109" s="137">
        <f>Statistic_Analysis!H49</f>
        <v>2.1909000000000001</v>
      </c>
      <c r="I109" s="108"/>
      <c r="J109" s="109"/>
    </row>
    <row r="110" spans="1:10" ht="15" thickBot="1" x14ac:dyDescent="0.3">
      <c r="A110" s="131" t="s">
        <v>240</v>
      </c>
      <c r="B110" s="132">
        <f>Statistic_Analysis!B50</f>
        <v>4.7240000000000002</v>
      </c>
      <c r="C110" s="132">
        <f>Statistic_Analysis!C50</f>
        <v>0.52</v>
      </c>
      <c r="D110" s="132">
        <f>Statistic_Analysis!D50</f>
        <v>9.0853999999999999</v>
      </c>
      <c r="E110" s="132" t="str">
        <f>Statistic_Analysis!E50</f>
        <v>&lt;0.0001</v>
      </c>
      <c r="F110" s="148">
        <f>Statistic_Analysis!F50</f>
        <v>112.66670000000001</v>
      </c>
      <c r="G110" s="132">
        <f>Statistic_Analysis!G50</f>
        <v>40.659500000000001</v>
      </c>
      <c r="H110" s="133">
        <f>Statistic_Analysis!H50</f>
        <v>312.1968</v>
      </c>
      <c r="I110" s="108"/>
      <c r="J110" s="109"/>
    </row>
    <row r="111" spans="1:10" ht="15" thickBot="1" x14ac:dyDescent="0.3">
      <c r="A111" s="134" t="s">
        <v>536</v>
      </c>
      <c r="B111" s="136">
        <f>Statistic_Analysis!B51</f>
        <v>0.185</v>
      </c>
      <c r="C111" s="136">
        <f>Statistic_Analysis!C51</f>
        <v>0.41</v>
      </c>
      <c r="D111" s="136">
        <f>Statistic_Analysis!D51</f>
        <v>0.45119999999999999</v>
      </c>
      <c r="E111" s="136">
        <f>Statistic_Analysis!E51</f>
        <v>0.65180000000000005</v>
      </c>
      <c r="F111" s="136">
        <f>Statistic_Analysis!F51</f>
        <v>1.2033</v>
      </c>
      <c r="G111" s="136">
        <f>Statistic_Analysis!G51</f>
        <v>0.53849999999999998</v>
      </c>
      <c r="H111" s="137">
        <f>Statistic_Analysis!H51</f>
        <v>2.6878000000000002</v>
      </c>
      <c r="I111" s="108"/>
      <c r="J111" s="109"/>
    </row>
    <row r="112" spans="1:10" x14ac:dyDescent="0.25">
      <c r="A112" s="139" t="s">
        <v>378</v>
      </c>
      <c r="B112" s="140">
        <f>Statistic_Analysis!B52</f>
        <v>1.2E-2</v>
      </c>
      <c r="C112" s="140">
        <f>Statistic_Analysis!C52</f>
        <v>5.0000000000000001E-3</v>
      </c>
      <c r="D112" s="140">
        <f>Statistic_Analysis!D52</f>
        <v>2.4</v>
      </c>
      <c r="E112" s="140">
        <f>Statistic_Analysis!E52</f>
        <v>1.6400000000000001E-2</v>
      </c>
      <c r="F112" s="140">
        <f>Statistic_Analysis!F52</f>
        <v>1.0121</v>
      </c>
      <c r="G112" s="140">
        <f>Statistic_Analysis!G52</f>
        <v>1.0022</v>
      </c>
      <c r="H112" s="141">
        <f>Statistic_Analysis!H52</f>
        <v>1.022</v>
      </c>
      <c r="I112" s="108"/>
      <c r="J112" s="109"/>
    </row>
    <row r="113" spans="1:10" ht="8.1" customHeight="1" x14ac:dyDescent="0.25">
      <c r="A113" s="107"/>
      <c r="B113" s="108"/>
      <c r="C113" s="108"/>
      <c r="D113" s="108"/>
      <c r="E113" s="108"/>
      <c r="F113" s="108"/>
      <c r="G113" s="108"/>
      <c r="H113" s="108"/>
      <c r="I113" s="108"/>
      <c r="J113" s="109"/>
    </row>
    <row r="114" spans="1:10" x14ac:dyDescent="0.25">
      <c r="A114" s="149" t="s">
        <v>1593</v>
      </c>
      <c r="B114" s="150"/>
      <c r="C114" s="150"/>
      <c r="D114" s="108"/>
      <c r="E114" s="108"/>
      <c r="F114" s="108"/>
      <c r="G114" s="108"/>
      <c r="H114" s="108"/>
      <c r="I114" s="108"/>
      <c r="J114" s="109"/>
    </row>
    <row r="115" spans="1:10" x14ac:dyDescent="0.25">
      <c r="A115" s="107" t="s">
        <v>396</v>
      </c>
      <c r="B115" s="108">
        <f>Statistic_Analysis!B56</f>
        <v>0.42149999999999999</v>
      </c>
      <c r="C115" s="108"/>
      <c r="D115" s="108"/>
      <c r="E115" s="108"/>
      <c r="F115" s="108"/>
      <c r="G115" s="108"/>
      <c r="H115" s="108"/>
      <c r="I115" s="108"/>
      <c r="J115" s="109"/>
    </row>
    <row r="116" spans="1:10" x14ac:dyDescent="0.25">
      <c r="A116" s="151" t="s">
        <v>245</v>
      </c>
      <c r="B116" s="152">
        <f>Statistic_Analysis!B57</f>
        <v>0.94199999999999995</v>
      </c>
      <c r="C116" s="153"/>
      <c r="D116" s="108"/>
      <c r="E116" s="108"/>
      <c r="F116" s="108"/>
      <c r="G116" s="108"/>
      <c r="H116" s="108"/>
      <c r="I116" s="108"/>
      <c r="J116" s="109"/>
    </row>
    <row r="117" spans="1:10" x14ac:dyDescent="0.25">
      <c r="A117" s="107" t="s">
        <v>246</v>
      </c>
      <c r="B117" s="154">
        <f>Statistic_Analysis!B58</f>
        <v>0.9</v>
      </c>
      <c r="C117" s="108"/>
      <c r="D117" s="108"/>
      <c r="E117" s="108"/>
      <c r="F117" s="108"/>
      <c r="G117" s="108"/>
      <c r="H117" s="108"/>
      <c r="I117" s="108"/>
      <c r="J117" s="109"/>
    </row>
    <row r="118" spans="1:10" x14ac:dyDescent="0.25">
      <c r="A118" s="107" t="s">
        <v>397</v>
      </c>
      <c r="B118" s="154">
        <f>Statistic_Analysis!B59</f>
        <v>0.86670000000000003</v>
      </c>
      <c r="C118" s="108"/>
      <c r="D118" s="108"/>
      <c r="E118" s="108"/>
      <c r="F118" s="108"/>
      <c r="G118" s="108"/>
      <c r="H118" s="108"/>
      <c r="I118" s="108"/>
      <c r="J118" s="109"/>
    </row>
    <row r="119" spans="1:10" x14ac:dyDescent="0.25">
      <c r="A119" s="107" t="s">
        <v>398</v>
      </c>
      <c r="B119" s="154">
        <f>Statistic_Analysis!B60</f>
        <v>0.94550000000000001</v>
      </c>
      <c r="C119" s="108"/>
      <c r="D119" s="108"/>
      <c r="E119" s="108"/>
      <c r="F119" s="108"/>
      <c r="G119" s="108"/>
      <c r="H119" s="108"/>
      <c r="I119" s="108"/>
      <c r="J119" s="109"/>
    </row>
    <row r="120" spans="1:10" ht="8.1" customHeight="1" x14ac:dyDescent="0.25">
      <c r="A120" s="107"/>
      <c r="B120" s="108"/>
      <c r="C120" s="108"/>
      <c r="D120" s="108"/>
      <c r="E120" s="108"/>
      <c r="F120" s="108"/>
      <c r="G120" s="108"/>
      <c r="H120" s="108"/>
      <c r="I120" s="108"/>
      <c r="J120" s="109"/>
    </row>
    <row r="121" spans="1:10" ht="8.1" customHeight="1" x14ac:dyDescent="0.25">
      <c r="A121" s="107"/>
      <c r="B121" s="108"/>
      <c r="C121" s="108"/>
      <c r="D121" s="108"/>
      <c r="E121" s="108"/>
      <c r="F121" s="108"/>
      <c r="G121" s="108"/>
      <c r="H121" s="108"/>
      <c r="I121" s="108"/>
      <c r="J121" s="109"/>
    </row>
    <row r="122" spans="1:10" ht="21.95" customHeight="1" x14ac:dyDescent="0.25">
      <c r="A122" s="110" t="s">
        <v>1594</v>
      </c>
      <c r="B122" s="111"/>
      <c r="C122" s="111"/>
      <c r="D122" s="111"/>
      <c r="E122" s="111"/>
      <c r="F122" s="111"/>
      <c r="G122" s="111"/>
      <c r="H122" s="111"/>
      <c r="I122" s="111"/>
      <c r="J122" s="112"/>
    </row>
    <row r="123" spans="1:10" ht="8.1" customHeight="1" x14ac:dyDescent="0.25">
      <c r="A123" s="107"/>
      <c r="B123" s="108"/>
      <c r="C123" s="108"/>
      <c r="D123" s="108"/>
      <c r="E123" s="108"/>
      <c r="F123" s="108"/>
      <c r="G123" s="108"/>
      <c r="H123" s="108"/>
      <c r="I123" s="108"/>
      <c r="J123" s="109"/>
    </row>
    <row r="124" spans="1:10" ht="20.100000000000001" customHeight="1" thickBot="1" x14ac:dyDescent="0.3">
      <c r="A124" s="128" t="s">
        <v>1595</v>
      </c>
      <c r="B124" s="129" t="s">
        <v>404</v>
      </c>
      <c r="C124" s="129" t="s">
        <v>245</v>
      </c>
      <c r="D124" s="129" t="s">
        <v>246</v>
      </c>
      <c r="E124" s="129" t="s">
        <v>397</v>
      </c>
      <c r="F124" s="129" t="s">
        <v>398</v>
      </c>
      <c r="G124" s="130"/>
      <c r="H124" s="121"/>
      <c r="I124" s="108"/>
      <c r="J124" s="109"/>
    </row>
    <row r="125" spans="1:10" ht="15" thickBot="1" x14ac:dyDescent="0.3">
      <c r="A125" s="134" t="s">
        <v>19</v>
      </c>
      <c r="B125" s="136">
        <f>Statistic_Analysis!B56</f>
        <v>0.42149999999999999</v>
      </c>
      <c r="C125" s="136">
        <f>Statistic_Analysis!B57</f>
        <v>0.94199999999999995</v>
      </c>
      <c r="D125" s="155">
        <f>Statistic_Analysis!B58</f>
        <v>0.9</v>
      </c>
      <c r="E125" s="155">
        <f>Statistic_Analysis!B59</f>
        <v>0.86670000000000003</v>
      </c>
      <c r="F125" s="155">
        <f>Statistic_Analysis!B60</f>
        <v>0.94550000000000001</v>
      </c>
      <c r="G125" s="137"/>
      <c r="H125" s="108"/>
      <c r="I125" s="108"/>
      <c r="J125" s="109"/>
    </row>
    <row r="126" spans="1:10" ht="15" thickBot="1" x14ac:dyDescent="0.3">
      <c r="A126" s="134" t="s">
        <v>40</v>
      </c>
      <c r="B126" s="136">
        <f>Statistic_Analysis!B79</f>
        <v>0.20749999999999999</v>
      </c>
      <c r="C126" s="136">
        <f>Statistic_Analysis!B80</f>
        <v>0.82450000000000001</v>
      </c>
      <c r="D126" s="155">
        <f>Statistic_Analysis!B81</f>
        <v>0.82310000000000005</v>
      </c>
      <c r="E126" s="155">
        <f>Statistic_Analysis!B82</f>
        <v>0.6452</v>
      </c>
      <c r="F126" s="155">
        <f>Statistic_Analysis!B83</f>
        <v>0.87880000000000003</v>
      </c>
      <c r="G126" s="137"/>
      <c r="H126" s="108"/>
      <c r="I126" s="108"/>
      <c r="J126" s="109"/>
    </row>
    <row r="127" spans="1:10" ht="15" thickBot="1" x14ac:dyDescent="0.3">
      <c r="A127" s="134" t="s">
        <v>28</v>
      </c>
      <c r="B127" s="136">
        <f>Statistic_Analysis!B102</f>
        <v>0.39989999999999998</v>
      </c>
      <c r="C127" s="136">
        <f>Statistic_Analysis!B103</f>
        <v>0.87560000000000004</v>
      </c>
      <c r="D127" s="155">
        <f>Statistic_Analysis!B104</f>
        <v>0.89229999999999998</v>
      </c>
      <c r="E127" s="155">
        <f>Statistic_Analysis!B105</f>
        <v>0.52629999999999999</v>
      </c>
      <c r="F127" s="155">
        <f>Statistic_Analysis!B106</f>
        <v>0.95499999999999996</v>
      </c>
      <c r="G127" s="137"/>
      <c r="H127" s="108"/>
      <c r="I127" s="108"/>
      <c r="J127" s="109"/>
    </row>
    <row r="128" spans="1:10" x14ac:dyDescent="0.25">
      <c r="A128" s="156" t="s">
        <v>1596</v>
      </c>
      <c r="B128" s="157">
        <f>Statistic_Analysis!B126</f>
        <v>0.12479999999999999</v>
      </c>
      <c r="C128" s="157">
        <f>Statistic_Analysis!B127</f>
        <v>0.68500000000000005</v>
      </c>
      <c r="D128" s="158">
        <f>Statistic_Analysis!B128</f>
        <v>0.96150000000000002</v>
      </c>
      <c r="E128" s="159">
        <v>0</v>
      </c>
      <c r="F128" s="157" t="s">
        <v>238</v>
      </c>
      <c r="G128" s="146"/>
      <c r="H128" s="108"/>
      <c r="I128" s="108"/>
      <c r="J128" s="109"/>
    </row>
    <row r="129" spans="1:10" ht="8.1" customHeight="1" x14ac:dyDescent="0.25">
      <c r="A129" s="107"/>
      <c r="B129" s="108"/>
      <c r="C129" s="108"/>
      <c r="D129" s="108"/>
      <c r="E129" s="108"/>
      <c r="F129" s="108"/>
      <c r="G129" s="108"/>
      <c r="H129" s="108"/>
      <c r="I129" s="108"/>
      <c r="J129" s="109"/>
    </row>
    <row r="130" spans="1:10" x14ac:dyDescent="0.25">
      <c r="A130" s="160" t="s">
        <v>1597</v>
      </c>
      <c r="B130" s="108"/>
      <c r="C130" s="108"/>
      <c r="D130" s="108"/>
      <c r="E130" s="108"/>
      <c r="F130" s="108"/>
      <c r="G130" s="108"/>
      <c r="H130" s="108"/>
      <c r="I130" s="108"/>
      <c r="J130" s="109"/>
    </row>
    <row r="131" spans="1:10" ht="8.1" customHeight="1" x14ac:dyDescent="0.25">
      <c r="A131" s="107"/>
      <c r="B131" s="108"/>
      <c r="C131" s="108"/>
      <c r="D131" s="108"/>
      <c r="E131" s="108"/>
      <c r="F131" s="108"/>
      <c r="G131" s="108"/>
      <c r="H131" s="108"/>
      <c r="I131" s="108"/>
      <c r="J131" s="109"/>
    </row>
    <row r="132" spans="1:10" ht="8.1" customHeight="1" x14ac:dyDescent="0.25">
      <c r="A132" s="107"/>
      <c r="B132" s="108"/>
      <c r="C132" s="108"/>
      <c r="D132" s="108"/>
      <c r="E132" s="108"/>
      <c r="F132" s="108"/>
      <c r="G132" s="108"/>
      <c r="H132" s="108"/>
      <c r="I132" s="108"/>
      <c r="J132" s="109"/>
    </row>
    <row r="133" spans="1:10" ht="21.95" customHeight="1" x14ac:dyDescent="0.25">
      <c r="A133" s="110" t="s">
        <v>1598</v>
      </c>
      <c r="B133" s="111"/>
      <c r="C133" s="111"/>
      <c r="D133" s="111"/>
      <c r="E133" s="111"/>
      <c r="F133" s="111"/>
      <c r="G133" s="111"/>
      <c r="H133" s="111"/>
      <c r="I133" s="111"/>
      <c r="J133" s="112"/>
    </row>
    <row r="134" spans="1:10" ht="8.1" customHeight="1" x14ac:dyDescent="0.25">
      <c r="A134" s="107"/>
      <c r="B134" s="108"/>
      <c r="C134" s="108"/>
      <c r="D134" s="108"/>
      <c r="E134" s="108"/>
      <c r="F134" s="108"/>
      <c r="G134" s="108"/>
      <c r="H134" s="108"/>
      <c r="I134" s="108"/>
      <c r="J134" s="109"/>
    </row>
    <row r="135" spans="1:10" ht="20.100000000000001" customHeight="1" thickBot="1" x14ac:dyDescent="0.3">
      <c r="A135" s="128" t="s">
        <v>225</v>
      </c>
      <c r="B135" s="129" t="s">
        <v>239</v>
      </c>
      <c r="C135" s="129" t="s">
        <v>230</v>
      </c>
      <c r="D135" s="129" t="s">
        <v>243</v>
      </c>
      <c r="E135" s="130"/>
      <c r="F135" s="121"/>
      <c r="G135" s="121"/>
      <c r="H135" s="121"/>
      <c r="I135" s="108"/>
      <c r="J135" s="109"/>
    </row>
    <row r="136" spans="1:10" ht="15" thickBot="1" x14ac:dyDescent="0.3">
      <c r="A136" s="161" t="s">
        <v>196</v>
      </c>
      <c r="B136" s="162" t="s">
        <v>240</v>
      </c>
      <c r="C136" s="162">
        <f>Statistic_Analysis!F50</f>
        <v>112.66670000000001</v>
      </c>
      <c r="D136" s="162" t="s">
        <v>1599</v>
      </c>
      <c r="E136" s="163"/>
      <c r="F136" s="108"/>
      <c r="G136" s="108"/>
      <c r="H136" s="108"/>
      <c r="I136" s="108"/>
      <c r="J136" s="109"/>
    </row>
    <row r="137" spans="1:10" ht="15" thickBot="1" x14ac:dyDescent="0.3">
      <c r="A137" s="161" t="s">
        <v>196</v>
      </c>
      <c r="B137" s="162" t="s">
        <v>1600</v>
      </c>
      <c r="C137" s="162">
        <f>Statistic_Analysis!F48</f>
        <v>0.97529999999999994</v>
      </c>
      <c r="D137" s="162" t="s">
        <v>1601</v>
      </c>
      <c r="E137" s="163"/>
      <c r="F137" s="108"/>
      <c r="G137" s="108"/>
      <c r="H137" s="108"/>
      <c r="I137" s="108"/>
      <c r="J137" s="109"/>
    </row>
    <row r="138" spans="1:10" ht="15" thickBot="1" x14ac:dyDescent="0.3">
      <c r="A138" s="161" t="s">
        <v>196</v>
      </c>
      <c r="B138" s="162" t="s">
        <v>247</v>
      </c>
      <c r="C138" s="162">
        <f>Statistic_Analysis!F52</f>
        <v>1.0121</v>
      </c>
      <c r="D138" s="162" t="s">
        <v>1602</v>
      </c>
      <c r="E138" s="163"/>
      <c r="F138" s="108"/>
      <c r="G138" s="108"/>
      <c r="H138" s="108"/>
      <c r="I138" s="108"/>
      <c r="J138" s="109"/>
    </row>
    <row r="139" spans="1:10" ht="15" thickBot="1" x14ac:dyDescent="0.3">
      <c r="A139" s="164" t="s">
        <v>1603</v>
      </c>
      <c r="B139" s="165" t="s">
        <v>1604</v>
      </c>
      <c r="C139" s="165">
        <f>Statistic_Analysis!F71</f>
        <v>1.0428999999999999</v>
      </c>
      <c r="D139" s="165" t="s">
        <v>1605</v>
      </c>
      <c r="E139" s="166"/>
      <c r="F139" s="108"/>
      <c r="G139" s="108"/>
      <c r="H139" s="108"/>
      <c r="I139" s="108"/>
      <c r="J139" s="109"/>
    </row>
    <row r="140" spans="1:10" ht="15" thickBot="1" x14ac:dyDescent="0.3">
      <c r="A140" s="164" t="s">
        <v>1603</v>
      </c>
      <c r="B140" s="165" t="s">
        <v>240</v>
      </c>
      <c r="C140" s="165">
        <f>Statistic_Analysis!F73</f>
        <v>3.4500000000000003E-2</v>
      </c>
      <c r="D140" s="165" t="s">
        <v>1606</v>
      </c>
      <c r="E140" s="166"/>
      <c r="F140" s="108"/>
      <c r="G140" s="108"/>
      <c r="H140" s="108"/>
      <c r="I140" s="108"/>
      <c r="J140" s="109"/>
    </row>
    <row r="141" spans="1:10" ht="15" thickBot="1" x14ac:dyDescent="0.3">
      <c r="A141" s="167" t="s">
        <v>1607</v>
      </c>
      <c r="B141" s="168" t="s">
        <v>1600</v>
      </c>
      <c r="C141" s="168">
        <f>Statistic_Analysis!F94</f>
        <v>0.93710000000000004</v>
      </c>
      <c r="D141" s="168" t="s">
        <v>1608</v>
      </c>
      <c r="E141" s="169"/>
      <c r="F141" s="108"/>
      <c r="G141" s="108"/>
      <c r="H141" s="108"/>
      <c r="I141" s="108"/>
      <c r="J141" s="109"/>
    </row>
    <row r="142" spans="1:10" ht="15" thickBot="1" x14ac:dyDescent="0.3">
      <c r="A142" s="167" t="s">
        <v>1607</v>
      </c>
      <c r="B142" s="168" t="s">
        <v>619</v>
      </c>
      <c r="C142" s="168">
        <f>Statistic_Analysis!F95</f>
        <v>2.6103999999999998</v>
      </c>
      <c r="D142" s="168" t="s">
        <v>1609</v>
      </c>
      <c r="E142" s="169"/>
      <c r="F142" s="108"/>
      <c r="G142" s="108"/>
      <c r="H142" s="108"/>
      <c r="I142" s="108"/>
      <c r="J142" s="109"/>
    </row>
    <row r="143" spans="1:10" x14ac:dyDescent="0.25">
      <c r="A143" s="170" t="s">
        <v>1607</v>
      </c>
      <c r="B143" s="171" t="s">
        <v>240</v>
      </c>
      <c r="C143" s="171">
        <f>Statistic_Analysis!F96</f>
        <v>3.6499999999999998E-2</v>
      </c>
      <c r="D143" s="171" t="s">
        <v>1610</v>
      </c>
      <c r="E143" s="172"/>
      <c r="F143" s="108"/>
      <c r="G143" s="108"/>
      <c r="H143" s="108"/>
      <c r="I143" s="108"/>
      <c r="J143" s="109"/>
    </row>
    <row r="144" spans="1:10" ht="8.1" customHeight="1" x14ac:dyDescent="0.25">
      <c r="A144" s="107"/>
      <c r="B144" s="108"/>
      <c r="C144" s="108"/>
      <c r="D144" s="108"/>
      <c r="E144" s="108"/>
      <c r="F144" s="108"/>
      <c r="G144" s="108"/>
      <c r="H144" s="108"/>
      <c r="I144" s="108"/>
      <c r="J144" s="109"/>
    </row>
    <row r="145" spans="1:10" ht="8.1" customHeight="1" x14ac:dyDescent="0.25">
      <c r="A145" s="107"/>
      <c r="B145" s="108"/>
      <c r="C145" s="108"/>
      <c r="D145" s="108"/>
      <c r="E145" s="108"/>
      <c r="F145" s="108"/>
      <c r="G145" s="108"/>
      <c r="H145" s="108"/>
      <c r="I145" s="108"/>
      <c r="J145" s="109"/>
    </row>
    <row r="146" spans="1:10" ht="21.95" customHeight="1" x14ac:dyDescent="0.25">
      <c r="A146" s="110" t="s">
        <v>1611</v>
      </c>
      <c r="B146" s="111"/>
      <c r="C146" s="111"/>
      <c r="D146" s="111"/>
      <c r="E146" s="111"/>
      <c r="F146" s="111"/>
      <c r="G146" s="111"/>
      <c r="H146" s="111"/>
      <c r="I146" s="111"/>
      <c r="J146" s="112"/>
    </row>
    <row r="147" spans="1:10" ht="8.1" customHeight="1" x14ac:dyDescent="0.25">
      <c r="A147" s="107"/>
      <c r="B147" s="108"/>
      <c r="C147" s="108"/>
      <c r="D147" s="108"/>
      <c r="E147" s="108"/>
      <c r="F147" s="108"/>
      <c r="G147" s="108"/>
      <c r="H147" s="108"/>
      <c r="I147" s="108"/>
      <c r="J147" s="109"/>
    </row>
    <row r="148" spans="1:10" ht="45" customHeight="1" x14ac:dyDescent="0.25">
      <c r="A148" s="262" t="s">
        <v>1612</v>
      </c>
      <c r="B148" s="263"/>
      <c r="C148" s="263"/>
      <c r="D148" s="263"/>
      <c r="E148" s="263"/>
      <c r="F148" s="263"/>
      <c r="G148" s="263"/>
      <c r="H148" s="263"/>
      <c r="I148" s="264"/>
      <c r="J148" s="264"/>
    </row>
    <row r="149" spans="1:10" ht="8.1" customHeight="1" x14ac:dyDescent="0.25">
      <c r="A149" s="107"/>
      <c r="B149" s="108"/>
      <c r="C149" s="108"/>
      <c r="D149" s="108"/>
      <c r="E149" s="108"/>
      <c r="F149" s="108"/>
      <c r="G149" s="108"/>
      <c r="H149" s="108"/>
      <c r="I149" s="108"/>
      <c r="J149" s="109"/>
    </row>
    <row r="150" spans="1:10" ht="20.100000000000001" customHeight="1" thickBot="1" x14ac:dyDescent="0.3">
      <c r="A150" s="128" t="s">
        <v>675</v>
      </c>
      <c r="B150" s="129" t="s">
        <v>228</v>
      </c>
      <c r="C150" s="129" t="s">
        <v>268</v>
      </c>
      <c r="D150" s="129" t="s">
        <v>676</v>
      </c>
      <c r="E150" s="129" t="s">
        <v>795</v>
      </c>
      <c r="F150" s="130"/>
      <c r="G150" s="121"/>
      <c r="H150" s="121"/>
      <c r="I150" s="108"/>
      <c r="J150" s="109"/>
    </row>
    <row r="151" spans="1:10" ht="15" thickBot="1" x14ac:dyDescent="0.3">
      <c r="A151" s="173" t="s">
        <v>796</v>
      </c>
      <c r="B151" s="174">
        <f>Clustering_Analysis!B69</f>
        <v>38</v>
      </c>
      <c r="C151" s="175">
        <f>Clustering_Analysis!C69</f>
        <v>0.29199999999999998</v>
      </c>
      <c r="D151" s="174" t="str">
        <f>Clustering_Analysis!D69</f>
        <v>Toxidermies sévères (SJS/Lyell) - Jeunes avec médicaments</v>
      </c>
      <c r="E151" s="174" t="str">
        <f>Clustering_Analysis!E69</f>
        <v>CRITIQUE</v>
      </c>
      <c r="F151" s="176"/>
      <c r="G151" s="108"/>
      <c r="H151" s="108"/>
      <c r="I151" s="108"/>
      <c r="J151" s="109"/>
    </row>
    <row r="152" spans="1:10" ht="15" thickBot="1" x14ac:dyDescent="0.3">
      <c r="A152" s="177" t="s">
        <v>799</v>
      </c>
      <c r="B152" s="178">
        <f>Clustering_Analysis!B70</f>
        <v>32</v>
      </c>
      <c r="C152" s="179">
        <f>Clustering_Analysis!C70</f>
        <v>0.246</v>
      </c>
      <c r="D152" s="178" t="str">
        <f>Clustering_Analysis!D70</f>
        <v>Dermatoses auto-immunes - Seniors sans médicament</v>
      </c>
      <c r="E152" s="178" t="str">
        <f>Clustering_Analysis!E70</f>
        <v>MODÉRÉ</v>
      </c>
      <c r="F152" s="180"/>
      <c r="G152" s="108"/>
      <c r="H152" s="108"/>
      <c r="I152" s="108"/>
      <c r="J152" s="109"/>
    </row>
    <row r="153" spans="1:10" ht="15" thickBot="1" x14ac:dyDescent="0.3">
      <c r="A153" s="181" t="s">
        <v>802</v>
      </c>
      <c r="B153" s="182">
        <f>Clustering_Analysis!B71</f>
        <v>35</v>
      </c>
      <c r="C153" s="183">
        <f>Clustering_Analysis!C71</f>
        <v>0.26900000000000002</v>
      </c>
      <c r="D153" s="182" t="str">
        <f>Clustering_Analysis!D71</f>
        <v>Toxidermies légères (EPF) - Adultes atteinte cutanée</v>
      </c>
      <c r="E153" s="182" t="str">
        <f>Clustering_Analysis!E71</f>
        <v>FAIBLE</v>
      </c>
      <c r="F153" s="184"/>
      <c r="G153" s="108"/>
      <c r="H153" s="108"/>
      <c r="I153" s="108"/>
      <c r="J153" s="109"/>
    </row>
    <row r="154" spans="1:10" x14ac:dyDescent="0.25">
      <c r="A154" s="185" t="s">
        <v>804</v>
      </c>
      <c r="B154" s="186">
        <f>Clustering_Analysis!B72</f>
        <v>25</v>
      </c>
      <c r="C154" s="187">
        <f>Clustering_Analysis!C72</f>
        <v>0.192</v>
      </c>
      <c r="D154" s="186" t="str">
        <f>Clustering_Analysis!D72</f>
        <v>Dermatoses infectieuses - Enfants sans médicament</v>
      </c>
      <c r="E154" s="186" t="str">
        <f>Clustering_Analysis!E72</f>
        <v>MODÉRÉ</v>
      </c>
      <c r="F154" s="188"/>
      <c r="G154" s="108"/>
      <c r="H154" s="108"/>
      <c r="I154" s="108"/>
      <c r="J154" s="109"/>
    </row>
    <row r="155" spans="1:10" ht="8.1" customHeight="1" x14ac:dyDescent="0.25">
      <c r="A155" s="107"/>
      <c r="B155" s="108"/>
      <c r="C155" s="108"/>
      <c r="D155" s="108"/>
      <c r="E155" s="108"/>
      <c r="F155" s="108"/>
      <c r="G155" s="108"/>
      <c r="H155" s="108"/>
      <c r="I155" s="108"/>
      <c r="J155" s="109"/>
    </row>
    <row r="156" spans="1:10" x14ac:dyDescent="0.25">
      <c r="A156" s="116" t="s">
        <v>1613</v>
      </c>
      <c r="B156" s="108"/>
      <c r="C156" s="108"/>
      <c r="D156" s="108"/>
      <c r="E156" s="108"/>
      <c r="F156" s="108"/>
      <c r="G156" s="108"/>
      <c r="H156" s="108"/>
      <c r="I156" s="108"/>
      <c r="J156" s="109"/>
    </row>
    <row r="157" spans="1:10" ht="8.1" customHeight="1" x14ac:dyDescent="0.25">
      <c r="A157" s="107"/>
      <c r="B157" s="108"/>
      <c r="C157" s="108"/>
      <c r="D157" s="108"/>
      <c r="E157" s="108"/>
      <c r="F157" s="108"/>
      <c r="G157" s="108"/>
      <c r="H157" s="108"/>
      <c r="I157" s="108"/>
      <c r="J157" s="109"/>
    </row>
    <row r="158" spans="1:10" ht="20.100000000000001" customHeight="1" thickBot="1" x14ac:dyDescent="0.3">
      <c r="A158" s="128" t="s">
        <v>226</v>
      </c>
      <c r="B158" s="129" t="s">
        <v>677</v>
      </c>
      <c r="C158" s="129" t="s">
        <v>678</v>
      </c>
      <c r="D158" s="129" t="s">
        <v>679</v>
      </c>
      <c r="E158" s="129" t="s">
        <v>680</v>
      </c>
      <c r="F158" s="129" t="s">
        <v>681</v>
      </c>
      <c r="G158" s="130"/>
      <c r="H158" s="121"/>
      <c r="I158" s="108"/>
      <c r="J158" s="109"/>
    </row>
    <row r="159" spans="1:10" ht="15" thickBot="1" x14ac:dyDescent="0.3">
      <c r="A159" s="134" t="s">
        <v>253</v>
      </c>
      <c r="B159" s="136">
        <f>Clustering_Analysis!B80</f>
        <v>22.4</v>
      </c>
      <c r="C159" s="136">
        <f>Clustering_Analysis!C80</f>
        <v>61.8</v>
      </c>
      <c r="D159" s="136">
        <f>Clustering_Analysis!D80</f>
        <v>38.700000000000003</v>
      </c>
      <c r="E159" s="136">
        <f>Clustering_Analysis!E80</f>
        <v>7.2</v>
      </c>
      <c r="F159" s="136">
        <f>Clustering_Analysis!F80</f>
        <v>36.1</v>
      </c>
      <c r="G159" s="137"/>
      <c r="H159" s="108"/>
      <c r="I159" s="108"/>
      <c r="J159" s="109"/>
    </row>
    <row r="160" spans="1:10" ht="15" thickBot="1" x14ac:dyDescent="0.3">
      <c r="A160" s="134" t="s">
        <v>682</v>
      </c>
      <c r="B160" s="155">
        <f>Clustering_Analysis!B81</f>
        <v>0.47399999999999998</v>
      </c>
      <c r="C160" s="155">
        <f>Clustering_Analysis!C81</f>
        <v>0.71899999999999997</v>
      </c>
      <c r="D160" s="155">
        <f>Clustering_Analysis!D81</f>
        <v>0.54300000000000004</v>
      </c>
      <c r="E160" s="155">
        <f>Clustering_Analysis!E81</f>
        <v>0.44</v>
      </c>
      <c r="F160" s="155">
        <f>Clustering_Analysis!F81</f>
        <v>0.56899999999999995</v>
      </c>
      <c r="G160" s="137"/>
      <c r="H160" s="108"/>
      <c r="I160" s="108"/>
      <c r="J160" s="109"/>
    </row>
    <row r="161" spans="1:10" ht="15" thickBot="1" x14ac:dyDescent="0.3">
      <c r="A161" s="134" t="s">
        <v>1614</v>
      </c>
      <c r="B161" s="155">
        <f>Clustering_Analysis!B82</f>
        <v>0.42099999999999999</v>
      </c>
      <c r="C161" s="155">
        <f>Clustering_Analysis!C82</f>
        <v>3.1E-2</v>
      </c>
      <c r="D161" s="155">
        <f>Clustering_Analysis!D82</f>
        <v>0.114</v>
      </c>
      <c r="E161" s="155">
        <f>Clustering_Analysis!E82</f>
        <v>0.88</v>
      </c>
      <c r="F161" s="155">
        <f>Clustering_Analysis!F82</f>
        <v>0.33100000000000002</v>
      </c>
      <c r="G161" s="137"/>
      <c r="H161" s="108"/>
      <c r="I161" s="108"/>
      <c r="J161" s="109"/>
    </row>
    <row r="162" spans="1:10" ht="15" thickBot="1" x14ac:dyDescent="0.3">
      <c r="A162" s="134" t="s">
        <v>1615</v>
      </c>
      <c r="B162" s="155">
        <f>Clustering_Analysis!B83</f>
        <v>5.2999999999999999E-2</v>
      </c>
      <c r="C162" s="155">
        <f>Clustering_Analysis!C83</f>
        <v>0.65600000000000003</v>
      </c>
      <c r="D162" s="155">
        <f>Clustering_Analysis!D83</f>
        <v>0.17100000000000001</v>
      </c>
      <c r="E162" s="155">
        <f>Clustering_Analysis!E83</f>
        <v>0</v>
      </c>
      <c r="F162" s="155">
        <f>Clustering_Analysis!F83</f>
        <v>0.223</v>
      </c>
      <c r="G162" s="137"/>
      <c r="H162" s="108"/>
      <c r="I162" s="108"/>
      <c r="J162" s="109"/>
    </row>
    <row r="163" spans="1:10" ht="15" thickBot="1" x14ac:dyDescent="0.3">
      <c r="A163" s="134" t="s">
        <v>683</v>
      </c>
      <c r="B163" s="155">
        <f>Clustering_Analysis!B86</f>
        <v>0.97399999999999998</v>
      </c>
      <c r="C163" s="155">
        <f>Clustering_Analysis!C86</f>
        <v>9.4E-2</v>
      </c>
      <c r="D163" s="155">
        <f>Clustering_Analysis!D86</f>
        <v>0.74299999999999999</v>
      </c>
      <c r="E163" s="155">
        <f>Clustering_Analysis!E86</f>
        <v>0.12</v>
      </c>
      <c r="F163" s="155">
        <f>Clustering_Analysis!F86</f>
        <v>0.52300000000000002</v>
      </c>
      <c r="G163" s="137"/>
      <c r="H163" s="108"/>
      <c r="I163" s="108"/>
      <c r="J163" s="109"/>
    </row>
    <row r="164" spans="1:10" x14ac:dyDescent="0.25">
      <c r="A164" s="156" t="s">
        <v>378</v>
      </c>
      <c r="B164" s="158">
        <f>Clustering_Analysis!B87</f>
        <v>48.2</v>
      </c>
      <c r="C164" s="158">
        <f>Clustering_Analysis!C87</f>
        <v>16.8</v>
      </c>
      <c r="D164" s="158">
        <f>Clustering_Analysis!D87</f>
        <v>11.9</v>
      </c>
      <c r="E164" s="158">
        <f>Clustering_Analysis!E87</f>
        <v>18.399999999999999</v>
      </c>
      <c r="F164" s="158">
        <f>Clustering_Analysis!F87</f>
        <v>24.9</v>
      </c>
      <c r="G164" s="146"/>
      <c r="H164" s="108"/>
      <c r="I164" s="108"/>
      <c r="J164" s="109"/>
    </row>
    <row r="165" spans="1:10" ht="8.1" customHeight="1" x14ac:dyDescent="0.25">
      <c r="A165" s="107"/>
      <c r="B165" s="108"/>
      <c r="C165" s="108"/>
      <c r="D165" s="108"/>
      <c r="E165" s="108"/>
      <c r="F165" s="108"/>
      <c r="G165" s="108"/>
      <c r="H165" s="108"/>
      <c r="I165" s="108"/>
      <c r="J165" s="109"/>
    </row>
    <row r="166" spans="1:10" ht="8.1" customHeight="1" x14ac:dyDescent="0.25">
      <c r="A166" s="107"/>
      <c r="B166" s="108"/>
      <c r="C166" s="108"/>
      <c r="D166" s="108"/>
      <c r="E166" s="108"/>
      <c r="F166" s="108"/>
      <c r="G166" s="108"/>
      <c r="H166" s="108"/>
      <c r="I166" s="108"/>
      <c r="J166" s="109"/>
    </row>
    <row r="167" spans="1:10" ht="21.95" customHeight="1" x14ac:dyDescent="0.25">
      <c r="A167" s="110" t="s">
        <v>1616</v>
      </c>
      <c r="B167" s="111"/>
      <c r="C167" s="111"/>
      <c r="D167" s="111"/>
      <c r="E167" s="111"/>
      <c r="F167" s="111"/>
      <c r="G167" s="111"/>
      <c r="H167" s="111"/>
      <c r="I167" s="111"/>
      <c r="J167" s="112"/>
    </row>
    <row r="168" spans="1:10" ht="8.1" customHeight="1" x14ac:dyDescent="0.25">
      <c r="A168" s="107"/>
      <c r="B168" s="108"/>
      <c r="C168" s="108"/>
      <c r="D168" s="108"/>
      <c r="E168" s="108"/>
      <c r="F168" s="108"/>
      <c r="G168" s="108"/>
      <c r="H168" s="108"/>
      <c r="I168" s="108"/>
      <c r="J168" s="109"/>
    </row>
    <row r="169" spans="1:10" ht="45" customHeight="1" x14ac:dyDescent="0.25">
      <c r="A169" s="262" t="s">
        <v>1617</v>
      </c>
      <c r="B169" s="263"/>
      <c r="C169" s="263"/>
      <c r="D169" s="263"/>
      <c r="E169" s="263"/>
      <c r="F169" s="263"/>
      <c r="G169" s="263"/>
      <c r="H169" s="263"/>
      <c r="I169" s="264"/>
      <c r="J169" s="264"/>
    </row>
    <row r="170" spans="1:10" ht="8.1" customHeight="1" x14ac:dyDescent="0.25">
      <c r="A170" s="107"/>
      <c r="B170" s="108"/>
      <c r="C170" s="108"/>
      <c r="D170" s="108"/>
      <c r="E170" s="108"/>
      <c r="F170" s="108"/>
      <c r="G170" s="108"/>
      <c r="H170" s="108"/>
      <c r="I170" s="108"/>
      <c r="J170" s="109"/>
    </row>
    <row r="171" spans="1:10" ht="20.100000000000001" customHeight="1" thickBot="1" x14ac:dyDescent="0.3">
      <c r="A171" s="128" t="s">
        <v>1618</v>
      </c>
      <c r="B171" s="129" t="s">
        <v>228</v>
      </c>
      <c r="C171" s="129" t="s">
        <v>1619</v>
      </c>
      <c r="D171" s="130"/>
      <c r="E171" s="121"/>
      <c r="F171" s="121"/>
      <c r="G171" s="121"/>
      <c r="H171" s="121"/>
      <c r="I171" s="108"/>
      <c r="J171" s="109"/>
    </row>
    <row r="172" spans="1:10" ht="15" thickBot="1" x14ac:dyDescent="0.3">
      <c r="A172" s="189" t="s">
        <v>1465</v>
      </c>
      <c r="B172" s="190">
        <f>Hierachical_Analysis!Q5</f>
        <v>35</v>
      </c>
      <c r="C172" s="190" t="s">
        <v>1620</v>
      </c>
      <c r="D172" s="191"/>
      <c r="E172" s="108"/>
      <c r="F172" s="108"/>
      <c r="G172" s="108"/>
      <c r="H172" s="108"/>
      <c r="I172" s="108"/>
      <c r="J172" s="109"/>
    </row>
    <row r="173" spans="1:10" ht="15" thickBot="1" x14ac:dyDescent="0.3">
      <c r="A173" s="192" t="s">
        <v>1466</v>
      </c>
      <c r="B173" s="193">
        <f>Hierachical_Analysis!Q6</f>
        <v>40</v>
      </c>
      <c r="C173" s="193" t="s">
        <v>1621</v>
      </c>
      <c r="D173" s="194"/>
      <c r="E173" s="108"/>
      <c r="F173" s="108"/>
      <c r="G173" s="108"/>
      <c r="H173" s="108"/>
      <c r="I173" s="108"/>
      <c r="J173" s="109"/>
    </row>
    <row r="174" spans="1:10" ht="15" thickBot="1" x14ac:dyDescent="0.3">
      <c r="A174" s="195" t="s">
        <v>1467</v>
      </c>
      <c r="B174" s="196">
        <f>Hierachical_Analysis!Q7</f>
        <v>31</v>
      </c>
      <c r="C174" s="196" t="s">
        <v>1622</v>
      </c>
      <c r="D174" s="197"/>
      <c r="E174" s="108"/>
      <c r="F174" s="108"/>
      <c r="G174" s="108"/>
      <c r="H174" s="108"/>
      <c r="I174" s="108"/>
      <c r="J174" s="109"/>
    </row>
    <row r="175" spans="1:10" x14ac:dyDescent="0.25">
      <c r="A175" s="198" t="s">
        <v>1468</v>
      </c>
      <c r="B175" s="199">
        <f>Hierachical_Analysis!Q8</f>
        <v>24</v>
      </c>
      <c r="C175" s="199" t="s">
        <v>1623</v>
      </c>
      <c r="D175" s="200"/>
      <c r="E175" s="108"/>
      <c r="F175" s="108"/>
      <c r="G175" s="108"/>
      <c r="H175" s="108"/>
      <c r="I175" s="108"/>
      <c r="J175" s="109"/>
    </row>
    <row r="176" spans="1:10" ht="8.1" customHeight="1" x14ac:dyDescent="0.25">
      <c r="A176" s="107"/>
      <c r="B176" s="108"/>
      <c r="C176" s="108"/>
      <c r="D176" s="108"/>
      <c r="E176" s="108"/>
      <c r="F176" s="108"/>
      <c r="G176" s="108"/>
      <c r="H176" s="108"/>
      <c r="I176" s="108"/>
      <c r="J176" s="109"/>
    </row>
    <row r="177" spans="1:10" x14ac:dyDescent="0.25">
      <c r="A177" s="201" t="s">
        <v>1624</v>
      </c>
      <c r="B177" s="202"/>
      <c r="C177" s="203"/>
      <c r="D177" s="108"/>
      <c r="E177" s="108"/>
      <c r="F177" s="108"/>
      <c r="G177" s="108"/>
      <c r="H177" s="108"/>
      <c r="I177" s="108"/>
      <c r="J177" s="109"/>
    </row>
    <row r="178" spans="1:10" x14ac:dyDescent="0.25">
      <c r="A178" s="204" t="s">
        <v>1625</v>
      </c>
      <c r="B178" s="205">
        <f>Hierachical_Analysis!Q52</f>
        <v>0.872</v>
      </c>
      <c r="C178" s="206"/>
      <c r="D178" s="108"/>
      <c r="E178" s="108"/>
      <c r="F178" s="108"/>
      <c r="G178" s="108"/>
      <c r="H178" s="108"/>
      <c r="I178" s="108"/>
      <c r="J178" s="109"/>
    </row>
    <row r="179" spans="1:10" x14ac:dyDescent="0.25">
      <c r="A179" s="204" t="s">
        <v>1626</v>
      </c>
      <c r="B179" s="205">
        <f>Hierachical_Analysis!Q53</f>
        <v>0.84499999999999997</v>
      </c>
      <c r="C179" s="206"/>
      <c r="D179" s="108"/>
      <c r="E179" s="108"/>
      <c r="F179" s="108"/>
      <c r="G179" s="108"/>
      <c r="H179" s="108"/>
      <c r="I179" s="108"/>
      <c r="J179" s="109"/>
    </row>
    <row r="180" spans="1:10" x14ac:dyDescent="0.25">
      <c r="A180" s="204" t="s">
        <v>703</v>
      </c>
      <c r="B180" s="205">
        <f>Hierachical_Analysis!Q54</f>
        <v>0.89100000000000001</v>
      </c>
      <c r="C180" s="206"/>
      <c r="D180" s="108"/>
      <c r="E180" s="108"/>
      <c r="F180" s="108"/>
      <c r="G180" s="108"/>
      <c r="H180" s="108"/>
      <c r="I180" s="108"/>
      <c r="J180" s="109"/>
    </row>
    <row r="181" spans="1:10" x14ac:dyDescent="0.25">
      <c r="A181" s="207" t="s">
        <v>1627</v>
      </c>
      <c r="B181" s="208">
        <f>Hierachical_Analysis!Q55</f>
        <v>0.89200000000000002</v>
      </c>
      <c r="C181" s="209"/>
      <c r="D181" s="108"/>
      <c r="E181" s="108"/>
      <c r="F181" s="108"/>
      <c r="G181" s="108"/>
      <c r="H181" s="108"/>
      <c r="I181" s="108"/>
      <c r="J181" s="109"/>
    </row>
    <row r="182" spans="1:10" ht="8.1" customHeight="1" x14ac:dyDescent="0.25">
      <c r="A182" s="107"/>
      <c r="B182" s="108"/>
      <c r="C182" s="108"/>
      <c r="D182" s="108"/>
      <c r="E182" s="108"/>
      <c r="F182" s="108"/>
      <c r="G182" s="108"/>
      <c r="H182" s="108"/>
      <c r="I182" s="108"/>
      <c r="J182" s="109"/>
    </row>
    <row r="183" spans="1:10" ht="45" customHeight="1" x14ac:dyDescent="0.25">
      <c r="A183" s="262" t="s">
        <v>1628</v>
      </c>
      <c r="B183" s="263"/>
      <c r="C183" s="263"/>
      <c r="D183" s="263"/>
      <c r="E183" s="263"/>
      <c r="F183" s="263"/>
      <c r="G183" s="263"/>
      <c r="H183" s="263"/>
      <c r="I183" s="264"/>
      <c r="J183" s="264"/>
    </row>
    <row r="184" spans="1:10" ht="8.1" customHeight="1" x14ac:dyDescent="0.25">
      <c r="A184" s="107"/>
      <c r="B184" s="108"/>
      <c r="C184" s="108"/>
      <c r="D184" s="108"/>
      <c r="E184" s="108"/>
      <c r="F184" s="108"/>
      <c r="G184" s="108"/>
      <c r="H184" s="108"/>
      <c r="I184" s="108"/>
      <c r="J184" s="109"/>
    </row>
    <row r="185" spans="1:10" ht="8.1" customHeight="1" x14ac:dyDescent="0.25">
      <c r="A185" s="107"/>
      <c r="B185" s="108"/>
      <c r="C185" s="108"/>
      <c r="D185" s="108"/>
      <c r="E185" s="108"/>
      <c r="F185" s="108"/>
      <c r="G185" s="108"/>
      <c r="H185" s="108"/>
      <c r="I185" s="108"/>
      <c r="J185" s="109"/>
    </row>
    <row r="186" spans="1:10" ht="8.1" customHeight="1" x14ac:dyDescent="0.25">
      <c r="A186" s="107"/>
      <c r="B186" s="108"/>
      <c r="C186" s="108"/>
      <c r="D186" s="108"/>
      <c r="E186" s="108"/>
      <c r="F186" s="108"/>
      <c r="G186" s="108"/>
      <c r="H186" s="108"/>
      <c r="I186" s="108"/>
      <c r="J186" s="109"/>
    </row>
    <row r="187" spans="1:10" ht="30" customHeight="1" x14ac:dyDescent="0.25">
      <c r="A187" s="257" t="s">
        <v>1629</v>
      </c>
      <c r="B187" s="258"/>
      <c r="C187" s="258"/>
      <c r="D187" s="258"/>
      <c r="E187" s="258"/>
      <c r="F187" s="258"/>
      <c r="G187" s="258"/>
      <c r="H187" s="258"/>
      <c r="I187" s="257"/>
      <c r="J187" s="257"/>
    </row>
    <row r="188" spans="1:10" ht="8.1" customHeight="1" x14ac:dyDescent="0.25">
      <c r="A188" s="107"/>
      <c r="B188" s="108"/>
      <c r="C188" s="108"/>
      <c r="D188" s="108"/>
      <c r="E188" s="108"/>
      <c r="F188" s="108"/>
      <c r="G188" s="108"/>
      <c r="H188" s="108"/>
      <c r="I188" s="108"/>
      <c r="J188" s="109"/>
    </row>
    <row r="189" spans="1:10" ht="21.95" customHeight="1" x14ac:dyDescent="0.25">
      <c r="A189" s="110" t="s">
        <v>1630</v>
      </c>
      <c r="B189" s="111"/>
      <c r="C189" s="111"/>
      <c r="D189" s="111"/>
      <c r="E189" s="111"/>
      <c r="F189" s="111"/>
      <c r="G189" s="111"/>
      <c r="H189" s="111"/>
      <c r="I189" s="111"/>
      <c r="J189" s="112"/>
    </row>
    <row r="190" spans="1:10" ht="8.1" customHeight="1" x14ac:dyDescent="0.25">
      <c r="A190" s="107"/>
      <c r="B190" s="108"/>
      <c r="C190" s="108"/>
      <c r="D190" s="108"/>
      <c r="E190" s="108"/>
      <c r="F190" s="108"/>
      <c r="G190" s="108"/>
      <c r="H190" s="108"/>
      <c r="I190" s="108"/>
      <c r="J190" s="109"/>
    </row>
    <row r="191" spans="1:10" ht="45" customHeight="1" x14ac:dyDescent="0.25">
      <c r="A191" s="259" t="s">
        <v>1631</v>
      </c>
      <c r="B191" s="260"/>
      <c r="C191" s="260"/>
      <c r="D191" s="260"/>
      <c r="E191" s="260"/>
      <c r="F191" s="260"/>
      <c r="G191" s="260"/>
      <c r="H191" s="260"/>
      <c r="I191" s="261"/>
      <c r="J191" s="261"/>
    </row>
    <row r="192" spans="1:10" ht="8.1" customHeight="1" x14ac:dyDescent="0.25">
      <c r="A192" s="107"/>
      <c r="B192" s="108"/>
      <c r="C192" s="108"/>
      <c r="D192" s="108"/>
      <c r="E192" s="108"/>
      <c r="F192" s="108"/>
      <c r="G192" s="108"/>
      <c r="H192" s="108"/>
      <c r="I192" s="108"/>
      <c r="J192" s="109"/>
    </row>
    <row r="193" spans="1:10" ht="28.5" x14ac:dyDescent="0.25">
      <c r="A193" s="113" t="s">
        <v>1632</v>
      </c>
      <c r="B193" s="114"/>
      <c r="C193" s="114"/>
      <c r="D193" s="114"/>
      <c r="E193" s="114"/>
      <c r="F193" s="114"/>
      <c r="G193" s="114"/>
      <c r="H193" s="114"/>
      <c r="I193" s="114"/>
      <c r="J193" s="115"/>
    </row>
    <row r="194" spans="1:10" x14ac:dyDescent="0.25">
      <c r="A194" s="113" t="s">
        <v>1633</v>
      </c>
      <c r="B194" s="114"/>
      <c r="C194" s="114"/>
      <c r="D194" s="114"/>
      <c r="E194" s="114"/>
      <c r="F194" s="114"/>
      <c r="G194" s="114"/>
      <c r="H194" s="114"/>
      <c r="I194" s="114"/>
      <c r="J194" s="115"/>
    </row>
    <row r="195" spans="1:10" ht="28.5" x14ac:dyDescent="0.25">
      <c r="A195" s="113" t="s">
        <v>1634</v>
      </c>
      <c r="B195" s="114"/>
      <c r="C195" s="114"/>
      <c r="D195" s="114"/>
      <c r="E195" s="114"/>
      <c r="F195" s="114"/>
      <c r="G195" s="114"/>
      <c r="H195" s="114"/>
      <c r="I195" s="114"/>
      <c r="J195" s="115"/>
    </row>
    <row r="196" spans="1:10" ht="28.5" x14ac:dyDescent="0.25">
      <c r="A196" s="113" t="s">
        <v>1635</v>
      </c>
      <c r="B196" s="114"/>
      <c r="C196" s="114"/>
      <c r="D196" s="114"/>
      <c r="E196" s="114"/>
      <c r="F196" s="114"/>
      <c r="G196" s="114"/>
      <c r="H196" s="114"/>
      <c r="I196" s="114"/>
      <c r="J196" s="115"/>
    </row>
    <row r="197" spans="1:10" ht="28.5" x14ac:dyDescent="0.25">
      <c r="A197" s="113" t="s">
        <v>1636</v>
      </c>
      <c r="B197" s="114"/>
      <c r="C197" s="114"/>
      <c r="D197" s="114"/>
      <c r="E197" s="114"/>
      <c r="F197" s="114"/>
      <c r="G197" s="114"/>
      <c r="H197" s="114"/>
      <c r="I197" s="114"/>
      <c r="J197" s="115"/>
    </row>
    <row r="198" spans="1:10" ht="28.5" x14ac:dyDescent="0.25">
      <c r="A198" s="113" t="s">
        <v>1637</v>
      </c>
      <c r="B198" s="114"/>
      <c r="C198" s="114"/>
      <c r="D198" s="114"/>
      <c r="E198" s="114"/>
      <c r="F198" s="114"/>
      <c r="G198" s="114"/>
      <c r="H198" s="114"/>
      <c r="I198" s="114"/>
      <c r="J198" s="115"/>
    </row>
    <row r="199" spans="1:10" ht="8.1" customHeight="1" x14ac:dyDescent="0.25">
      <c r="A199" s="107"/>
      <c r="B199" s="108"/>
      <c r="C199" s="108"/>
      <c r="D199" s="108"/>
      <c r="E199" s="108"/>
      <c r="F199" s="108"/>
      <c r="G199" s="108"/>
      <c r="H199" s="108"/>
      <c r="I199" s="108"/>
      <c r="J199" s="109"/>
    </row>
    <row r="200" spans="1:10" ht="8.1" customHeight="1" x14ac:dyDescent="0.25">
      <c r="A200" s="107"/>
      <c r="B200" s="108"/>
      <c r="C200" s="108"/>
      <c r="D200" s="108"/>
      <c r="E200" s="108"/>
      <c r="F200" s="108"/>
      <c r="G200" s="108"/>
      <c r="H200" s="108"/>
      <c r="I200" s="108"/>
      <c r="J200" s="109"/>
    </row>
    <row r="201" spans="1:10" ht="21.95" customHeight="1" x14ac:dyDescent="0.25">
      <c r="A201" s="210" t="s">
        <v>1638</v>
      </c>
      <c r="B201" s="111"/>
      <c r="C201" s="111"/>
      <c r="D201" s="111"/>
      <c r="E201" s="111"/>
      <c r="F201" s="111"/>
      <c r="G201" s="111"/>
      <c r="H201" s="111"/>
      <c r="I201" s="111"/>
      <c r="J201" s="112"/>
    </row>
    <row r="202" spans="1:10" ht="8.1" customHeight="1" x14ac:dyDescent="0.25">
      <c r="A202" s="107"/>
      <c r="B202" s="108"/>
      <c r="C202" s="108"/>
      <c r="D202" s="108"/>
      <c r="E202" s="108"/>
      <c r="F202" s="108"/>
      <c r="G202" s="108"/>
      <c r="H202" s="108"/>
      <c r="I202" s="108"/>
      <c r="J202" s="109"/>
    </row>
    <row r="203" spans="1:10" ht="45" customHeight="1" x14ac:dyDescent="0.25">
      <c r="A203" s="259" t="s">
        <v>1719</v>
      </c>
      <c r="B203" s="260"/>
      <c r="C203" s="260"/>
      <c r="D203" s="260"/>
      <c r="E203" s="260"/>
      <c r="F203" s="260"/>
      <c r="G203" s="260"/>
      <c r="H203" s="260"/>
      <c r="I203" s="261"/>
      <c r="J203" s="261"/>
    </row>
    <row r="204" spans="1:10" ht="8.1" customHeight="1" x14ac:dyDescent="0.25">
      <c r="A204" s="107"/>
      <c r="B204" s="108"/>
      <c r="C204" s="108"/>
      <c r="D204" s="108"/>
      <c r="E204" s="108"/>
      <c r="F204" s="108"/>
      <c r="G204" s="108"/>
      <c r="H204" s="108"/>
      <c r="I204" s="108"/>
      <c r="J204" s="109"/>
    </row>
    <row r="205" spans="1:10" ht="8.1" customHeight="1" x14ac:dyDescent="0.25">
      <c r="A205" s="107"/>
      <c r="B205" s="108"/>
      <c r="C205" s="108"/>
      <c r="D205" s="108"/>
      <c r="E205" s="108"/>
      <c r="F205" s="108"/>
      <c r="G205" s="108"/>
      <c r="H205" s="108"/>
      <c r="I205" s="108"/>
      <c r="J205" s="109"/>
    </row>
    <row r="206" spans="1:10" ht="45" customHeight="1" x14ac:dyDescent="0.25">
      <c r="A206" s="259" t="s">
        <v>1639</v>
      </c>
      <c r="B206" s="260"/>
      <c r="C206" s="260"/>
      <c r="D206" s="260"/>
      <c r="E206" s="260"/>
      <c r="F206" s="260"/>
      <c r="G206" s="260"/>
      <c r="H206" s="260"/>
      <c r="I206" s="261"/>
      <c r="J206" s="261"/>
    </row>
    <row r="207" spans="1:10" ht="8.1" customHeight="1" x14ac:dyDescent="0.25">
      <c r="A207" s="107"/>
      <c r="B207" s="108"/>
      <c r="C207" s="108"/>
      <c r="D207" s="108"/>
      <c r="E207" s="108"/>
      <c r="F207" s="108"/>
      <c r="G207" s="108"/>
      <c r="H207" s="108"/>
      <c r="I207" s="108"/>
      <c r="J207" s="109"/>
    </row>
    <row r="208" spans="1:10" ht="8.1" customHeight="1" x14ac:dyDescent="0.25">
      <c r="A208" s="107"/>
      <c r="B208" s="108"/>
      <c r="C208" s="108"/>
      <c r="D208" s="108"/>
      <c r="E208" s="108"/>
      <c r="F208" s="108"/>
      <c r="G208" s="108"/>
      <c r="H208" s="108"/>
      <c r="I208" s="108"/>
      <c r="J208" s="109"/>
    </row>
    <row r="209" spans="1:10" ht="8.1" customHeight="1" x14ac:dyDescent="0.25">
      <c r="A209" s="107"/>
      <c r="B209" s="108"/>
      <c r="C209" s="108"/>
      <c r="D209" s="108"/>
      <c r="E209" s="108"/>
      <c r="F209" s="108"/>
      <c r="G209" s="108"/>
      <c r="H209" s="108"/>
      <c r="I209" s="108"/>
      <c r="J209" s="109"/>
    </row>
    <row r="210" spans="1:10" ht="21.95" customHeight="1" x14ac:dyDescent="0.25">
      <c r="A210" s="110" t="s">
        <v>1640</v>
      </c>
      <c r="B210" s="111"/>
      <c r="C210" s="111"/>
      <c r="D210" s="111"/>
      <c r="E210" s="111"/>
      <c r="F210" s="111"/>
      <c r="G210" s="111"/>
      <c r="H210" s="111"/>
      <c r="I210" s="111"/>
      <c r="J210" s="112"/>
    </row>
    <row r="211" spans="1:10" ht="8.1" customHeight="1" x14ac:dyDescent="0.25">
      <c r="A211" s="107"/>
      <c r="B211" s="108"/>
      <c r="C211" s="108"/>
      <c r="D211" s="108"/>
      <c r="E211" s="108"/>
      <c r="F211" s="108"/>
      <c r="G211" s="108"/>
      <c r="H211" s="108"/>
      <c r="I211" s="108"/>
      <c r="J211" s="109"/>
    </row>
    <row r="212" spans="1:10" ht="20.100000000000001" customHeight="1" thickBot="1" x14ac:dyDescent="0.3">
      <c r="A212" s="128" t="s">
        <v>1641</v>
      </c>
      <c r="B212" s="129" t="s">
        <v>1642</v>
      </c>
      <c r="C212" s="129" t="s">
        <v>430</v>
      </c>
      <c r="D212" s="130"/>
      <c r="E212" s="121"/>
      <c r="F212" s="121"/>
      <c r="G212" s="121"/>
      <c r="H212" s="121"/>
      <c r="I212" s="108"/>
      <c r="J212" s="109"/>
    </row>
    <row r="213" spans="1:10" ht="29.25" thickBot="1" x14ac:dyDescent="0.3">
      <c r="A213" s="211" t="s">
        <v>1643</v>
      </c>
      <c r="B213" s="212" t="s">
        <v>1644</v>
      </c>
      <c r="C213" s="212" t="s">
        <v>1645</v>
      </c>
      <c r="D213" s="191"/>
      <c r="E213" s="108"/>
      <c r="F213" s="108"/>
      <c r="G213" s="108"/>
      <c r="H213" s="108"/>
      <c r="I213" s="108"/>
      <c r="J213" s="109"/>
    </row>
    <row r="214" spans="1:10" ht="29.25" thickBot="1" x14ac:dyDescent="0.3">
      <c r="A214" s="213" t="s">
        <v>1646</v>
      </c>
      <c r="B214" s="214" t="s">
        <v>1647</v>
      </c>
      <c r="C214" s="214" t="s">
        <v>1648</v>
      </c>
      <c r="D214" s="197"/>
      <c r="E214" s="108"/>
      <c r="F214" s="108"/>
      <c r="G214" s="108"/>
      <c r="H214" s="108"/>
      <c r="I214" s="108"/>
      <c r="J214" s="109"/>
    </row>
    <row r="215" spans="1:10" ht="29.25" thickBot="1" x14ac:dyDescent="0.3">
      <c r="A215" s="215" t="s">
        <v>1649</v>
      </c>
      <c r="B215" s="216" t="s">
        <v>1650</v>
      </c>
      <c r="C215" s="216" t="s">
        <v>1651</v>
      </c>
      <c r="D215" s="194"/>
      <c r="E215" s="108"/>
      <c r="F215" s="108"/>
      <c r="G215" s="108"/>
      <c r="H215" s="108"/>
      <c r="I215" s="108"/>
      <c r="J215" s="109"/>
    </row>
    <row r="216" spans="1:10" ht="28.5" x14ac:dyDescent="0.25">
      <c r="A216" s="217" t="s">
        <v>1652</v>
      </c>
      <c r="B216" s="218" t="s">
        <v>1653</v>
      </c>
      <c r="C216" s="218" t="s">
        <v>1654</v>
      </c>
      <c r="D216" s="200"/>
      <c r="E216" s="108"/>
      <c r="F216" s="108"/>
      <c r="G216" s="108"/>
      <c r="H216" s="108"/>
      <c r="I216" s="108"/>
      <c r="J216" s="109"/>
    </row>
    <row r="217" spans="1:10" ht="8.1" customHeight="1" x14ac:dyDescent="0.25">
      <c r="A217" s="107"/>
      <c r="B217" s="108"/>
      <c r="C217" s="108"/>
      <c r="D217" s="108"/>
      <c r="E217" s="108"/>
      <c r="F217" s="108"/>
      <c r="G217" s="108"/>
      <c r="H217" s="108"/>
      <c r="I217" s="108"/>
      <c r="J217" s="109"/>
    </row>
    <row r="218" spans="1:10" ht="8.1" customHeight="1" x14ac:dyDescent="0.25">
      <c r="A218" s="107"/>
      <c r="B218" s="108"/>
      <c r="C218" s="108"/>
      <c r="D218" s="108"/>
      <c r="E218" s="108"/>
      <c r="F218" s="108"/>
      <c r="G218" s="108"/>
      <c r="H218" s="108"/>
      <c r="I218" s="108"/>
      <c r="J218" s="109"/>
    </row>
    <row r="219" spans="1:10" ht="21.95" customHeight="1" x14ac:dyDescent="0.25">
      <c r="A219" s="210" t="s">
        <v>1655</v>
      </c>
      <c r="B219" s="111"/>
      <c r="C219" s="111"/>
      <c r="D219" s="111"/>
      <c r="E219" s="111"/>
      <c r="F219" s="111"/>
      <c r="G219" s="111"/>
      <c r="H219" s="111"/>
      <c r="I219" s="111"/>
      <c r="J219" s="112"/>
    </row>
    <row r="220" spans="1:10" ht="8.1" customHeight="1" x14ac:dyDescent="0.25">
      <c r="A220" s="107"/>
      <c r="B220" s="108"/>
      <c r="C220" s="108"/>
      <c r="D220" s="108"/>
      <c r="E220" s="108"/>
      <c r="F220" s="108"/>
      <c r="G220" s="108"/>
      <c r="H220" s="108"/>
      <c r="I220" s="108"/>
      <c r="J220" s="109"/>
    </row>
    <row r="221" spans="1:10" x14ac:dyDescent="0.25">
      <c r="A221" s="116" t="s">
        <v>1656</v>
      </c>
      <c r="B221" s="108"/>
      <c r="C221" s="108"/>
      <c r="D221" s="108"/>
      <c r="E221" s="108"/>
      <c r="F221" s="108"/>
      <c r="G221" s="108"/>
      <c r="H221" s="108"/>
      <c r="I221" s="108"/>
      <c r="J221" s="109"/>
    </row>
    <row r="222" spans="1:10" ht="28.5" x14ac:dyDescent="0.25">
      <c r="A222" s="113" t="s">
        <v>1657</v>
      </c>
      <c r="B222" s="114"/>
      <c r="C222" s="114"/>
      <c r="D222" s="114"/>
      <c r="E222" s="114"/>
      <c r="F222" s="114"/>
      <c r="G222" s="114"/>
      <c r="H222" s="114"/>
      <c r="I222" s="114"/>
      <c r="J222" s="115"/>
    </row>
    <row r="223" spans="1:10" ht="28.5" x14ac:dyDescent="0.25">
      <c r="A223" s="113" t="s">
        <v>1658</v>
      </c>
      <c r="B223" s="114"/>
      <c r="C223" s="114"/>
      <c r="D223" s="114"/>
      <c r="E223" s="114"/>
      <c r="F223" s="114"/>
      <c r="G223" s="114"/>
      <c r="H223" s="114"/>
      <c r="I223" s="114"/>
      <c r="J223" s="115"/>
    </row>
    <row r="224" spans="1:10" x14ac:dyDescent="0.25">
      <c r="A224" s="113" t="s">
        <v>1659</v>
      </c>
      <c r="B224" s="114"/>
      <c r="C224" s="114"/>
      <c r="D224" s="114"/>
      <c r="E224" s="114"/>
      <c r="F224" s="114"/>
      <c r="G224" s="114"/>
      <c r="H224" s="114"/>
      <c r="I224" s="114"/>
      <c r="J224" s="115"/>
    </row>
    <row r="225" spans="1:10" ht="28.5" x14ac:dyDescent="0.25">
      <c r="A225" s="113" t="s">
        <v>1660</v>
      </c>
      <c r="B225" s="114"/>
      <c r="C225" s="114"/>
      <c r="D225" s="114"/>
      <c r="E225" s="114"/>
      <c r="F225" s="114"/>
      <c r="G225" s="114"/>
      <c r="H225" s="114"/>
      <c r="I225" s="114"/>
      <c r="J225" s="115"/>
    </row>
    <row r="226" spans="1:10" ht="8.1" customHeight="1" x14ac:dyDescent="0.25">
      <c r="A226" s="107"/>
      <c r="B226" s="108"/>
      <c r="C226" s="108"/>
      <c r="D226" s="108"/>
      <c r="E226" s="108"/>
      <c r="F226" s="108"/>
      <c r="G226" s="108"/>
      <c r="H226" s="108"/>
      <c r="I226" s="108"/>
      <c r="J226" s="109"/>
    </row>
    <row r="227" spans="1:10" x14ac:dyDescent="0.25">
      <c r="A227" s="219" t="s">
        <v>1661</v>
      </c>
      <c r="B227" s="108"/>
      <c r="C227" s="108"/>
      <c r="D227" s="108"/>
      <c r="E227" s="108"/>
      <c r="F227" s="108"/>
      <c r="G227" s="108"/>
      <c r="H227" s="108"/>
      <c r="I227" s="108"/>
      <c r="J227" s="109"/>
    </row>
    <row r="228" spans="1:10" x14ac:dyDescent="0.25">
      <c r="A228" s="113" t="s">
        <v>1662</v>
      </c>
      <c r="B228" s="114"/>
      <c r="C228" s="114"/>
      <c r="D228" s="114"/>
      <c r="E228" s="114"/>
      <c r="F228" s="114"/>
      <c r="G228" s="114"/>
      <c r="H228" s="114"/>
      <c r="I228" s="114"/>
      <c r="J228" s="115"/>
    </row>
    <row r="229" spans="1:10" x14ac:dyDescent="0.25">
      <c r="A229" s="113" t="s">
        <v>1663</v>
      </c>
      <c r="B229" s="114"/>
      <c r="C229" s="114"/>
      <c r="D229" s="114"/>
      <c r="E229" s="114"/>
      <c r="F229" s="114"/>
      <c r="G229" s="114"/>
      <c r="H229" s="114"/>
      <c r="I229" s="114"/>
      <c r="J229" s="115"/>
    </row>
    <row r="230" spans="1:10" x14ac:dyDescent="0.25">
      <c r="A230" s="113" t="s">
        <v>1664</v>
      </c>
      <c r="B230" s="114"/>
      <c r="C230" s="114"/>
      <c r="D230" s="114"/>
      <c r="E230" s="114"/>
      <c r="F230" s="114"/>
      <c r="G230" s="114"/>
      <c r="H230" s="114"/>
      <c r="I230" s="114"/>
      <c r="J230" s="115"/>
    </row>
    <row r="231" spans="1:10" x14ac:dyDescent="0.25">
      <c r="A231" s="113" t="s">
        <v>1665</v>
      </c>
      <c r="B231" s="114"/>
      <c r="C231" s="114"/>
      <c r="D231" s="114"/>
      <c r="E231" s="114"/>
      <c r="F231" s="114"/>
      <c r="G231" s="114"/>
      <c r="H231" s="114"/>
      <c r="I231" s="114"/>
      <c r="J231" s="115"/>
    </row>
    <row r="232" spans="1:10" ht="8.1" customHeight="1" x14ac:dyDescent="0.25">
      <c r="A232" s="107"/>
      <c r="B232" s="108"/>
      <c r="C232" s="108"/>
      <c r="D232" s="108"/>
      <c r="E232" s="108"/>
      <c r="F232" s="108"/>
      <c r="G232" s="108"/>
      <c r="H232" s="108"/>
      <c r="I232" s="108"/>
      <c r="J232" s="109"/>
    </row>
    <row r="233" spans="1:10" ht="8.1" customHeight="1" x14ac:dyDescent="0.25">
      <c r="A233" s="107"/>
      <c r="B233" s="108"/>
      <c r="C233" s="108"/>
      <c r="D233" s="108"/>
      <c r="E233" s="108"/>
      <c r="F233" s="108"/>
      <c r="G233" s="108"/>
      <c r="H233" s="108"/>
      <c r="I233" s="108"/>
      <c r="J233" s="109"/>
    </row>
    <row r="234" spans="1:10" ht="30" customHeight="1" x14ac:dyDescent="0.25">
      <c r="A234" s="251" t="s">
        <v>1666</v>
      </c>
      <c r="B234" s="252"/>
      <c r="C234" s="252"/>
      <c r="D234" s="252"/>
      <c r="E234" s="252"/>
      <c r="F234" s="252"/>
      <c r="G234" s="252"/>
      <c r="H234" s="252"/>
      <c r="I234" s="251"/>
      <c r="J234" s="251"/>
    </row>
    <row r="235" spans="1:10" ht="8.1" customHeight="1" x14ac:dyDescent="0.25">
      <c r="A235" s="107"/>
      <c r="B235" s="108"/>
      <c r="C235" s="108"/>
      <c r="D235" s="108"/>
      <c r="E235" s="108"/>
      <c r="F235" s="108"/>
      <c r="G235" s="108"/>
      <c r="H235" s="108"/>
      <c r="I235" s="108"/>
      <c r="J235" s="109"/>
    </row>
    <row r="236" spans="1:10" ht="45" customHeight="1" x14ac:dyDescent="0.25">
      <c r="A236" s="259" t="s">
        <v>1667</v>
      </c>
      <c r="B236" s="260"/>
      <c r="C236" s="260"/>
      <c r="D236" s="260"/>
      <c r="E236" s="260"/>
      <c r="F236" s="260"/>
      <c r="G236" s="260"/>
      <c r="H236" s="260"/>
      <c r="I236" s="261"/>
      <c r="J236" s="261"/>
    </row>
    <row r="237" spans="1:10" ht="8.1" customHeight="1" x14ac:dyDescent="0.25">
      <c r="A237" s="107"/>
      <c r="B237" s="108"/>
      <c r="C237" s="108"/>
      <c r="D237" s="108"/>
      <c r="E237" s="108"/>
      <c r="F237" s="108"/>
      <c r="G237" s="108"/>
      <c r="H237" s="108"/>
      <c r="I237" s="108"/>
      <c r="J237" s="109"/>
    </row>
    <row r="238" spans="1:10" ht="8.1" customHeight="1" x14ac:dyDescent="0.25">
      <c r="A238" s="107"/>
      <c r="B238" s="108"/>
      <c r="C238" s="108"/>
      <c r="D238" s="108"/>
      <c r="E238" s="108"/>
      <c r="F238" s="108"/>
      <c r="G238" s="108"/>
      <c r="H238" s="108"/>
      <c r="I238" s="108"/>
      <c r="J238" s="109"/>
    </row>
    <row r="239" spans="1:10" ht="45" customHeight="1" x14ac:dyDescent="0.25">
      <c r="A239" s="259" t="s">
        <v>1668</v>
      </c>
      <c r="B239" s="260"/>
      <c r="C239" s="260"/>
      <c r="D239" s="260"/>
      <c r="E239" s="260"/>
      <c r="F239" s="260"/>
      <c r="G239" s="260"/>
      <c r="H239" s="260"/>
      <c r="I239" s="261"/>
      <c r="J239" s="261"/>
    </row>
    <row r="240" spans="1:10" ht="8.1" customHeight="1" x14ac:dyDescent="0.25">
      <c r="A240" s="107"/>
      <c r="B240" s="108"/>
      <c r="C240" s="108"/>
      <c r="D240" s="108"/>
      <c r="E240" s="108"/>
      <c r="F240" s="108"/>
      <c r="G240" s="108"/>
      <c r="H240" s="108"/>
      <c r="I240" s="108"/>
      <c r="J240" s="109"/>
    </row>
    <row r="241" spans="1:10" ht="33" x14ac:dyDescent="0.25">
      <c r="A241" s="220" t="s">
        <v>1669</v>
      </c>
      <c r="B241" s="221"/>
      <c r="C241" s="221"/>
      <c r="D241" s="221"/>
      <c r="E241" s="221"/>
      <c r="F241" s="221"/>
      <c r="G241" s="221"/>
      <c r="H241" s="221"/>
      <c r="I241" s="221"/>
      <c r="J241" s="222"/>
    </row>
    <row r="242" spans="1:10" ht="33" x14ac:dyDescent="0.25">
      <c r="A242" s="220" t="s">
        <v>1670</v>
      </c>
      <c r="B242" s="221"/>
      <c r="C242" s="221"/>
      <c r="D242" s="221"/>
      <c r="E242" s="221"/>
      <c r="F242" s="221"/>
      <c r="G242" s="221"/>
      <c r="H242" s="221"/>
      <c r="I242" s="221"/>
      <c r="J242" s="222"/>
    </row>
    <row r="243" spans="1:10" ht="33" x14ac:dyDescent="0.25">
      <c r="A243" s="220" t="s">
        <v>1671</v>
      </c>
      <c r="B243" s="221"/>
      <c r="C243" s="221"/>
      <c r="D243" s="221"/>
      <c r="E243" s="221"/>
      <c r="F243" s="221"/>
      <c r="G243" s="221"/>
      <c r="H243" s="221"/>
      <c r="I243" s="221"/>
      <c r="J243" s="222"/>
    </row>
    <row r="244" spans="1:10" ht="33" x14ac:dyDescent="0.25">
      <c r="A244" s="220" t="s">
        <v>1672</v>
      </c>
      <c r="B244" s="221"/>
      <c r="C244" s="221"/>
      <c r="D244" s="221"/>
      <c r="E244" s="221"/>
      <c r="F244" s="221"/>
      <c r="G244" s="221"/>
      <c r="H244" s="221"/>
      <c r="I244" s="221"/>
      <c r="J244" s="222"/>
    </row>
    <row r="245" spans="1:10" ht="33" x14ac:dyDescent="0.25">
      <c r="A245" s="220" t="s">
        <v>1673</v>
      </c>
      <c r="B245" s="221"/>
      <c r="C245" s="221"/>
      <c r="D245" s="221"/>
      <c r="E245" s="221"/>
      <c r="F245" s="221"/>
      <c r="G245" s="221"/>
      <c r="H245" s="221"/>
      <c r="I245" s="221"/>
      <c r="J245" s="222"/>
    </row>
    <row r="246" spans="1:10" ht="8.1" customHeight="1" x14ac:dyDescent="0.25">
      <c r="A246" s="107"/>
      <c r="B246" s="108"/>
      <c r="C246" s="108"/>
      <c r="D246" s="108"/>
      <c r="E246" s="108"/>
      <c r="F246" s="108"/>
      <c r="G246" s="108"/>
      <c r="H246" s="108"/>
      <c r="I246" s="108"/>
      <c r="J246" s="109"/>
    </row>
    <row r="247" spans="1:10" ht="8.1" customHeight="1" x14ac:dyDescent="0.25">
      <c r="A247" s="107"/>
      <c r="B247" s="108"/>
      <c r="C247" s="108"/>
      <c r="D247" s="108"/>
      <c r="E247" s="108"/>
      <c r="F247" s="108"/>
      <c r="G247" s="108"/>
      <c r="H247" s="108"/>
      <c r="I247" s="108"/>
      <c r="J247" s="109"/>
    </row>
    <row r="248" spans="1:10" ht="30" customHeight="1" x14ac:dyDescent="0.25">
      <c r="A248" s="251" t="s">
        <v>1674</v>
      </c>
      <c r="B248" s="252"/>
      <c r="C248" s="252"/>
      <c r="D248" s="252"/>
      <c r="E248" s="252"/>
      <c r="F248" s="252"/>
      <c r="G248" s="252"/>
      <c r="H248" s="252"/>
      <c r="I248" s="251"/>
      <c r="J248" s="251"/>
    </row>
    <row r="249" spans="1:10" ht="8.1" customHeight="1" x14ac:dyDescent="0.25">
      <c r="A249" s="107"/>
      <c r="B249" s="108"/>
      <c r="C249" s="108"/>
      <c r="D249" s="108"/>
      <c r="E249" s="108"/>
      <c r="F249" s="108"/>
      <c r="G249" s="108"/>
      <c r="H249" s="108"/>
      <c r="I249" s="108"/>
      <c r="J249" s="109"/>
    </row>
    <row r="250" spans="1:10" ht="20.100000000000001" customHeight="1" thickBot="1" x14ac:dyDescent="0.3">
      <c r="A250" s="128" t="s">
        <v>1675</v>
      </c>
      <c r="B250" s="129" t="s">
        <v>1676</v>
      </c>
      <c r="C250" s="130"/>
      <c r="D250" s="121"/>
      <c r="E250" s="121"/>
      <c r="F250" s="121"/>
      <c r="G250" s="121"/>
      <c r="H250" s="121"/>
      <c r="I250" s="108"/>
      <c r="J250" s="109"/>
    </row>
    <row r="251" spans="1:10" ht="15" thickBot="1" x14ac:dyDescent="0.3">
      <c r="A251" s="134" t="s">
        <v>1677</v>
      </c>
      <c r="B251" s="136" t="s">
        <v>1678</v>
      </c>
      <c r="C251" s="137"/>
      <c r="D251" s="108"/>
      <c r="E251" s="108"/>
      <c r="F251" s="108"/>
      <c r="G251" s="108"/>
      <c r="H251" s="108"/>
      <c r="I251" s="108"/>
      <c r="J251" s="109"/>
    </row>
    <row r="252" spans="1:10" ht="15" thickBot="1" x14ac:dyDescent="0.3">
      <c r="A252" s="134" t="s">
        <v>1679</v>
      </c>
      <c r="B252" s="136" t="s">
        <v>1680</v>
      </c>
      <c r="C252" s="137"/>
      <c r="D252" s="108"/>
      <c r="E252" s="108"/>
      <c r="F252" s="108"/>
      <c r="G252" s="108"/>
      <c r="H252" s="108"/>
      <c r="I252" s="108"/>
      <c r="J252" s="109"/>
    </row>
    <row r="253" spans="1:10" ht="15" thickBot="1" x14ac:dyDescent="0.3">
      <c r="A253" s="134" t="s">
        <v>1681</v>
      </c>
      <c r="B253" s="136" t="s">
        <v>1682</v>
      </c>
      <c r="C253" s="137"/>
      <c r="D253" s="108"/>
      <c r="E253" s="108"/>
      <c r="F253" s="108"/>
      <c r="G253" s="108"/>
      <c r="H253" s="108"/>
      <c r="I253" s="108"/>
      <c r="J253" s="109"/>
    </row>
    <row r="254" spans="1:10" ht="15" thickBot="1" x14ac:dyDescent="0.3">
      <c r="A254" s="134" t="s">
        <v>1683</v>
      </c>
      <c r="B254" s="136" t="s">
        <v>1684</v>
      </c>
      <c r="C254" s="137"/>
      <c r="D254" s="108"/>
      <c r="E254" s="108"/>
      <c r="F254" s="108"/>
      <c r="G254" s="108"/>
      <c r="H254" s="108"/>
      <c r="I254" s="108"/>
      <c r="J254" s="109"/>
    </row>
    <row r="255" spans="1:10" ht="15" thickBot="1" x14ac:dyDescent="0.3">
      <c r="A255" s="134" t="s">
        <v>1685</v>
      </c>
      <c r="B255" s="136" t="s">
        <v>1686</v>
      </c>
      <c r="C255" s="137"/>
      <c r="D255" s="108"/>
      <c r="E255" s="108"/>
      <c r="F255" s="108"/>
      <c r="G255" s="108"/>
      <c r="H255" s="108"/>
      <c r="I255" s="108"/>
      <c r="J255" s="109"/>
    </row>
    <row r="256" spans="1:10" x14ac:dyDescent="0.25">
      <c r="A256" s="156" t="s">
        <v>1687</v>
      </c>
      <c r="B256" s="157" t="s">
        <v>1688</v>
      </c>
      <c r="C256" s="146"/>
      <c r="D256" s="108"/>
      <c r="E256" s="108"/>
      <c r="F256" s="108"/>
      <c r="G256" s="108"/>
      <c r="H256" s="108"/>
      <c r="I256" s="108"/>
      <c r="J256" s="109"/>
    </row>
    <row r="257" spans="1:10" ht="8.1" customHeight="1" x14ac:dyDescent="0.25">
      <c r="A257" s="107"/>
      <c r="B257" s="108"/>
      <c r="C257" s="108"/>
      <c r="D257" s="108"/>
      <c r="E257" s="108"/>
      <c r="F257" s="108"/>
      <c r="G257" s="108"/>
      <c r="H257" s="108"/>
      <c r="I257" s="108"/>
      <c r="J257" s="109"/>
    </row>
    <row r="258" spans="1:10" ht="8.1" customHeight="1" x14ac:dyDescent="0.25">
      <c r="A258" s="107"/>
      <c r="B258" s="108"/>
      <c r="C258" s="108"/>
      <c r="D258" s="108"/>
      <c r="E258" s="108"/>
      <c r="F258" s="108"/>
      <c r="G258" s="108"/>
      <c r="H258" s="108"/>
      <c r="I258" s="108"/>
      <c r="J258" s="109"/>
    </row>
    <row r="259" spans="1:10" ht="24.95" customHeight="1" x14ac:dyDescent="0.25">
      <c r="A259" s="265" t="s">
        <v>1689</v>
      </c>
      <c r="B259" s="266"/>
      <c r="C259" s="266"/>
      <c r="D259" s="266"/>
      <c r="E259" s="266"/>
      <c r="F259" s="266"/>
      <c r="G259" s="266"/>
      <c r="H259" s="266"/>
      <c r="I259" s="267"/>
      <c r="J259" s="267"/>
    </row>
    <row r="260" spans="1:10" ht="8.1" customHeight="1" x14ac:dyDescent="0.25">
      <c r="A260" s="107"/>
      <c r="B260" s="108"/>
      <c r="C260" s="108"/>
      <c r="D260" s="108"/>
      <c r="E260" s="108"/>
      <c r="F260" s="108"/>
      <c r="G260" s="108"/>
      <c r="H260" s="108"/>
      <c r="I260" s="108"/>
      <c r="J260" s="109"/>
    </row>
    <row r="261" spans="1:10" ht="20.100000000000001" customHeight="1" thickBot="1" x14ac:dyDescent="0.3">
      <c r="A261" s="223" t="s">
        <v>260</v>
      </c>
      <c r="B261" s="224" t="s">
        <v>181</v>
      </c>
      <c r="C261" s="224" t="s">
        <v>1574</v>
      </c>
      <c r="D261" s="225"/>
      <c r="E261" s="121"/>
      <c r="F261" s="121"/>
      <c r="G261" s="121"/>
      <c r="H261" s="121"/>
      <c r="I261" s="108"/>
      <c r="J261" s="109"/>
    </row>
    <row r="262" spans="1:10" ht="15" thickBot="1" x14ac:dyDescent="0.3">
      <c r="A262" s="134" t="s">
        <v>1690</v>
      </c>
      <c r="B262" s="136">
        <f>Rapport_Complet!B6</f>
        <v>130</v>
      </c>
      <c r="C262" s="136" t="s">
        <v>1691</v>
      </c>
      <c r="D262" s="137"/>
      <c r="E262" s="108"/>
      <c r="F262" s="108"/>
      <c r="G262" s="108"/>
      <c r="H262" s="108"/>
      <c r="I262" s="108"/>
      <c r="J262" s="109"/>
    </row>
    <row r="263" spans="1:10" ht="15" thickBot="1" x14ac:dyDescent="0.3">
      <c r="A263" s="226" t="s">
        <v>253</v>
      </c>
      <c r="B263" s="227">
        <f>Rapport_Complet!B10</f>
        <v>36.086923076923071</v>
      </c>
      <c r="C263" s="228" t="s">
        <v>1692</v>
      </c>
      <c r="D263" s="229"/>
      <c r="E263" s="108"/>
      <c r="F263" s="108"/>
      <c r="G263" s="108"/>
      <c r="H263" s="108"/>
      <c r="I263" s="108"/>
      <c r="J263" s="109"/>
    </row>
    <row r="264" spans="1:10" ht="15" thickBot="1" x14ac:dyDescent="0.3">
      <c r="A264" s="134" t="s">
        <v>682</v>
      </c>
      <c r="B264" s="135">
        <f>Rapport_Complet!C17</f>
        <v>56.92307692307692</v>
      </c>
      <c r="C264" s="136" t="s">
        <v>1693</v>
      </c>
      <c r="D264" s="137"/>
      <c r="E264" s="108"/>
      <c r="F264" s="108"/>
      <c r="G264" s="108"/>
      <c r="H264" s="108"/>
      <c r="I264" s="108"/>
      <c r="J264" s="109"/>
    </row>
    <row r="265" spans="1:10" ht="15" thickBot="1" x14ac:dyDescent="0.3">
      <c r="A265" s="226" t="s">
        <v>1694</v>
      </c>
      <c r="B265" s="227">
        <f>Rapport_Complet!C47</f>
        <v>57.692307692307686</v>
      </c>
      <c r="C265" s="228" t="s">
        <v>1695</v>
      </c>
      <c r="D265" s="229"/>
      <c r="E265" s="108"/>
      <c r="F265" s="108"/>
      <c r="G265" s="108"/>
      <c r="H265" s="108"/>
      <c r="I265" s="108"/>
      <c r="J265" s="109"/>
    </row>
    <row r="266" spans="1:10" ht="15" thickBot="1" x14ac:dyDescent="0.3">
      <c r="A266" s="134" t="s">
        <v>1696</v>
      </c>
      <c r="B266" s="135">
        <f>Rapport_Complet!C48</f>
        <v>23.846153846153847</v>
      </c>
      <c r="C266" s="136" t="s">
        <v>1697</v>
      </c>
      <c r="D266" s="137"/>
      <c r="E266" s="108"/>
      <c r="F266" s="108"/>
      <c r="G266" s="108"/>
      <c r="H266" s="108"/>
      <c r="I266" s="108"/>
      <c r="J266" s="109"/>
    </row>
    <row r="267" spans="1:10" ht="15" thickBot="1" x14ac:dyDescent="0.3">
      <c r="A267" s="226" t="s">
        <v>1698</v>
      </c>
      <c r="B267" s="227">
        <f>Rapport_Complet!C49</f>
        <v>14.615384615384617</v>
      </c>
      <c r="C267" s="228" t="s">
        <v>1699</v>
      </c>
      <c r="D267" s="229"/>
      <c r="E267" s="108"/>
      <c r="F267" s="108"/>
      <c r="G267" s="108"/>
      <c r="H267" s="108"/>
      <c r="I267" s="108"/>
      <c r="J267" s="109"/>
    </row>
    <row r="268" spans="1:10" ht="15" thickBot="1" x14ac:dyDescent="0.3">
      <c r="A268" s="134" t="s">
        <v>1700</v>
      </c>
      <c r="B268" s="155">
        <f>Statistic_Analysis!C35</f>
        <v>0.26919999999999999</v>
      </c>
      <c r="C268" s="136" t="s">
        <v>1701</v>
      </c>
      <c r="D268" s="137"/>
      <c r="E268" s="108"/>
      <c r="F268" s="108"/>
      <c r="G268" s="108"/>
      <c r="H268" s="108"/>
      <c r="I268" s="108"/>
      <c r="J268" s="109"/>
    </row>
    <row r="269" spans="1:10" ht="15" thickBot="1" x14ac:dyDescent="0.3">
      <c r="A269" s="226" t="s">
        <v>1702</v>
      </c>
      <c r="B269" s="228">
        <f>Statistic_Analysis!F50</f>
        <v>112.66670000000001</v>
      </c>
      <c r="C269" s="228" t="s">
        <v>1703</v>
      </c>
      <c r="D269" s="229"/>
      <c r="E269" s="108"/>
      <c r="F269" s="108"/>
      <c r="G269" s="108"/>
      <c r="H269" s="108"/>
      <c r="I269" s="108"/>
      <c r="J269" s="109"/>
    </row>
    <row r="270" spans="1:10" ht="15" thickBot="1" x14ac:dyDescent="0.3">
      <c r="A270" s="134" t="s">
        <v>1704</v>
      </c>
      <c r="B270" s="136">
        <f>Statistic_Analysis!B57</f>
        <v>0.94199999999999995</v>
      </c>
      <c r="C270" s="136" t="s">
        <v>1705</v>
      </c>
      <c r="D270" s="137"/>
      <c r="E270" s="108"/>
      <c r="F270" s="108"/>
      <c r="G270" s="108"/>
      <c r="H270" s="108"/>
      <c r="I270" s="108"/>
      <c r="J270" s="109"/>
    </row>
    <row r="271" spans="1:10" ht="15" thickBot="1" x14ac:dyDescent="0.3">
      <c r="A271" s="226" t="s">
        <v>1706</v>
      </c>
      <c r="B271" s="228">
        <f>Clustering_Analysis!D52</f>
        <v>0.53800000000000003</v>
      </c>
      <c r="C271" s="228" t="s">
        <v>1707</v>
      </c>
      <c r="D271" s="229"/>
      <c r="E271" s="108"/>
      <c r="F271" s="108"/>
      <c r="G271" s="108"/>
      <c r="H271" s="108"/>
      <c r="I271" s="108"/>
      <c r="J271" s="109"/>
    </row>
    <row r="272" spans="1:10" ht="15" thickBot="1" x14ac:dyDescent="0.3">
      <c r="A272" s="134" t="s">
        <v>1708</v>
      </c>
      <c r="B272" s="136">
        <f>Hierachical_Analysis!C43</f>
        <v>0.84699999999999998</v>
      </c>
      <c r="C272" s="136" t="s">
        <v>1709</v>
      </c>
      <c r="D272" s="137"/>
      <c r="E272" s="108"/>
      <c r="F272" s="108"/>
      <c r="G272" s="108"/>
      <c r="H272" s="108"/>
      <c r="I272" s="108"/>
      <c r="J272" s="109"/>
    </row>
    <row r="273" spans="1:10" ht="15" thickBot="1" x14ac:dyDescent="0.3">
      <c r="A273" s="226" t="s">
        <v>1710</v>
      </c>
      <c r="B273" s="228">
        <f>Hierachical_Analysis!Q55</f>
        <v>0.89200000000000002</v>
      </c>
      <c r="C273" s="228" t="s">
        <v>1711</v>
      </c>
      <c r="D273" s="229"/>
      <c r="E273" s="108"/>
      <c r="F273" s="108"/>
      <c r="G273" s="108"/>
      <c r="H273" s="108"/>
      <c r="I273" s="108"/>
      <c r="J273" s="109"/>
    </row>
    <row r="274" spans="1:10" ht="15" thickBot="1" x14ac:dyDescent="0.3">
      <c r="A274" s="134" t="s">
        <v>1712</v>
      </c>
      <c r="B274" s="136">
        <f>Clustering_Analysis!B69</f>
        <v>38</v>
      </c>
      <c r="C274" s="136" t="s">
        <v>1713</v>
      </c>
      <c r="D274" s="137"/>
      <c r="E274" s="108"/>
      <c r="F274" s="108"/>
      <c r="G274" s="108"/>
      <c r="H274" s="108"/>
      <c r="I274" s="108"/>
      <c r="J274" s="109"/>
    </row>
    <row r="275" spans="1:10" ht="15" thickBot="1" x14ac:dyDescent="0.3">
      <c r="A275" s="226" t="s">
        <v>1714</v>
      </c>
      <c r="B275" s="228">
        <f>Clustering_Analysis!B70</f>
        <v>32</v>
      </c>
      <c r="C275" s="228" t="s">
        <v>1715</v>
      </c>
      <c r="D275" s="229"/>
      <c r="E275" s="108"/>
      <c r="F275" s="108"/>
      <c r="G275" s="108"/>
      <c r="H275" s="108"/>
      <c r="I275" s="108"/>
      <c r="J275" s="109"/>
    </row>
    <row r="276" spans="1:10" x14ac:dyDescent="0.25">
      <c r="A276" s="156" t="s">
        <v>1716</v>
      </c>
      <c r="B276" s="157">
        <f>Clustering_Analysis!B71</f>
        <v>35</v>
      </c>
      <c r="C276" s="157" t="s">
        <v>1717</v>
      </c>
      <c r="D276" s="146"/>
      <c r="E276" s="108"/>
      <c r="F276" s="108"/>
      <c r="G276" s="108"/>
      <c r="H276" s="108"/>
      <c r="I276" s="108"/>
      <c r="J276" s="109"/>
    </row>
    <row r="277" spans="1:10" ht="8.1" customHeight="1" x14ac:dyDescent="0.25">
      <c r="A277" s="107"/>
      <c r="B277" s="108"/>
      <c r="C277" s="108"/>
      <c r="D277" s="108"/>
      <c r="E277" s="108"/>
      <c r="F277" s="108"/>
      <c r="G277" s="108"/>
      <c r="H277" s="108"/>
      <c r="I277" s="108"/>
      <c r="J277" s="109"/>
    </row>
    <row r="278" spans="1:10" ht="8.1" customHeight="1" x14ac:dyDescent="0.25">
      <c r="A278" s="107"/>
      <c r="B278" s="108"/>
      <c r="C278" s="108"/>
      <c r="D278" s="108"/>
      <c r="E278" s="108"/>
      <c r="F278" s="108"/>
      <c r="G278" s="108"/>
      <c r="H278" s="108"/>
      <c r="I278" s="108"/>
      <c r="J278" s="109"/>
    </row>
    <row r="279" spans="1:10" ht="5.0999999999999996" customHeight="1" x14ac:dyDescent="0.25">
      <c r="A279" s="268" t="s">
        <v>1718</v>
      </c>
      <c r="B279" s="269"/>
      <c r="C279" s="269"/>
      <c r="D279" s="269"/>
      <c r="E279" s="269"/>
      <c r="F279" s="269"/>
      <c r="G279" s="269"/>
      <c r="H279" s="269"/>
      <c r="I279" s="270"/>
      <c r="J279" s="270"/>
    </row>
    <row r="280" spans="1:10" x14ac:dyDescent="0.25">
      <c r="A280" s="271"/>
      <c r="B280" s="272"/>
      <c r="C280" s="272"/>
      <c r="D280" s="272"/>
      <c r="E280" s="272"/>
      <c r="F280" s="272"/>
      <c r="G280" s="272"/>
      <c r="H280" s="272"/>
      <c r="I280" s="272"/>
      <c r="J280" s="272"/>
    </row>
    <row r="281" spans="1:10" x14ac:dyDescent="0.25">
      <c r="A281" s="273"/>
      <c r="B281" s="272"/>
      <c r="C281" s="272"/>
      <c r="D281" s="272"/>
      <c r="E281" s="272"/>
      <c r="F281" s="272"/>
      <c r="G281" s="272"/>
      <c r="H281" s="272"/>
      <c r="I281" s="272"/>
      <c r="J281" s="272"/>
    </row>
  </sheetData>
  <mergeCells count="23">
    <mergeCell ref="A248:J248"/>
    <mergeCell ref="A259:J259"/>
    <mergeCell ref="A279:J279"/>
    <mergeCell ref="A280:J280"/>
    <mergeCell ref="A281:J281"/>
    <mergeCell ref="A239:J239"/>
    <mergeCell ref="A55:J55"/>
    <mergeCell ref="A89:J89"/>
    <mergeCell ref="A148:J148"/>
    <mergeCell ref="A169:J169"/>
    <mergeCell ref="A183:J183"/>
    <mergeCell ref="A187:J187"/>
    <mergeCell ref="A191:J191"/>
    <mergeCell ref="A203:J203"/>
    <mergeCell ref="A206:J206"/>
    <mergeCell ref="A234:J234"/>
    <mergeCell ref="A236:J236"/>
    <mergeCell ref="A19:J19"/>
    <mergeCell ref="A1:J1"/>
    <mergeCell ref="A2:J2"/>
    <mergeCell ref="A4:J4"/>
    <mergeCell ref="A7:J7"/>
    <mergeCell ref="A9:J9"/>
  </mergeCells>
  <pageMargins left="6.9444444444444441E-3" right="6.9444444444444441E-3" top="1.0416666666666666E-2" bottom="1.0416666666666666E-2" header="0.3" footer="0.3"/>
  <pageSetup paperSize="9" scal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38C69-485B-49F3-834E-BAB4493306E4}">
  <dimension ref="A1:H570"/>
  <sheetViews>
    <sheetView topLeftCell="A412" workbookViewId="0">
      <selection activeCell="A294" sqref="A294:G294"/>
    </sheetView>
  </sheetViews>
  <sheetFormatPr defaultColWidth="9" defaultRowHeight="14.25" x14ac:dyDescent="0.25"/>
  <cols>
    <col min="1" max="1" width="41.625" style="3" customWidth="1"/>
    <col min="2" max="4" width="13.375" style="3" customWidth="1"/>
    <col min="5" max="16384" width="9" style="3"/>
  </cols>
  <sheetData>
    <row r="1" spans="1:8" ht="24.75" x14ac:dyDescent="0.4">
      <c r="A1" s="275" t="s">
        <v>176</v>
      </c>
      <c r="B1" s="275"/>
      <c r="C1" s="275"/>
      <c r="D1" s="275"/>
      <c r="E1" s="275"/>
      <c r="F1" s="275"/>
      <c r="G1" s="275"/>
      <c r="H1" s="275"/>
    </row>
    <row r="2" spans="1:8" x14ac:dyDescent="0.25">
      <c r="A2" s="276"/>
      <c r="B2" s="276"/>
      <c r="C2" s="276"/>
      <c r="D2" s="276"/>
      <c r="E2" s="276"/>
      <c r="F2" s="276"/>
      <c r="G2" s="276"/>
      <c r="H2" s="276"/>
    </row>
    <row r="4" spans="1:8" ht="20.25" x14ac:dyDescent="0.35">
      <c r="A4" s="277" t="s">
        <v>177</v>
      </c>
      <c r="B4" s="277"/>
      <c r="C4" s="277"/>
      <c r="D4" s="277"/>
      <c r="E4" s="277"/>
      <c r="F4" s="277"/>
      <c r="G4" s="277"/>
      <c r="H4" s="277"/>
    </row>
    <row r="6" spans="1:8" x14ac:dyDescent="0.25">
      <c r="A6" s="4" t="s">
        <v>178</v>
      </c>
      <c r="B6" s="3">
        <f>COUNTA('Dermatoses Bulleuses CNHU HKM'!A:A)-1</f>
        <v>130</v>
      </c>
    </row>
    <row r="8" spans="1:8" x14ac:dyDescent="0.25">
      <c r="A8" s="274" t="s">
        <v>179</v>
      </c>
      <c r="B8" s="274"/>
      <c r="C8" s="274"/>
      <c r="D8" s="274"/>
    </row>
    <row r="9" spans="1:8" x14ac:dyDescent="0.25">
      <c r="A9" s="4" t="s">
        <v>180</v>
      </c>
      <c r="B9" s="4" t="s">
        <v>181</v>
      </c>
    </row>
    <row r="10" spans="1:8" x14ac:dyDescent="0.25">
      <c r="A10" s="3" t="s">
        <v>182</v>
      </c>
      <c r="B10" s="6">
        <f>AVERAGE('Dermatoses Bulleuses CNHU HKM'!F2:F131)</f>
        <v>36.086923076923071</v>
      </c>
    </row>
    <row r="11" spans="1:8" x14ac:dyDescent="0.25">
      <c r="A11" s="3" t="s">
        <v>183</v>
      </c>
      <c r="B11" s="6">
        <f>MEDIAN('Dermatoses Bulleuses CNHU HKM'!F2:F131)</f>
        <v>33</v>
      </c>
    </row>
    <row r="12" spans="1:8" x14ac:dyDescent="0.25">
      <c r="A12" s="3" t="s">
        <v>184</v>
      </c>
      <c r="B12" s="6">
        <f>_xlfn.MODE.SNGL('Dermatoses Bulleuses CNHU HKM'!F2:F131)</f>
        <v>46</v>
      </c>
    </row>
    <row r="13" spans="1:8" x14ac:dyDescent="0.25">
      <c r="A13" s="3" t="s">
        <v>185</v>
      </c>
      <c r="B13" s="6">
        <f>_xlfn.STDEV.P('Dermatoses Bulleuses CNHU HKM'!F2:F131)</f>
        <v>25.733801143666579</v>
      </c>
    </row>
    <row r="15" spans="1:8" x14ac:dyDescent="0.25">
      <c r="A15" s="274" t="s">
        <v>186</v>
      </c>
      <c r="B15" s="274"/>
      <c r="C15" s="274"/>
      <c r="D15" s="274"/>
    </row>
    <row r="16" spans="1:8" x14ac:dyDescent="0.25">
      <c r="A16" s="4" t="s">
        <v>181</v>
      </c>
      <c r="B16" s="4" t="s">
        <v>187</v>
      </c>
      <c r="C16" s="4" t="s">
        <v>188</v>
      </c>
    </row>
    <row r="17" spans="1:4" x14ac:dyDescent="0.25">
      <c r="A17" s="3" t="s">
        <v>30</v>
      </c>
      <c r="B17" s="3">
        <f>COUNTIF('Dermatoses Bulleuses CNHU HKM'!G:G,"Femme")</f>
        <v>74</v>
      </c>
      <c r="C17" s="6">
        <f>B17/$B$6*100</f>
        <v>56.92307692307692</v>
      </c>
    </row>
    <row r="18" spans="1:4" x14ac:dyDescent="0.25">
      <c r="A18" s="3" t="s">
        <v>22</v>
      </c>
      <c r="B18" s="3">
        <f>COUNTIF('Dermatoses Bulleuses CNHU HKM'!G:G,"Homme")</f>
        <v>56</v>
      </c>
      <c r="C18" s="6">
        <f>B18/$B$6*100</f>
        <v>43.07692307692308</v>
      </c>
    </row>
    <row r="20" spans="1:4" x14ac:dyDescent="0.25">
      <c r="A20" s="274" t="s">
        <v>189</v>
      </c>
      <c r="B20" s="274"/>
      <c r="C20" s="274"/>
      <c r="D20" s="274"/>
    </row>
    <row r="21" spans="1:4" x14ac:dyDescent="0.25">
      <c r="A21" s="4" t="s">
        <v>181</v>
      </c>
      <c r="B21" s="4" t="s">
        <v>187</v>
      </c>
      <c r="C21" s="4" t="s">
        <v>188</v>
      </c>
    </row>
    <row r="22" spans="1:4" x14ac:dyDescent="0.25">
      <c r="A22" s="3" t="s">
        <v>32</v>
      </c>
      <c r="B22" s="3">
        <f>COUNTIF('Dermatoses Bulleuses CNHU HKM'!K:K,"Oui")</f>
        <v>68</v>
      </c>
      <c r="C22" s="6">
        <f>B22/$B$6*100</f>
        <v>52.307692307692314</v>
      </c>
    </row>
    <row r="23" spans="1:4" x14ac:dyDescent="0.25">
      <c r="A23" s="3" t="s">
        <v>24</v>
      </c>
      <c r="B23" s="3">
        <f>COUNTIF('Dermatoses Bulleuses CNHU HKM'!K:K,"Non")</f>
        <v>62</v>
      </c>
      <c r="C23" s="6">
        <f>B23/$B$6*100</f>
        <v>47.692307692307693</v>
      </c>
    </row>
    <row r="25" spans="1:4" x14ac:dyDescent="0.25">
      <c r="A25" s="274" t="s">
        <v>190</v>
      </c>
      <c r="B25" s="274"/>
      <c r="C25" s="274"/>
      <c r="D25" s="274"/>
    </row>
    <row r="26" spans="1:4" x14ac:dyDescent="0.25">
      <c r="A26" s="4" t="s">
        <v>181</v>
      </c>
      <c r="B26" s="4" t="s">
        <v>187</v>
      </c>
      <c r="C26" s="4" t="s">
        <v>188</v>
      </c>
    </row>
    <row r="27" spans="1:4" x14ac:dyDescent="0.25">
      <c r="A27" s="3" t="s">
        <v>25</v>
      </c>
      <c r="B27" s="3">
        <f>COUNTIF('Dermatoses Bulleuses CNHU HKM'!M:M,"Cutanée seule")</f>
        <v>67</v>
      </c>
      <c r="C27" s="6">
        <f>B27/$B$6*100</f>
        <v>51.538461538461533</v>
      </c>
    </row>
    <row r="28" spans="1:4" x14ac:dyDescent="0.25">
      <c r="A28" s="3" t="s">
        <v>38</v>
      </c>
      <c r="B28" s="3">
        <f>COUNTIF('Dermatoses Bulleuses CNHU HKM'!M:M,"Cutanée et muqueuse")</f>
        <v>60</v>
      </c>
      <c r="C28" s="6">
        <f>B28/$B$6*100</f>
        <v>46.153846153846153</v>
      </c>
    </row>
    <row r="29" spans="1:4" x14ac:dyDescent="0.25">
      <c r="A29" s="3" t="s">
        <v>58</v>
      </c>
      <c r="B29" s="3">
        <f>COUNTIF('Dermatoses Bulleuses CNHU HKM'!M:M,"Muqueuse seule")</f>
        <v>3</v>
      </c>
      <c r="C29" s="6">
        <f>B29/$B$6*100</f>
        <v>2.3076923076923079</v>
      </c>
    </row>
    <row r="31" spans="1:4" x14ac:dyDescent="0.25">
      <c r="A31" s="274" t="s">
        <v>191</v>
      </c>
      <c r="B31" s="274"/>
      <c r="C31" s="274"/>
      <c r="D31" s="274"/>
    </row>
    <row r="32" spans="1:4" x14ac:dyDescent="0.25">
      <c r="A32" s="4" t="s">
        <v>180</v>
      </c>
      <c r="B32" s="4" t="s">
        <v>181</v>
      </c>
    </row>
    <row r="33" spans="1:4" x14ac:dyDescent="0.25">
      <c r="A33" s="3" t="s">
        <v>182</v>
      </c>
      <c r="B33" s="6">
        <f>AVERAGE('Dermatoses Bulleuses CNHU HKM'!N2:N131)</f>
        <v>24.853846153846153</v>
      </c>
    </row>
    <row r="34" spans="1:4" x14ac:dyDescent="0.25">
      <c r="A34" s="3" t="s">
        <v>183</v>
      </c>
      <c r="B34" s="6">
        <f>MEDIAN('Dermatoses Bulleuses CNHU HKM'!N2:N131)</f>
        <v>15</v>
      </c>
    </row>
    <row r="35" spans="1:4" x14ac:dyDescent="0.25">
      <c r="A35" s="3" t="s">
        <v>184</v>
      </c>
      <c r="B35" s="6">
        <f>_xlfn.MODE.SNGL('Dermatoses Bulleuses CNHU HKM'!N2:N131)</f>
        <v>10</v>
      </c>
    </row>
    <row r="36" spans="1:4" x14ac:dyDescent="0.25">
      <c r="A36" s="3" t="s">
        <v>185</v>
      </c>
      <c r="B36" s="6">
        <f>_xlfn.STDEV.P('Dermatoses Bulleuses CNHU HKM'!N2:N131)</f>
        <v>24.846021671475061</v>
      </c>
    </row>
    <row r="38" spans="1:4" x14ac:dyDescent="0.25">
      <c r="A38" s="274" t="s">
        <v>192</v>
      </c>
      <c r="B38" s="274"/>
      <c r="C38" s="274"/>
      <c r="D38" s="274"/>
    </row>
    <row r="39" spans="1:4" x14ac:dyDescent="0.25">
      <c r="A39" s="4" t="s">
        <v>181</v>
      </c>
      <c r="B39" s="4" t="s">
        <v>187</v>
      </c>
      <c r="C39" s="4" t="s">
        <v>188</v>
      </c>
    </row>
    <row r="40" spans="1:4" x14ac:dyDescent="0.25">
      <c r="A40" s="3" t="s">
        <v>34</v>
      </c>
      <c r="B40" s="3" cm="1">
        <f t="array" ref="B40">SUMPRODUCT(--(ISNUMBER(SEARCH("Prurit",'Dermatoses Bulleuses CNHU HKM'!O2:O131))))</f>
        <v>71</v>
      </c>
      <c r="C40" s="6">
        <f>B40/$B$6*100</f>
        <v>54.615384615384613</v>
      </c>
    </row>
    <row r="41" spans="1:4" x14ac:dyDescent="0.25">
      <c r="A41" s="3" t="s">
        <v>88</v>
      </c>
      <c r="B41" s="3" cm="1">
        <f t="array" ref="B41">SUMPRODUCT(--(ISNUMBER(SEARCH("Douleur",'Dermatoses Bulleuses CNHU HKM'!O2:O131))))</f>
        <v>55</v>
      </c>
      <c r="C41" s="6">
        <f>B41/$B$6*100</f>
        <v>42.307692307692307</v>
      </c>
    </row>
    <row r="42" spans="1:4" x14ac:dyDescent="0.25">
      <c r="A42" s="3" t="s">
        <v>73</v>
      </c>
      <c r="B42" s="3" cm="1">
        <f t="array" ref="B42">SUMPRODUCT(--(ISNUMBER(SEARCH("Fièvre",'Dermatoses Bulleuses CNHU HKM'!O2:O131))))</f>
        <v>18</v>
      </c>
      <c r="C42" s="6">
        <f>B42/$B$6*100</f>
        <v>13.846153846153847</v>
      </c>
    </row>
    <row r="43" spans="1:4" x14ac:dyDescent="0.25">
      <c r="A43" s="3" t="s">
        <v>26</v>
      </c>
      <c r="B43" s="3" cm="1">
        <f t="array" ref="B43">SUMPRODUCT(--(ISNUMBER(SEARCH("Autre",'Dermatoses Bulleuses CNHU HKM'!O2:O131))))</f>
        <v>25</v>
      </c>
      <c r="C43" s="6">
        <f>B43/$B$6*100</f>
        <v>19.230769230769234</v>
      </c>
    </row>
    <row r="45" spans="1:4" x14ac:dyDescent="0.25">
      <c r="A45" s="274" t="s">
        <v>193</v>
      </c>
      <c r="B45" s="274"/>
      <c r="C45" s="274"/>
      <c r="D45" s="274"/>
    </row>
    <row r="46" spans="1:4" x14ac:dyDescent="0.25">
      <c r="A46" s="4" t="s">
        <v>181</v>
      </c>
      <c r="B46" s="4" t="s">
        <v>187</v>
      </c>
      <c r="C46" s="4" t="s">
        <v>188</v>
      </c>
    </row>
    <row r="47" spans="1:4" x14ac:dyDescent="0.25">
      <c r="A47" s="3" t="s">
        <v>19</v>
      </c>
      <c r="B47" s="3">
        <f>COUNTIF('Dermatoses Bulleuses CNHU HKM'!Q:Q,"Toxidermie")</f>
        <v>75</v>
      </c>
      <c r="C47" s="6">
        <f>B47/$B$6*100</f>
        <v>57.692307692307686</v>
      </c>
    </row>
    <row r="48" spans="1:4" x14ac:dyDescent="0.25">
      <c r="A48" s="3" t="s">
        <v>40</v>
      </c>
      <c r="B48" s="3">
        <f>COUNTIF('Dermatoses Bulleuses CNHU HKM'!Q:Q,"Auto-immune")</f>
        <v>31</v>
      </c>
      <c r="C48" s="6">
        <f>B48/$B$6*100</f>
        <v>23.846153846153847</v>
      </c>
    </row>
    <row r="49" spans="1:4" x14ac:dyDescent="0.25">
      <c r="A49" s="3" t="s">
        <v>28</v>
      </c>
      <c r="B49" s="3">
        <f>COUNTIF('Dermatoses Bulleuses CNHU HKM'!Q:Q,"Infectieuse")</f>
        <v>19</v>
      </c>
      <c r="C49" s="6">
        <f>B49/$B$6*100</f>
        <v>14.615384615384617</v>
      </c>
    </row>
    <row r="50" spans="1:4" x14ac:dyDescent="0.25">
      <c r="A50" s="3" t="s">
        <v>144</v>
      </c>
      <c r="B50" s="3">
        <f>COUNTIF('Dermatoses Bulleuses CNHU HKM'!Q:Q,"Immunoallergique")</f>
        <v>5</v>
      </c>
      <c r="C50" s="6">
        <f>B50/$B$6*100</f>
        <v>3.8461538461538463</v>
      </c>
    </row>
    <row r="52" spans="1:4" x14ac:dyDescent="0.25">
      <c r="A52" s="274" t="s">
        <v>194</v>
      </c>
      <c r="B52" s="274"/>
      <c r="C52" s="274"/>
      <c r="D52" s="274"/>
    </row>
    <row r="53" spans="1:4" x14ac:dyDescent="0.25">
      <c r="A53" s="4" t="s">
        <v>181</v>
      </c>
      <c r="B53" s="4" t="s">
        <v>187</v>
      </c>
      <c r="C53" s="4" t="s">
        <v>188</v>
      </c>
    </row>
    <row r="54" spans="1:4" x14ac:dyDescent="0.25">
      <c r="A54" s="3" t="s">
        <v>44</v>
      </c>
      <c r="B54" s="3">
        <f>COUNTIF('Dermatoses Bulleuses CNHU HKM'!R:R,"Pemphigoïde bulleuse")</f>
        <v>15</v>
      </c>
      <c r="C54" s="6">
        <f>B54/$B$6*100</f>
        <v>11.538461538461538</v>
      </c>
    </row>
    <row r="55" spans="1:4" x14ac:dyDescent="0.25">
      <c r="A55" s="3" t="s">
        <v>136</v>
      </c>
      <c r="B55" s="3">
        <f>COUNTIF('Dermatoses Bulleuses CNHU HKM'!R:R,"Pemphigus vulgaire")</f>
        <v>7</v>
      </c>
      <c r="C55" s="6">
        <f t="shared" ref="C55:C60" si="0">B55/$B$6*100</f>
        <v>5.384615384615385</v>
      </c>
    </row>
    <row r="56" spans="1:4" x14ac:dyDescent="0.25">
      <c r="A56" s="3" t="s">
        <v>91</v>
      </c>
      <c r="B56" s="3">
        <f>COUNTIF('Dermatoses Bulleuses CNHU HKM'!R:R,"Pemphigus paranéoplasique")</f>
        <v>3</v>
      </c>
      <c r="C56" s="6">
        <f t="shared" si="0"/>
        <v>2.3076923076923079</v>
      </c>
    </row>
    <row r="57" spans="1:4" x14ac:dyDescent="0.25">
      <c r="A57" s="3" t="s">
        <v>41</v>
      </c>
      <c r="B57" s="3">
        <f>COUNTIF('Dermatoses Bulleuses CNHU HKM'!R:R,"Dermatose à IgA linéaire")</f>
        <v>1</v>
      </c>
      <c r="C57" s="6">
        <f t="shared" si="0"/>
        <v>0.76923076923076927</v>
      </c>
    </row>
    <row r="58" spans="1:4" x14ac:dyDescent="0.25">
      <c r="A58" s="3" t="s">
        <v>85</v>
      </c>
      <c r="B58" s="3">
        <f>COUNTIF('Dermatoses Bulleuses CNHU HKM'!R:R,"Épidermolyse bulleuse acquise")</f>
        <v>1</v>
      </c>
      <c r="C58" s="6">
        <f t="shared" si="0"/>
        <v>0.76923076923076927</v>
      </c>
    </row>
    <row r="59" spans="1:4" x14ac:dyDescent="0.25">
      <c r="A59" s="3" t="s">
        <v>98</v>
      </c>
      <c r="B59" s="3">
        <f>COUNTIF('Dermatoses Bulleuses CNHU HKM'!R:R,"Dermatite herpétiforme")</f>
        <v>1</v>
      </c>
      <c r="C59" s="6">
        <f t="shared" si="0"/>
        <v>0.76923076923076927</v>
      </c>
    </row>
    <row r="60" spans="1:4" x14ac:dyDescent="0.25">
      <c r="A60" s="3" t="s">
        <v>47</v>
      </c>
      <c r="B60" s="3">
        <f>COUNTIF('Dermatoses Bulleuses CNHU HKM'!R:R,"Autre à préciser...")</f>
        <v>3</v>
      </c>
      <c r="C60" s="6">
        <f t="shared" si="0"/>
        <v>2.3076923076923079</v>
      </c>
    </row>
    <row r="62" spans="1:4" x14ac:dyDescent="0.25">
      <c r="A62" s="274" t="s">
        <v>195</v>
      </c>
      <c r="B62" s="274"/>
      <c r="C62" s="274"/>
      <c r="D62" s="274"/>
    </row>
    <row r="63" spans="1:4" x14ac:dyDescent="0.25">
      <c r="A63" s="4" t="s">
        <v>181</v>
      </c>
      <c r="B63" s="4" t="s">
        <v>187</v>
      </c>
      <c r="C63" s="4" t="s">
        <v>188</v>
      </c>
    </row>
    <row r="64" spans="1:4" x14ac:dyDescent="0.25">
      <c r="A64" s="3" t="s">
        <v>101</v>
      </c>
      <c r="B64" s="3">
        <f>COUNTIF('Dermatoses Bulleuses CNHU HKM'!S:S,"Impétigo bulleux")</f>
        <v>10</v>
      </c>
      <c r="C64" s="6">
        <f>B64/$B$6*100</f>
        <v>7.6923076923076925</v>
      </c>
    </row>
    <row r="65" spans="1:4" x14ac:dyDescent="0.25">
      <c r="A65" s="3" t="s">
        <v>29</v>
      </c>
      <c r="B65" s="3">
        <f>COUNTIF('Dermatoses Bulleuses CNHU HKM'!S:S,"Épidermolyse staphylococcique")</f>
        <v>3</v>
      </c>
      <c r="C65" s="6">
        <f>B65/$B$6*100</f>
        <v>2.3076923076923079</v>
      </c>
    </row>
    <row r="66" spans="1:4" x14ac:dyDescent="0.25">
      <c r="A66" s="3" t="s">
        <v>147</v>
      </c>
      <c r="B66" s="3">
        <f>COUNTIF('Dermatoses Bulleuses CNHU HKM'!S:S,"DHBANN")</f>
        <v>2</v>
      </c>
      <c r="C66" s="6">
        <f>B66/$B$6*100</f>
        <v>1.5384615384615385</v>
      </c>
    </row>
    <row r="67" spans="1:4" x14ac:dyDescent="0.25">
      <c r="A67" s="3" t="s">
        <v>47</v>
      </c>
      <c r="B67" s="3">
        <f>COUNTIF('Dermatoses Bulleuses CNHU HKM'!S:S,"Autre à préciser...")</f>
        <v>4</v>
      </c>
      <c r="C67" s="6">
        <f>B67/$B$6*100</f>
        <v>3.0769230769230771</v>
      </c>
    </row>
    <row r="69" spans="1:4" x14ac:dyDescent="0.25">
      <c r="A69" s="274" t="s">
        <v>196</v>
      </c>
      <c r="B69" s="274"/>
      <c r="C69" s="274"/>
      <c r="D69" s="274"/>
    </row>
    <row r="70" spans="1:4" x14ac:dyDescent="0.25">
      <c r="A70" s="4" t="s">
        <v>181</v>
      </c>
      <c r="B70" s="4" t="s">
        <v>187</v>
      </c>
      <c r="C70" s="4" t="s">
        <v>188</v>
      </c>
    </row>
    <row r="71" spans="1:4" x14ac:dyDescent="0.25">
      <c r="A71" s="3" t="s">
        <v>35</v>
      </c>
      <c r="B71" s="3">
        <f>COUNTIF('Dermatoses Bulleuses CNHU HKM'!T:T,"EPF Bulleux")</f>
        <v>25</v>
      </c>
      <c r="C71" s="6">
        <f>B71/$B$6*100</f>
        <v>19.230769230769234</v>
      </c>
    </row>
    <row r="72" spans="1:4" x14ac:dyDescent="0.25">
      <c r="A72" s="3" t="s">
        <v>74</v>
      </c>
      <c r="B72" s="3">
        <f>COUNTIF('Dermatoses Bulleuses CNHU HKM'!T:T,"Syndrome de Stevens Johnson")</f>
        <v>20</v>
      </c>
      <c r="C72" s="6">
        <f>B72/$B$6*100</f>
        <v>15.384615384615385</v>
      </c>
    </row>
    <row r="73" spans="1:4" x14ac:dyDescent="0.25">
      <c r="A73" s="3" t="s">
        <v>64</v>
      </c>
      <c r="B73" s="3">
        <f>COUNTIF('Dermatoses Bulleuses CNHU HKM'!T:T,"Syndrome de Lyell")</f>
        <v>15</v>
      </c>
      <c r="C73" s="6">
        <f>B73/$B$6*100</f>
        <v>11.538461538461538</v>
      </c>
    </row>
    <row r="74" spans="1:4" x14ac:dyDescent="0.25">
      <c r="A74" s="3" t="s">
        <v>70</v>
      </c>
      <c r="B74" s="3">
        <f>COUNTIF('Dermatoses Bulleuses CNHU HKM'!T:T,"Syndrome de chevauchement")</f>
        <v>8</v>
      </c>
      <c r="C74" s="6">
        <f>B74/$B$6*100</f>
        <v>6.1538461538461542</v>
      </c>
    </row>
    <row r="75" spans="1:4" x14ac:dyDescent="0.25">
      <c r="A75" s="3" t="s">
        <v>47</v>
      </c>
      <c r="B75" s="3">
        <f>COUNTIF('Dermatoses Bulleuses CNHU HKM'!T:T,"Autre à préciser...")</f>
        <v>7</v>
      </c>
      <c r="C75" s="6">
        <f>B75/$B$6*100</f>
        <v>5.384615384615385</v>
      </c>
    </row>
    <row r="77" spans="1:4" x14ac:dyDescent="0.25">
      <c r="A77" s="274" t="s">
        <v>197</v>
      </c>
      <c r="B77" s="274"/>
      <c r="C77" s="274"/>
      <c r="D77" s="274"/>
    </row>
    <row r="78" spans="1:4" x14ac:dyDescent="0.25">
      <c r="A78" s="4" t="s">
        <v>180</v>
      </c>
      <c r="B78" s="4" t="s">
        <v>181</v>
      </c>
    </row>
    <row r="79" spans="1:4" x14ac:dyDescent="0.25">
      <c r="A79" s="3" t="s">
        <v>182</v>
      </c>
      <c r="B79" s="6">
        <f>AVERAGE('Dermatoses Bulleuses CNHU HKM'!J2:J131)</f>
        <v>141.33846153846153</v>
      </c>
    </row>
    <row r="80" spans="1:4" x14ac:dyDescent="0.25">
      <c r="A80" s="3" t="s">
        <v>183</v>
      </c>
      <c r="B80" s="6">
        <f>MEDIAN('Dermatoses Bulleuses CNHU HKM'!J2:J131)</f>
        <v>14</v>
      </c>
    </row>
    <row r="81" spans="1:8" x14ac:dyDescent="0.25">
      <c r="A81" s="3" t="s">
        <v>184</v>
      </c>
      <c r="B81" s="6">
        <f>_xlfn.MODE.SNGL('Dermatoses Bulleuses CNHU HKM'!J2:J131)</f>
        <v>7</v>
      </c>
    </row>
    <row r="82" spans="1:8" x14ac:dyDescent="0.25">
      <c r="A82" s="3" t="s">
        <v>185</v>
      </c>
      <c r="B82" s="6">
        <f>_xlfn.STDEV.P('Dermatoses Bulleuses CNHU HKM'!J2:J131)</f>
        <v>414.8162253678156</v>
      </c>
    </row>
    <row r="85" spans="1:8" ht="20.25" x14ac:dyDescent="0.35">
      <c r="A85" s="277" t="s">
        <v>198</v>
      </c>
      <c r="B85" s="277"/>
      <c r="C85" s="277"/>
      <c r="D85" s="277"/>
      <c r="E85" s="277"/>
      <c r="F85" s="277"/>
      <c r="G85" s="277"/>
      <c r="H85" s="277"/>
    </row>
    <row r="87" spans="1:8" x14ac:dyDescent="0.25">
      <c r="A87" s="274" t="s">
        <v>199</v>
      </c>
      <c r="B87" s="274"/>
      <c r="C87" s="274"/>
      <c r="D87" s="274"/>
    </row>
    <row r="88" spans="1:8" x14ac:dyDescent="0.25">
      <c r="A88" s="4" t="s">
        <v>200</v>
      </c>
      <c r="B88" s="4" t="s">
        <v>187</v>
      </c>
      <c r="C88" s="4" t="s">
        <v>188</v>
      </c>
    </row>
    <row r="89" spans="1:8" x14ac:dyDescent="0.25">
      <c r="A89" s="3" t="s">
        <v>201</v>
      </c>
      <c r="B89" s="3">
        <f>COUNTIFS(Dermatoses_Bulleuses_CNHU_HKM[age_years_calc],"&gt;=0",Dermatoses_Bulleuses_CNHU_HKM[age_years_calc],"&lt;=18")</f>
        <v>43</v>
      </c>
      <c r="C89" s="6">
        <f>B89/$B$6*100</f>
        <v>33.076923076923073</v>
      </c>
    </row>
    <row r="90" spans="1:8" x14ac:dyDescent="0.25">
      <c r="A90" s="3" t="s">
        <v>271</v>
      </c>
      <c r="B90" s="3">
        <f>COUNTIFS(Dermatoses_Bulleuses_CNHU_HKM[age_years_calc],"&gt;=19",Dermatoses_Bulleuses_CNHU_HKM[age_years_calc],"&lt;=59")</f>
        <v>58</v>
      </c>
      <c r="C90" s="6">
        <f>B90/$B$6*100</f>
        <v>44.61538461538462</v>
      </c>
    </row>
    <row r="91" spans="1:8" x14ac:dyDescent="0.25">
      <c r="A91" s="3" t="s">
        <v>272</v>
      </c>
      <c r="B91" s="3">
        <f>COUNTIF(Dermatoses_Bulleuses_CNHU_HKM[age_years_calc],"&gt;=60")</f>
        <v>29</v>
      </c>
      <c r="C91" s="6">
        <f>B91/$B$6*100</f>
        <v>22.30769230769231</v>
      </c>
    </row>
    <row r="92" spans="1:8" x14ac:dyDescent="0.25">
      <c r="A92" s="4" t="s">
        <v>202</v>
      </c>
      <c r="B92" s="3">
        <f>SUM(B89:B91)</f>
        <v>130</v>
      </c>
      <c r="C92" s="6">
        <f>SUM(C89:C91)</f>
        <v>100</v>
      </c>
    </row>
    <row r="95" spans="1:8" ht="17.25" x14ac:dyDescent="0.3">
      <c r="A95" s="279" t="s">
        <v>203</v>
      </c>
      <c r="B95" s="279"/>
      <c r="C95" s="279"/>
      <c r="D95" s="279"/>
      <c r="E95" s="279"/>
      <c r="F95" s="279"/>
      <c r="G95" s="279"/>
      <c r="H95" s="279"/>
    </row>
    <row r="97" spans="1:4" x14ac:dyDescent="0.25">
      <c r="A97" s="4" t="s">
        <v>204</v>
      </c>
      <c r="B97" s="3">
        <f>B89</f>
        <v>43</v>
      </c>
    </row>
    <row r="99" spans="1:4" x14ac:dyDescent="0.25">
      <c r="A99" s="280" t="s">
        <v>205</v>
      </c>
      <c r="B99" s="280"/>
      <c r="C99" s="280"/>
      <c r="D99" s="280"/>
    </row>
    <row r="100" spans="1:4" x14ac:dyDescent="0.25">
      <c r="A100" s="4" t="s">
        <v>181</v>
      </c>
      <c r="B100" s="4" t="s">
        <v>187</v>
      </c>
      <c r="C100" s="4" t="s">
        <v>188</v>
      </c>
    </row>
    <row r="101" spans="1:4" x14ac:dyDescent="0.25">
      <c r="A101" s="3" t="s">
        <v>30</v>
      </c>
      <c r="B101" s="3">
        <f>COUNTIFS(Dermatoses_Bulleuses_CNHU_HKM[age_years_calc],"&gt;=0",Dermatoses_Bulleuses_CNHU_HKM[age_years_calc],"&lt;=18",Dermatoses_Bulleuses_CNHU_HKM[Sexe],"Femme")</f>
        <v>19</v>
      </c>
      <c r="C101" s="6">
        <f>B101/$B$97*100</f>
        <v>44.186046511627907</v>
      </c>
    </row>
    <row r="102" spans="1:4" x14ac:dyDescent="0.25">
      <c r="A102" s="3" t="s">
        <v>22</v>
      </c>
      <c r="B102" s="3">
        <f>COUNTIFS(Dermatoses_Bulleuses_CNHU_HKM[age_years_calc],"&gt;=0",Dermatoses_Bulleuses_CNHU_HKM[age_years_calc],"&lt;=18",Dermatoses_Bulleuses_CNHU_HKM[Sexe],"Homme")</f>
        <v>24</v>
      </c>
      <c r="C102" s="6">
        <f>B102/$B$97*100</f>
        <v>55.813953488372093</v>
      </c>
    </row>
    <row r="104" spans="1:4" x14ac:dyDescent="0.25">
      <c r="A104" s="280" t="s">
        <v>206</v>
      </c>
      <c r="B104" s="280"/>
      <c r="C104" s="280"/>
      <c r="D104" s="280"/>
    </row>
    <row r="105" spans="1:4" x14ac:dyDescent="0.25">
      <c r="A105" s="4" t="s">
        <v>181</v>
      </c>
      <c r="B105" s="4" t="s">
        <v>187</v>
      </c>
      <c r="C105" s="4" t="s">
        <v>188</v>
      </c>
    </row>
    <row r="106" spans="1:4" x14ac:dyDescent="0.25">
      <c r="A106" s="3" t="s">
        <v>32</v>
      </c>
      <c r="B106" s="3">
        <f>COUNTIFS(Dermatoses_Bulleuses_CNHU_HKM[age_years_calc],"&gt;=0",Dermatoses_Bulleuses_CNHU_HKM[age_years_calc],"&lt;=18",Dermatoses_Bulleuses_CNHU_HKM[Notion de prise médicamenteuse],"Oui")</f>
        <v>23</v>
      </c>
      <c r="C106" s="6">
        <f>B106/$B$97*100</f>
        <v>53.488372093023251</v>
      </c>
    </row>
    <row r="107" spans="1:4" x14ac:dyDescent="0.25">
      <c r="A107" s="3" t="s">
        <v>24</v>
      </c>
      <c r="B107" s="3">
        <f>COUNTIFS(Dermatoses_Bulleuses_CNHU_HKM[age_years_calc],"&gt;=0",Dermatoses_Bulleuses_CNHU_HKM[age_years_calc],"&lt;=18",Dermatoses_Bulleuses_CNHU_HKM[Notion de prise médicamenteuse],"Non")</f>
        <v>20</v>
      </c>
      <c r="C107" s="6">
        <f>B107/$B$97*100</f>
        <v>46.511627906976742</v>
      </c>
    </row>
    <row r="109" spans="1:4" x14ac:dyDescent="0.25">
      <c r="A109" s="280" t="s">
        <v>207</v>
      </c>
      <c r="B109" s="280"/>
      <c r="C109" s="280"/>
      <c r="D109" s="280"/>
    </row>
    <row r="110" spans="1:4" x14ac:dyDescent="0.25">
      <c r="A110" s="4" t="s">
        <v>181</v>
      </c>
      <c r="B110" s="4" t="s">
        <v>187</v>
      </c>
      <c r="C110" s="4" t="s">
        <v>188</v>
      </c>
    </row>
    <row r="111" spans="1:4" x14ac:dyDescent="0.25">
      <c r="A111" s="3" t="s">
        <v>25</v>
      </c>
      <c r="B111" s="3">
        <f>COUNTIFS('Dermatoses Bulleuses CNHU HKM'!F:F,"&gt;=0",'Dermatoses Bulleuses CNHU HKM'!F:F,"&lt;=18",'Dermatoses Bulleuses CNHU HKM'!M:M,"Cutanée seule")</f>
        <v>17</v>
      </c>
      <c r="C111" s="6">
        <f>IF($B$97&gt;0,B111/$B$97*100,0)</f>
        <v>39.534883720930232</v>
      </c>
    </row>
    <row r="112" spans="1:4" x14ac:dyDescent="0.25">
      <c r="A112" s="3" t="s">
        <v>38</v>
      </c>
      <c r="B112" s="3">
        <f>COUNTIFS('Dermatoses Bulleuses CNHU HKM'!F:F,"&gt;=0",'Dermatoses Bulleuses CNHU HKM'!F:F,"&lt;=18",'Dermatoses Bulleuses CNHU HKM'!M:M,"Cutanée et muqueuse")</f>
        <v>25</v>
      </c>
      <c r="C112" s="6">
        <f>IF($B$97&gt;0,B112/$B$97*100,0)</f>
        <v>58.139534883720934</v>
      </c>
    </row>
    <row r="113" spans="1:8" x14ac:dyDescent="0.25">
      <c r="A113" s="3" t="s">
        <v>58</v>
      </c>
      <c r="B113" s="3">
        <f>COUNTIFS('Dermatoses Bulleuses CNHU HKM'!F:F,"&gt;=0",'Dermatoses Bulleuses CNHU HKM'!F:F,"&lt;=18",'Dermatoses Bulleuses CNHU HKM'!M:M,"Muqueuse seule")</f>
        <v>1</v>
      </c>
      <c r="C113" s="6">
        <f>IF($B$97&gt;0,B113/$B$97*100,0)</f>
        <v>2.3255813953488373</v>
      </c>
    </row>
    <row r="115" spans="1:8" x14ac:dyDescent="0.25">
      <c r="A115" s="280" t="s">
        <v>208</v>
      </c>
      <c r="B115" s="280"/>
      <c r="C115" s="280"/>
      <c r="D115" s="280"/>
    </row>
    <row r="116" spans="1:8" x14ac:dyDescent="0.25">
      <c r="A116" s="4" t="s">
        <v>181</v>
      </c>
      <c r="B116" s="4" t="s">
        <v>187</v>
      </c>
      <c r="C116" s="4" t="s">
        <v>188</v>
      </c>
    </row>
    <row r="117" spans="1:8" x14ac:dyDescent="0.25">
      <c r="A117" s="3" t="s">
        <v>19</v>
      </c>
      <c r="B117" s="3">
        <f>COUNTIFS('Dermatoses Bulleuses CNHU HKM'!F:F,"&gt;=0",'Dermatoses Bulleuses CNHU HKM'!F:F,"&lt;=18",'Dermatoses Bulleuses CNHU HKM'!Q:Q,"Toxidermie")</f>
        <v>27</v>
      </c>
      <c r="C117" s="6">
        <f>IF($B$97&gt;0,B117/$B$97*100,0)</f>
        <v>62.790697674418603</v>
      </c>
    </row>
    <row r="118" spans="1:8" x14ac:dyDescent="0.25">
      <c r="A118" s="3" t="s">
        <v>40</v>
      </c>
      <c r="B118" s="3">
        <f>COUNTIFS('Dermatoses Bulleuses CNHU HKM'!F:F,"&gt;=0",'Dermatoses Bulleuses CNHU HKM'!F:F,"&lt;=18",'Dermatoses Bulleuses CNHU HKM'!Q:Q,"Auto-immune")</f>
        <v>2</v>
      </c>
      <c r="C118" s="6">
        <f>IF($B$97&gt;0,B118/$B$97*100,0)</f>
        <v>4.6511627906976747</v>
      </c>
    </row>
    <row r="119" spans="1:8" x14ac:dyDescent="0.25">
      <c r="A119" s="3" t="s">
        <v>28</v>
      </c>
      <c r="B119" s="3">
        <f>COUNTIFS('Dermatoses Bulleuses CNHU HKM'!F:F,"&gt;=0",'Dermatoses Bulleuses CNHU HKM'!F:F,"&lt;=18",'Dermatoses Bulleuses CNHU HKM'!Q:Q,"Infectieuse")</f>
        <v>13</v>
      </c>
      <c r="C119" s="6">
        <f>IF($B$97&gt;0,B119/$B$97*100,0)</f>
        <v>30.232558139534881</v>
      </c>
    </row>
    <row r="120" spans="1:8" x14ac:dyDescent="0.25">
      <c r="A120" s="3" t="s">
        <v>144</v>
      </c>
      <c r="B120" s="3">
        <f>COUNTIFS('Dermatoses Bulleuses CNHU HKM'!F:F,"&gt;=0",'Dermatoses Bulleuses CNHU HKM'!F:F,"&lt;=18",'Dermatoses Bulleuses CNHU HKM'!Q:Q,"Immunoallergique")</f>
        <v>1</v>
      </c>
      <c r="C120" s="6">
        <f>IF($B$97&gt;0,B120/$B$97*100,0)</f>
        <v>2.3255813953488373</v>
      </c>
    </row>
    <row r="123" spans="1:8" ht="17.25" x14ac:dyDescent="0.3">
      <c r="A123" s="281" t="s">
        <v>273</v>
      </c>
      <c r="B123" s="281"/>
      <c r="C123" s="281"/>
      <c r="D123" s="281"/>
      <c r="E123" s="281"/>
      <c r="F123" s="281"/>
      <c r="G123" s="281"/>
      <c r="H123" s="281"/>
    </row>
    <row r="125" spans="1:8" x14ac:dyDescent="0.25">
      <c r="A125" s="4" t="s">
        <v>275</v>
      </c>
      <c r="B125" s="3">
        <f>B90</f>
        <v>58</v>
      </c>
    </row>
    <row r="127" spans="1:8" x14ac:dyDescent="0.25">
      <c r="A127" s="278" t="s">
        <v>276</v>
      </c>
      <c r="B127" s="278"/>
      <c r="C127" s="278"/>
      <c r="D127" s="278"/>
    </row>
    <row r="128" spans="1:8" x14ac:dyDescent="0.25">
      <c r="A128" s="4" t="s">
        <v>181</v>
      </c>
      <c r="B128" s="4" t="s">
        <v>187</v>
      </c>
      <c r="C128" s="4" t="s">
        <v>188</v>
      </c>
    </row>
    <row r="129" spans="1:4" x14ac:dyDescent="0.25">
      <c r="A129" s="3" t="s">
        <v>30</v>
      </c>
      <c r="B129" s="3">
        <f>COUNTIFS('Dermatoses Bulleuses CNHU HKM'!F:F,"&gt;=19",'Dermatoses Bulleuses CNHU HKM'!F:F,"&lt;=59",'Dermatoses Bulleuses CNHU HKM'!G:G,"Femme")</f>
        <v>38</v>
      </c>
      <c r="C129" s="6">
        <f>IF($B$125&gt;0,B129/$B$125*100,0)</f>
        <v>65.517241379310349</v>
      </c>
    </row>
    <row r="130" spans="1:4" x14ac:dyDescent="0.25">
      <c r="A130" s="3" t="s">
        <v>22</v>
      </c>
      <c r="B130" s="3">
        <f>COUNTIFS('Dermatoses Bulleuses CNHU HKM'!F:F,"&gt;=19",'Dermatoses Bulleuses CNHU HKM'!F:F,"&lt;=59",'Dermatoses Bulleuses CNHU HKM'!G:G,"Homme")</f>
        <v>20</v>
      </c>
      <c r="C130" s="6">
        <f>IF($B$125&gt;0,B130/$B$125*100,0)</f>
        <v>34.482758620689658</v>
      </c>
    </row>
    <row r="132" spans="1:4" x14ac:dyDescent="0.25">
      <c r="A132" s="278" t="s">
        <v>277</v>
      </c>
      <c r="B132" s="278"/>
      <c r="C132" s="278"/>
      <c r="D132" s="278"/>
    </row>
    <row r="133" spans="1:4" x14ac:dyDescent="0.25">
      <c r="A133" s="4" t="s">
        <v>181</v>
      </c>
      <c r="B133" s="4" t="s">
        <v>187</v>
      </c>
      <c r="C133" s="4" t="s">
        <v>188</v>
      </c>
    </row>
    <row r="134" spans="1:4" x14ac:dyDescent="0.25">
      <c r="A134" s="3" t="s">
        <v>32</v>
      </c>
      <c r="B134" s="3">
        <f>COUNTIFS('Dermatoses Bulleuses CNHU HKM'!F:F,"&gt;=19",'Dermatoses Bulleuses CNHU HKM'!F:F,"&lt;=59",'Dermatoses Bulleuses CNHU HKM'!K:K,"Oui")</f>
        <v>37</v>
      </c>
      <c r="C134" s="6">
        <f>IF($B$125&gt;0,B134/$B$125*100,0)</f>
        <v>63.793103448275865</v>
      </c>
    </row>
    <row r="135" spans="1:4" x14ac:dyDescent="0.25">
      <c r="A135" s="3" t="s">
        <v>24</v>
      </c>
      <c r="B135" s="3">
        <f>COUNTIFS('Dermatoses Bulleuses CNHU HKM'!F:F,"&gt;=19",'Dermatoses Bulleuses CNHU HKM'!F:F,"&lt;=59",'Dermatoses Bulleuses CNHU HKM'!K:K,"Non")</f>
        <v>21</v>
      </c>
      <c r="C135" s="6">
        <f>IF($B$125&gt;0,B135/$B$125*100,0)</f>
        <v>36.206896551724135</v>
      </c>
    </row>
    <row r="137" spans="1:4" x14ac:dyDescent="0.25">
      <c r="A137" s="278" t="s">
        <v>278</v>
      </c>
      <c r="B137" s="278"/>
      <c r="C137" s="278"/>
      <c r="D137" s="278"/>
    </row>
    <row r="138" spans="1:4" x14ac:dyDescent="0.25">
      <c r="A138" s="4" t="s">
        <v>181</v>
      </c>
      <c r="B138" s="4" t="s">
        <v>187</v>
      </c>
      <c r="C138" s="4" t="s">
        <v>188</v>
      </c>
    </row>
    <row r="139" spans="1:4" x14ac:dyDescent="0.25">
      <c r="A139" s="3" t="s">
        <v>25</v>
      </c>
      <c r="B139" s="3">
        <f>COUNTIFS('Dermatoses Bulleuses CNHU HKM'!F:F,"&gt;=19",'Dermatoses Bulleuses CNHU HKM'!F:F,"&lt;=59",'Dermatoses Bulleuses CNHU HKM'!M:M,"Cutanée seule")</f>
        <v>29</v>
      </c>
      <c r="C139" s="6">
        <f>IF($B$125&gt;0,B139/$B$125*100,0)</f>
        <v>50</v>
      </c>
    </row>
    <row r="140" spans="1:4" x14ac:dyDescent="0.25">
      <c r="A140" s="3" t="s">
        <v>38</v>
      </c>
      <c r="B140" s="3">
        <f>COUNTIFS('Dermatoses Bulleuses CNHU HKM'!F:F,"&gt;=19",'Dermatoses Bulleuses CNHU HKM'!F:F,"&lt;=59",'Dermatoses Bulleuses CNHU HKM'!M:M,"Cutanée et muqueuse")</f>
        <v>29</v>
      </c>
      <c r="C140" s="6">
        <f>IF($B$125&gt;0,B140/$B$125*100,0)</f>
        <v>50</v>
      </c>
    </row>
    <row r="141" spans="1:4" x14ac:dyDescent="0.25">
      <c r="A141" s="3" t="s">
        <v>58</v>
      </c>
      <c r="B141" s="3">
        <f>COUNTIFS('Dermatoses Bulleuses CNHU HKM'!F:F,"&gt;=19",'Dermatoses Bulleuses CNHU HKM'!F:F,"&lt;=59",'Dermatoses Bulleuses CNHU HKM'!M:M,"Muqueuse seule")</f>
        <v>0</v>
      </c>
      <c r="C141" s="6">
        <f>IF($B$125&gt;0,B141/$B$125*100,0)</f>
        <v>0</v>
      </c>
    </row>
    <row r="143" spans="1:4" x14ac:dyDescent="0.25">
      <c r="A143" s="278" t="s">
        <v>279</v>
      </c>
      <c r="B143" s="278"/>
      <c r="C143" s="278"/>
      <c r="D143" s="278"/>
    </row>
    <row r="144" spans="1:4" x14ac:dyDescent="0.25">
      <c r="A144" s="4" t="s">
        <v>181</v>
      </c>
      <c r="B144" s="4" t="s">
        <v>187</v>
      </c>
      <c r="C144" s="4" t="s">
        <v>188</v>
      </c>
    </row>
    <row r="145" spans="1:8" x14ac:dyDescent="0.25">
      <c r="A145" s="3" t="s">
        <v>19</v>
      </c>
      <c r="B145" s="3">
        <f>COUNTIFS('Dermatoses Bulleuses CNHU HKM'!F:F,"&gt;=19",'Dermatoses Bulleuses CNHU HKM'!F:F,"&lt;=59",'Dermatoses Bulleuses CNHU HKM'!Q:Q,"Toxidermie")</f>
        <v>39</v>
      </c>
      <c r="C145" s="6">
        <f>IF($B$125&gt;0,B145/$B$125*100,0)</f>
        <v>67.241379310344826</v>
      </c>
    </row>
    <row r="146" spans="1:8" x14ac:dyDescent="0.25">
      <c r="A146" s="3" t="s">
        <v>40</v>
      </c>
      <c r="B146" s="3">
        <f>COUNTIFS('Dermatoses Bulleuses CNHU HKM'!F:F,"&gt;=19",'Dermatoses Bulleuses CNHU HKM'!F:F,"&lt;=59",'Dermatoses Bulleuses CNHU HKM'!Q:Q,"Auto-immune")</f>
        <v>11</v>
      </c>
      <c r="C146" s="6">
        <f>IF($B$125&gt;0,B146/$B$125*100,0)</f>
        <v>18.96551724137931</v>
      </c>
    </row>
    <row r="147" spans="1:8" x14ac:dyDescent="0.25">
      <c r="A147" s="3" t="s">
        <v>28</v>
      </c>
      <c r="B147" s="3">
        <f>COUNTIFS('Dermatoses Bulleuses CNHU HKM'!F:F,"&gt;=19",'Dermatoses Bulleuses CNHU HKM'!F:F,"&lt;=59",'Dermatoses Bulleuses CNHU HKM'!Q:Q,"Infectieuse")</f>
        <v>4</v>
      </c>
      <c r="C147" s="6">
        <f>IF($B$125&gt;0,B147/$B$125*100,0)</f>
        <v>6.8965517241379306</v>
      </c>
    </row>
    <row r="148" spans="1:8" x14ac:dyDescent="0.25">
      <c r="A148" s="3" t="s">
        <v>144</v>
      </c>
      <c r="B148" s="3">
        <f>COUNTIFS('Dermatoses Bulleuses CNHU HKM'!F:F,"&gt;=19",'Dermatoses Bulleuses CNHU HKM'!F:F,"&lt;=59",'Dermatoses Bulleuses CNHU HKM'!Q:Q,"Immunoallergique")</f>
        <v>4</v>
      </c>
      <c r="C148" s="6">
        <f>IF($B$125&gt;0,B148/$B$125*100,0)</f>
        <v>6.8965517241379306</v>
      </c>
    </row>
    <row r="151" spans="1:8" ht="17.25" x14ac:dyDescent="0.3">
      <c r="A151" s="283" t="s">
        <v>274</v>
      </c>
      <c r="B151" s="283"/>
      <c r="C151" s="283"/>
      <c r="D151" s="283"/>
      <c r="E151" s="283"/>
      <c r="F151" s="283"/>
      <c r="G151" s="283"/>
      <c r="H151" s="283"/>
    </row>
    <row r="153" spans="1:8" x14ac:dyDescent="0.25">
      <c r="A153" s="4" t="s">
        <v>280</v>
      </c>
      <c r="B153" s="3">
        <f>B91</f>
        <v>29</v>
      </c>
    </row>
    <row r="155" spans="1:8" x14ac:dyDescent="0.25">
      <c r="A155" s="284" t="s">
        <v>281</v>
      </c>
      <c r="B155" s="284"/>
      <c r="C155" s="284"/>
      <c r="D155" s="284"/>
    </row>
    <row r="156" spans="1:8" x14ac:dyDescent="0.25">
      <c r="A156" s="4" t="s">
        <v>181</v>
      </c>
      <c r="B156" s="4" t="s">
        <v>187</v>
      </c>
      <c r="C156" s="4" t="s">
        <v>188</v>
      </c>
    </row>
    <row r="157" spans="1:8" x14ac:dyDescent="0.25">
      <c r="A157" s="3" t="s">
        <v>30</v>
      </c>
      <c r="B157" s="3">
        <f>COUNTIFS('Dermatoses Bulleuses CNHU HKM'!F:F,"&gt;=60",'Dermatoses Bulleuses CNHU HKM'!G:G,"Femme")</f>
        <v>17</v>
      </c>
      <c r="C157" s="6">
        <f>IF($B$153&gt;0,B157/$B$153*100,0)</f>
        <v>58.620689655172406</v>
      </c>
    </row>
    <row r="158" spans="1:8" x14ac:dyDescent="0.25">
      <c r="A158" s="3" t="s">
        <v>22</v>
      </c>
      <c r="B158" s="3">
        <f>COUNTIFS('Dermatoses Bulleuses CNHU HKM'!F:F,"&gt;=60",'Dermatoses Bulleuses CNHU HKM'!G:G,"Homme")</f>
        <v>12</v>
      </c>
      <c r="C158" s="6">
        <f>IF($B$153&gt;0,B158/$B$153*100,0)</f>
        <v>41.379310344827587</v>
      </c>
    </row>
    <row r="160" spans="1:8" x14ac:dyDescent="0.25">
      <c r="A160" s="284" t="s">
        <v>282</v>
      </c>
      <c r="B160" s="284"/>
      <c r="C160" s="284"/>
      <c r="D160" s="284"/>
    </row>
    <row r="161" spans="1:4" x14ac:dyDescent="0.25">
      <c r="A161" s="4" t="s">
        <v>181</v>
      </c>
      <c r="B161" s="4" t="s">
        <v>187</v>
      </c>
      <c r="C161" s="4" t="s">
        <v>188</v>
      </c>
    </row>
    <row r="162" spans="1:4" x14ac:dyDescent="0.25">
      <c r="A162" s="3" t="s">
        <v>32</v>
      </c>
      <c r="B162" s="3">
        <f>COUNTIFS('Dermatoses Bulleuses CNHU HKM'!F:F,"&gt;=60",'Dermatoses Bulleuses CNHU HKM'!K:K,"Oui")</f>
        <v>8</v>
      </c>
      <c r="C162" s="6">
        <f>IF($B$153&gt;0,B162/$B$153*100,0)</f>
        <v>27.586206896551722</v>
      </c>
    </row>
    <row r="163" spans="1:4" x14ac:dyDescent="0.25">
      <c r="A163" s="3" t="s">
        <v>24</v>
      </c>
      <c r="B163" s="3">
        <f>COUNTIFS('Dermatoses Bulleuses CNHU HKM'!F:F,"&gt;=60",'Dermatoses Bulleuses CNHU HKM'!K:K,"Non")</f>
        <v>21</v>
      </c>
      <c r="C163" s="6">
        <f>IF($B$153&gt;0,B163/$B$153*100,0)</f>
        <v>72.41379310344827</v>
      </c>
    </row>
    <row r="165" spans="1:4" x14ac:dyDescent="0.25">
      <c r="A165" s="284" t="s">
        <v>283</v>
      </c>
      <c r="B165" s="284"/>
      <c r="C165" s="284"/>
      <c r="D165" s="284"/>
    </row>
    <row r="166" spans="1:4" x14ac:dyDescent="0.25">
      <c r="A166" s="4" t="s">
        <v>181</v>
      </c>
      <c r="B166" s="4" t="s">
        <v>187</v>
      </c>
      <c r="C166" s="4" t="s">
        <v>188</v>
      </c>
    </row>
    <row r="167" spans="1:4" x14ac:dyDescent="0.25">
      <c r="A167" s="3" t="s">
        <v>25</v>
      </c>
      <c r="B167" s="3">
        <f>COUNTIFS('Dermatoses Bulleuses CNHU HKM'!F:F,"&gt;=60",'Dermatoses Bulleuses CNHU HKM'!M:M,"Cutanée seule")</f>
        <v>21</v>
      </c>
      <c r="C167" s="6">
        <f>IF($B$153&gt;0,B167/$B$153*100,0)</f>
        <v>72.41379310344827</v>
      </c>
    </row>
    <row r="168" spans="1:4" x14ac:dyDescent="0.25">
      <c r="A168" s="3" t="s">
        <v>38</v>
      </c>
      <c r="B168" s="3">
        <f>COUNTIFS('Dermatoses Bulleuses CNHU HKM'!F:F,"&gt;=60",'Dermatoses Bulleuses CNHU HKM'!M:M,"Cutanée et muqueuse")</f>
        <v>6</v>
      </c>
      <c r="C168" s="6">
        <f>IF($B$153&gt;0,B168/$B$153*100,0)</f>
        <v>20.689655172413794</v>
      </c>
    </row>
    <row r="169" spans="1:4" x14ac:dyDescent="0.25">
      <c r="A169" s="3" t="s">
        <v>58</v>
      </c>
      <c r="B169" s="3">
        <f>COUNTIFS('Dermatoses Bulleuses CNHU HKM'!F:F,"&gt;=60",'Dermatoses Bulleuses CNHU HKM'!M:M,"Muqueuse seule")</f>
        <v>2</v>
      </c>
      <c r="C169" s="6">
        <f>IF($B$153&gt;0,B169/$B$153*100,0)</f>
        <v>6.8965517241379306</v>
      </c>
    </row>
    <row r="171" spans="1:4" x14ac:dyDescent="0.25">
      <c r="A171" s="284" t="s">
        <v>284</v>
      </c>
      <c r="B171" s="284"/>
      <c r="C171" s="284"/>
      <c r="D171" s="284"/>
    </row>
    <row r="172" spans="1:4" x14ac:dyDescent="0.25">
      <c r="A172" s="4" t="s">
        <v>181</v>
      </c>
      <c r="B172" s="4" t="s">
        <v>187</v>
      </c>
      <c r="C172" s="4" t="s">
        <v>188</v>
      </c>
    </row>
    <row r="173" spans="1:4" x14ac:dyDescent="0.25">
      <c r="A173" s="3" t="s">
        <v>19</v>
      </c>
      <c r="B173" s="3">
        <f>COUNTIFS('Dermatoses Bulleuses CNHU HKM'!F:F,"&gt;=60",'Dermatoses Bulleuses CNHU HKM'!Q:Q,"Toxidermie")</f>
        <v>9</v>
      </c>
      <c r="C173" s="6">
        <f>IF($B$153&gt;0,B173/$B$153*100,0)</f>
        <v>31.03448275862069</v>
      </c>
    </row>
    <row r="174" spans="1:4" x14ac:dyDescent="0.25">
      <c r="A174" s="3" t="s">
        <v>40</v>
      </c>
      <c r="B174" s="3">
        <f>COUNTIFS('Dermatoses Bulleuses CNHU HKM'!F:F,"&gt;=60",'Dermatoses Bulleuses CNHU HKM'!Q:Q,"Auto-immune")</f>
        <v>18</v>
      </c>
      <c r="C174" s="6">
        <f>IF($B$153&gt;0,B174/$B$153*100,0)</f>
        <v>62.068965517241381</v>
      </c>
    </row>
    <row r="175" spans="1:4" x14ac:dyDescent="0.25">
      <c r="A175" s="3" t="s">
        <v>28</v>
      </c>
      <c r="B175" s="3">
        <f>COUNTIFS('Dermatoses Bulleuses CNHU HKM'!F:F,"&gt;=60",'Dermatoses Bulleuses CNHU HKM'!Q:Q,"Infectieuse")</f>
        <v>2</v>
      </c>
      <c r="C175" s="6">
        <f>IF($B$153&gt;0,B175/$B$153*100,0)</f>
        <v>6.8965517241379306</v>
      </c>
    </row>
    <row r="176" spans="1:4" x14ac:dyDescent="0.25">
      <c r="A176" s="3" t="s">
        <v>144</v>
      </c>
      <c r="B176" s="3">
        <f>COUNTIFS('Dermatoses Bulleuses CNHU HKM'!F:F,"&gt;=60",'Dermatoses Bulleuses CNHU HKM'!Q:Q,"Immunoallergique")</f>
        <v>0</v>
      </c>
      <c r="C176" s="6">
        <f>IF($B$153&gt;0,B176/$B$153*100,0)</f>
        <v>0</v>
      </c>
    </row>
    <row r="179" spans="1:8" ht="20.25" x14ac:dyDescent="0.35">
      <c r="A179" s="277" t="s">
        <v>209</v>
      </c>
      <c r="B179" s="277"/>
      <c r="C179" s="277"/>
      <c r="D179" s="277"/>
      <c r="E179" s="277"/>
      <c r="F179" s="277"/>
      <c r="G179" s="277"/>
      <c r="H179" s="277"/>
    </row>
    <row r="181" spans="1:8" ht="17.25" x14ac:dyDescent="0.3">
      <c r="A181" s="285" t="s">
        <v>210</v>
      </c>
      <c r="B181" s="285"/>
      <c r="C181" s="285"/>
      <c r="D181" s="285"/>
      <c r="E181" s="285"/>
      <c r="F181" s="285"/>
      <c r="G181" s="285"/>
      <c r="H181" s="285"/>
    </row>
    <row r="183" spans="1:8" x14ac:dyDescent="0.25">
      <c r="A183" s="4" t="s">
        <v>211</v>
      </c>
      <c r="B183" s="3">
        <f>COUNTIF('Dermatoses Bulleuses CNHU HKM'!G:G,"Femme")</f>
        <v>74</v>
      </c>
    </row>
    <row r="185" spans="1:8" x14ac:dyDescent="0.25">
      <c r="A185" s="282" t="s">
        <v>212</v>
      </c>
      <c r="B185" s="282"/>
      <c r="C185" s="282"/>
      <c r="D185" s="282"/>
    </row>
    <row r="186" spans="1:8" x14ac:dyDescent="0.25">
      <c r="A186" s="4" t="s">
        <v>200</v>
      </c>
      <c r="B186" s="4" t="s">
        <v>187</v>
      </c>
      <c r="C186" s="4" t="s">
        <v>188</v>
      </c>
    </row>
    <row r="187" spans="1:8" x14ac:dyDescent="0.25">
      <c r="A187" s="3" t="s">
        <v>201</v>
      </c>
      <c r="B187" s="3">
        <f>COUNTIFS('Dermatoses Bulleuses CNHU HKM'!G:G,"Femme",'Dermatoses Bulleuses CNHU HKM'!F:F,"&gt;=0",'Dermatoses Bulleuses CNHU HKM'!F:F,"&lt;=18")</f>
        <v>19</v>
      </c>
      <c r="C187" s="6">
        <f>IF($B$183&gt;0,B187/$B$183*100,0)</f>
        <v>25.675675675675674</v>
      </c>
    </row>
    <row r="188" spans="1:8" x14ac:dyDescent="0.25">
      <c r="A188" s="3" t="s">
        <v>271</v>
      </c>
      <c r="B188" s="3">
        <f>COUNTIFS('Dermatoses Bulleuses CNHU HKM'!G:G,"Femme",'Dermatoses Bulleuses CNHU HKM'!F:F,"&gt;=19",'Dermatoses Bulleuses CNHU HKM'!F:F,"&lt;=59")</f>
        <v>38</v>
      </c>
      <c r="C188" s="6">
        <f>IF($B$183&gt;0,B188/$B$183*100,0)</f>
        <v>51.351351351351347</v>
      </c>
    </row>
    <row r="189" spans="1:8" x14ac:dyDescent="0.25">
      <c r="A189" s="3" t="s">
        <v>272</v>
      </c>
      <c r="B189" s="3">
        <f>COUNTIFS('Dermatoses Bulleuses CNHU HKM'!G:G,"Femme",'Dermatoses Bulleuses CNHU HKM'!F:F,"&gt;=60")</f>
        <v>17</v>
      </c>
      <c r="C189" s="6">
        <f>IF($B$183&gt;0,B189/$B$183*100,0)</f>
        <v>22.972972972972975</v>
      </c>
    </row>
    <row r="191" spans="1:8" x14ac:dyDescent="0.25">
      <c r="A191" s="282" t="s">
        <v>213</v>
      </c>
      <c r="B191" s="282"/>
      <c r="C191" s="282"/>
      <c r="D191" s="282"/>
    </row>
    <row r="192" spans="1:8" x14ac:dyDescent="0.25">
      <c r="A192" s="4" t="s">
        <v>181</v>
      </c>
      <c r="B192" s="4" t="s">
        <v>187</v>
      </c>
      <c r="C192" s="4" t="s">
        <v>188</v>
      </c>
    </row>
    <row r="193" spans="1:4" x14ac:dyDescent="0.25">
      <c r="A193" s="3" t="s">
        <v>32</v>
      </c>
      <c r="B193" s="3">
        <f>COUNTIFS('Dermatoses Bulleuses CNHU HKM'!G:G,"Femme",'Dermatoses Bulleuses CNHU HKM'!K:K,"Oui")</f>
        <v>39</v>
      </c>
      <c r="C193" s="6">
        <f>IF($B$183&gt;0,B193/$B$183*100,0)</f>
        <v>52.702702702702695</v>
      </c>
    </row>
    <row r="194" spans="1:4" x14ac:dyDescent="0.25">
      <c r="A194" s="3" t="s">
        <v>24</v>
      </c>
      <c r="B194" s="3">
        <f>COUNTIFS('Dermatoses Bulleuses CNHU HKM'!G:G,"Femme",'Dermatoses Bulleuses CNHU HKM'!K:K,"Non")</f>
        <v>35</v>
      </c>
      <c r="C194" s="6">
        <f>IF($B$183&gt;0,B194/$B$183*100,0)</f>
        <v>47.297297297297298</v>
      </c>
    </row>
    <row r="196" spans="1:4" x14ac:dyDescent="0.25">
      <c r="A196" s="282" t="s">
        <v>214</v>
      </c>
      <c r="B196" s="282"/>
      <c r="C196" s="282"/>
      <c r="D196" s="282"/>
    </row>
    <row r="197" spans="1:4" x14ac:dyDescent="0.25">
      <c r="A197" s="4" t="s">
        <v>181</v>
      </c>
      <c r="B197" s="4" t="s">
        <v>187</v>
      </c>
      <c r="C197" s="4" t="s">
        <v>188</v>
      </c>
    </row>
    <row r="198" spans="1:4" x14ac:dyDescent="0.25">
      <c r="A198" s="3" t="s">
        <v>25</v>
      </c>
      <c r="B198" s="3">
        <f>COUNTIFS('Dermatoses Bulleuses CNHU HKM'!G:G,"Femme",'Dermatoses Bulleuses CNHU HKM'!M:M,"Cutanée seule")</f>
        <v>44</v>
      </c>
      <c r="C198" s="6">
        <f>IF($B$183&gt;0,B198/$B$183*100,0)</f>
        <v>59.45945945945946</v>
      </c>
    </row>
    <row r="199" spans="1:4" x14ac:dyDescent="0.25">
      <c r="A199" s="3" t="s">
        <v>38</v>
      </c>
      <c r="B199" s="3">
        <f>COUNTIFS('Dermatoses Bulleuses CNHU HKM'!G:G,"Femme",'Dermatoses Bulleuses CNHU HKM'!M:M,"Cutanée et muqueuse")</f>
        <v>30</v>
      </c>
      <c r="C199" s="6">
        <f>IF($B$183&gt;0,B199/$B$183*100,0)</f>
        <v>40.54054054054054</v>
      </c>
    </row>
    <row r="200" spans="1:4" x14ac:dyDescent="0.25">
      <c r="A200" s="3" t="s">
        <v>58</v>
      </c>
      <c r="B200" s="3">
        <f>COUNTIFS('Dermatoses Bulleuses CNHU HKM'!G:G,"Femme",'Dermatoses Bulleuses CNHU HKM'!M:M,"Muqueuse seule")</f>
        <v>0</v>
      </c>
      <c r="C200" s="6">
        <f>IF($B$183&gt;0,B200/$B$183*100,0)</f>
        <v>0</v>
      </c>
    </row>
    <row r="202" spans="1:4" x14ac:dyDescent="0.25">
      <c r="A202" s="282" t="s">
        <v>215</v>
      </c>
      <c r="B202" s="282"/>
      <c r="C202" s="282"/>
      <c r="D202" s="282"/>
    </row>
    <row r="203" spans="1:4" x14ac:dyDescent="0.25">
      <c r="A203" s="4" t="s">
        <v>181</v>
      </c>
      <c r="B203" s="4" t="s">
        <v>187</v>
      </c>
      <c r="C203" s="4" t="s">
        <v>188</v>
      </c>
    </row>
    <row r="204" spans="1:4" x14ac:dyDescent="0.25">
      <c r="A204" s="3" t="s">
        <v>19</v>
      </c>
      <c r="B204" s="3">
        <f>COUNTIFS('Dermatoses Bulleuses CNHU HKM'!G:G,"Femme",'Dermatoses Bulleuses CNHU HKM'!Q:Q,"Toxidermie")</f>
        <v>43</v>
      </c>
      <c r="C204" s="6">
        <f>IF($B$183&gt;0,B204/$B$183*100,0)</f>
        <v>58.108108108108105</v>
      </c>
    </row>
    <row r="205" spans="1:4" x14ac:dyDescent="0.25">
      <c r="A205" s="3" t="s">
        <v>40</v>
      </c>
      <c r="B205" s="3">
        <f>COUNTIFS('Dermatoses Bulleuses CNHU HKM'!G:G,"Femme",'Dermatoses Bulleuses CNHU HKM'!Q:Q,"Auto-immune")</f>
        <v>21</v>
      </c>
      <c r="C205" s="6">
        <f>IF($B$183&gt;0,B205/$B$183*100,0)</f>
        <v>28.378378378378379</v>
      </c>
    </row>
    <row r="206" spans="1:4" x14ac:dyDescent="0.25">
      <c r="A206" s="3" t="s">
        <v>28</v>
      </c>
      <c r="B206" s="3">
        <f>COUNTIFS('Dermatoses Bulleuses CNHU HKM'!G:G,"Femme",'Dermatoses Bulleuses CNHU HKM'!Q:Q,"Infectieuse")</f>
        <v>7</v>
      </c>
      <c r="C206" s="6">
        <f>IF($B$183&gt;0,B206/$B$183*100,0)</f>
        <v>9.4594594594594597</v>
      </c>
    </row>
    <row r="207" spans="1:4" x14ac:dyDescent="0.25">
      <c r="A207" s="3" t="s">
        <v>144</v>
      </c>
      <c r="B207" s="3">
        <f>COUNTIFS('Dermatoses Bulleuses CNHU HKM'!G:G,"Femme",'Dermatoses Bulleuses CNHU HKM'!Q:Q,"Immunoallergique")</f>
        <v>3</v>
      </c>
      <c r="C207" s="6">
        <f>IF($B$183&gt;0,B207/$B$183*100,0)</f>
        <v>4.0540540540540544</v>
      </c>
    </row>
    <row r="210" spans="1:8" ht="17.25" x14ac:dyDescent="0.3">
      <c r="A210" s="287" t="s">
        <v>216</v>
      </c>
      <c r="B210" s="287"/>
      <c r="C210" s="287"/>
      <c r="D210" s="287"/>
      <c r="E210" s="287"/>
      <c r="F210" s="287"/>
      <c r="G210" s="287"/>
      <c r="H210" s="287"/>
    </row>
    <row r="212" spans="1:8" x14ac:dyDescent="0.25">
      <c r="A212" s="4" t="s">
        <v>217</v>
      </c>
      <c r="B212" s="3">
        <f>COUNTIF('Dermatoses Bulleuses CNHU HKM'!G:G,"Homme")</f>
        <v>56</v>
      </c>
    </row>
    <row r="214" spans="1:8" x14ac:dyDescent="0.25">
      <c r="A214" s="288" t="s">
        <v>218</v>
      </c>
      <c r="B214" s="288"/>
      <c r="C214" s="288"/>
      <c r="D214" s="288"/>
    </row>
    <row r="215" spans="1:8" x14ac:dyDescent="0.25">
      <c r="A215" s="4" t="s">
        <v>200</v>
      </c>
      <c r="B215" s="4" t="s">
        <v>187</v>
      </c>
      <c r="C215" s="4" t="s">
        <v>188</v>
      </c>
    </row>
    <row r="216" spans="1:8" x14ac:dyDescent="0.25">
      <c r="A216" s="3" t="s">
        <v>201</v>
      </c>
      <c r="B216" s="3">
        <f>COUNTIFS('Dermatoses Bulleuses CNHU HKM'!G:G,"Homme",'Dermatoses Bulleuses CNHU HKM'!F:F,"&gt;=0",'Dermatoses Bulleuses CNHU HKM'!F:F,"&lt;=18")</f>
        <v>24</v>
      </c>
      <c r="C216" s="6">
        <f>IF($B$212&gt;0,B216/$B$212*100,0)</f>
        <v>42.857142857142854</v>
      </c>
    </row>
    <row r="217" spans="1:8" x14ac:dyDescent="0.25">
      <c r="A217" s="3" t="s">
        <v>271</v>
      </c>
      <c r="B217" s="3">
        <f>COUNTIFS('Dermatoses Bulleuses CNHU HKM'!G:G,"Homme",'Dermatoses Bulleuses CNHU HKM'!F:F,"&gt;=19",'Dermatoses Bulleuses CNHU HKM'!F:F,"&lt;=59")</f>
        <v>20</v>
      </c>
      <c r="C217" s="6">
        <f>IF($B$212&gt;0,B217/$B$212*100,0)</f>
        <v>35.714285714285715</v>
      </c>
    </row>
    <row r="218" spans="1:8" x14ac:dyDescent="0.25">
      <c r="A218" s="3" t="s">
        <v>272</v>
      </c>
      <c r="B218" s="3">
        <f>COUNTIFS('Dermatoses Bulleuses CNHU HKM'!G:G,"Homme",'Dermatoses Bulleuses CNHU HKM'!F:F,"&gt;=60")</f>
        <v>12</v>
      </c>
      <c r="C218" s="6">
        <f>IF($B$212&gt;0,B218/$B$212*100,0)</f>
        <v>21.428571428571427</v>
      </c>
    </row>
    <row r="220" spans="1:8" x14ac:dyDescent="0.25">
      <c r="A220" s="288" t="s">
        <v>219</v>
      </c>
      <c r="B220" s="288"/>
      <c r="C220" s="288"/>
      <c r="D220" s="288"/>
    </row>
    <row r="221" spans="1:8" x14ac:dyDescent="0.25">
      <c r="A221" s="4" t="s">
        <v>181</v>
      </c>
      <c r="B221" s="4" t="s">
        <v>187</v>
      </c>
      <c r="C221" s="4" t="s">
        <v>188</v>
      </c>
    </row>
    <row r="222" spans="1:8" x14ac:dyDescent="0.25">
      <c r="A222" s="3" t="s">
        <v>32</v>
      </c>
      <c r="B222" s="3">
        <f>COUNTIFS('Dermatoses Bulleuses CNHU HKM'!G:G,"Homme",'Dermatoses Bulleuses CNHU HKM'!K:K,"Oui")</f>
        <v>29</v>
      </c>
      <c r="C222" s="6">
        <f>IF($B$212&gt;0,B222/$B$212*100,0)</f>
        <v>51.785714285714292</v>
      </c>
    </row>
    <row r="223" spans="1:8" x14ac:dyDescent="0.25">
      <c r="A223" s="3" t="s">
        <v>24</v>
      </c>
      <c r="B223" s="3">
        <f>COUNTIFS('Dermatoses Bulleuses CNHU HKM'!G:G,"Homme",'Dermatoses Bulleuses CNHU HKM'!K:K,"Non")</f>
        <v>27</v>
      </c>
      <c r="C223" s="6">
        <f>IF($B$212&gt;0,B223/$B$212*100,0)</f>
        <v>48.214285714285715</v>
      </c>
    </row>
    <row r="225" spans="1:8" x14ac:dyDescent="0.25">
      <c r="A225" s="288" t="s">
        <v>220</v>
      </c>
      <c r="B225" s="288"/>
      <c r="C225" s="288"/>
      <c r="D225" s="288"/>
    </row>
    <row r="226" spans="1:8" x14ac:dyDescent="0.25">
      <c r="A226" s="4" t="s">
        <v>181</v>
      </c>
      <c r="B226" s="4" t="s">
        <v>187</v>
      </c>
      <c r="C226" s="4" t="s">
        <v>188</v>
      </c>
    </row>
    <row r="227" spans="1:8" x14ac:dyDescent="0.25">
      <c r="A227" s="3" t="s">
        <v>25</v>
      </c>
      <c r="B227" s="3">
        <f>COUNTIFS('Dermatoses Bulleuses CNHU HKM'!G:G,"Homme",'Dermatoses Bulleuses CNHU HKM'!M:M,"Cutanée seule")</f>
        <v>23</v>
      </c>
      <c r="C227" s="6">
        <f>IF($B$212&gt;0,B227/$B$212*100,0)</f>
        <v>41.071428571428569</v>
      </c>
    </row>
    <row r="228" spans="1:8" x14ac:dyDescent="0.25">
      <c r="A228" s="3" t="s">
        <v>38</v>
      </c>
      <c r="B228" s="3">
        <f>COUNTIFS('Dermatoses Bulleuses CNHU HKM'!G:G,"Homme",'Dermatoses Bulleuses CNHU HKM'!M:M,"Cutanée et muqueuse")</f>
        <v>30</v>
      </c>
      <c r="C228" s="6">
        <f>IF($B$212&gt;0,B228/$B$212*100,0)</f>
        <v>53.571428571428569</v>
      </c>
    </row>
    <row r="229" spans="1:8" x14ac:dyDescent="0.25">
      <c r="A229" s="3" t="s">
        <v>58</v>
      </c>
      <c r="B229" s="3">
        <f>COUNTIFS('Dermatoses Bulleuses CNHU HKM'!G:G,"Homme",'Dermatoses Bulleuses CNHU HKM'!M:M,"Muqueuse seule")</f>
        <v>3</v>
      </c>
      <c r="C229" s="6">
        <f>IF($B$212&gt;0,B229/$B$212*100,0)</f>
        <v>5.3571428571428568</v>
      </c>
    </row>
    <row r="231" spans="1:8" x14ac:dyDescent="0.25">
      <c r="A231" s="288" t="s">
        <v>221</v>
      </c>
      <c r="B231" s="288"/>
      <c r="C231" s="288"/>
      <c r="D231" s="288"/>
    </row>
    <row r="232" spans="1:8" x14ac:dyDescent="0.25">
      <c r="A232" s="4" t="s">
        <v>181</v>
      </c>
      <c r="B232" s="4" t="s">
        <v>187</v>
      </c>
      <c r="C232" s="4" t="s">
        <v>188</v>
      </c>
    </row>
    <row r="233" spans="1:8" x14ac:dyDescent="0.25">
      <c r="A233" s="3" t="s">
        <v>19</v>
      </c>
      <c r="B233" s="3">
        <f>COUNTIFS('Dermatoses Bulleuses CNHU HKM'!G:G,"Homme",'Dermatoses Bulleuses CNHU HKM'!Q:Q,"Toxidermie")</f>
        <v>32</v>
      </c>
      <c r="C233" s="6">
        <f>IF($B$212&gt;0,B233/$B$212*100,0)</f>
        <v>57.142857142857139</v>
      </c>
    </row>
    <row r="234" spans="1:8" x14ac:dyDescent="0.25">
      <c r="A234" s="3" t="s">
        <v>40</v>
      </c>
      <c r="B234" s="3">
        <f>COUNTIFS('Dermatoses Bulleuses CNHU HKM'!G:G,"Homme",'Dermatoses Bulleuses CNHU HKM'!Q:Q,"Auto-immune")</f>
        <v>10</v>
      </c>
      <c r="C234" s="6">
        <f>IF($B$212&gt;0,B234/$B$212*100,0)</f>
        <v>17.857142857142858</v>
      </c>
    </row>
    <row r="235" spans="1:8" x14ac:dyDescent="0.25">
      <c r="A235" s="3" t="s">
        <v>28</v>
      </c>
      <c r="B235" s="3">
        <f>COUNTIFS('Dermatoses Bulleuses CNHU HKM'!G:G,"Homme",'Dermatoses Bulleuses CNHU HKM'!Q:Q,"Infectieuse")</f>
        <v>12</v>
      </c>
      <c r="C235" s="6">
        <f>IF($B$212&gt;0,B235/$B$212*100,0)</f>
        <v>21.428571428571427</v>
      </c>
    </row>
    <row r="236" spans="1:8" x14ac:dyDescent="0.25">
      <c r="A236" s="3" t="s">
        <v>144</v>
      </c>
      <c r="B236" s="3">
        <f>COUNTIFS('Dermatoses Bulleuses CNHU HKM'!G:G,"Homme",'Dermatoses Bulleuses CNHU HKM'!Q:Q,"Immunoallergique")</f>
        <v>2</v>
      </c>
      <c r="C236" s="6">
        <f>IF($B$212&gt;0,B236/$B$212*100,0)</f>
        <v>3.5714285714285712</v>
      </c>
    </row>
    <row r="239" spans="1:8" ht="20.25" x14ac:dyDescent="0.35">
      <c r="A239" s="277" t="s">
        <v>222</v>
      </c>
      <c r="B239" s="277"/>
      <c r="C239" s="277"/>
      <c r="D239" s="277"/>
      <c r="E239" s="277"/>
      <c r="F239" s="277"/>
      <c r="G239" s="277"/>
      <c r="H239" s="277"/>
    </row>
    <row r="241" spans="1:8" x14ac:dyDescent="0.25">
      <c r="A241" s="5"/>
      <c r="B241" s="5" t="s">
        <v>201</v>
      </c>
      <c r="C241" s="5" t="s">
        <v>271</v>
      </c>
      <c r="D241" s="5" t="s">
        <v>272</v>
      </c>
    </row>
    <row r="242" spans="1:8" x14ac:dyDescent="0.25">
      <c r="A242" s="3" t="s">
        <v>30</v>
      </c>
      <c r="B242" s="3">
        <f>COUNTIFS('Dermatoses Bulleuses CNHU HKM'!G:G,"Femme",'Dermatoses Bulleuses CNHU HKM'!F:F,"&gt;=0",'Dermatoses Bulleuses CNHU HKM'!F:F,"&lt;=18")</f>
        <v>19</v>
      </c>
      <c r="C242" s="3">
        <f>COUNTIFS('Dermatoses Bulleuses CNHU HKM'!G:G,"Femme",'Dermatoses Bulleuses CNHU HKM'!F:F,"&gt;=19",'Dermatoses Bulleuses CNHU HKM'!F:F,"&lt;=59")</f>
        <v>38</v>
      </c>
      <c r="D242" s="3">
        <f>COUNTIFS('Dermatoses Bulleuses CNHU HKM'!G:G,"Femme",'Dermatoses Bulleuses CNHU HKM'!F:F,"&gt;=60")</f>
        <v>17</v>
      </c>
    </row>
    <row r="243" spans="1:8" x14ac:dyDescent="0.25">
      <c r="A243" s="3" t="s">
        <v>22</v>
      </c>
      <c r="B243" s="3">
        <f>COUNTIFS('Dermatoses Bulleuses CNHU HKM'!G:G,"Homme",'Dermatoses Bulleuses CNHU HKM'!F:F,"&gt;=0",'Dermatoses Bulleuses CNHU HKM'!F:F,"&lt;=18")</f>
        <v>24</v>
      </c>
      <c r="C243" s="3">
        <f>COUNTIFS('Dermatoses Bulleuses CNHU HKM'!G:G,"Homme",'Dermatoses Bulleuses CNHU HKM'!F:F,"&gt;=19",'Dermatoses Bulleuses CNHU HKM'!F:F,"&lt;=59")</f>
        <v>20</v>
      </c>
      <c r="D243" s="3">
        <f>COUNTIFS('Dermatoses Bulleuses CNHU HKM'!G:G,"Homme",'Dermatoses Bulleuses CNHU HKM'!F:F,"&gt;=60")</f>
        <v>12</v>
      </c>
    </row>
    <row r="244" spans="1:8" x14ac:dyDescent="0.25">
      <c r="A244" s="4" t="s">
        <v>223</v>
      </c>
      <c r="B244" s="3">
        <f>SUM(B242:B243)</f>
        <v>43</v>
      </c>
      <c r="C244" s="3">
        <f>SUM(C242:C243)</f>
        <v>58</v>
      </c>
      <c r="D244" s="3">
        <f>SUM(D242:D243)</f>
        <v>29</v>
      </c>
    </row>
    <row r="247" spans="1:8" x14ac:dyDescent="0.25">
      <c r="A247" s="274" t="s">
        <v>224</v>
      </c>
      <c r="B247" s="274"/>
      <c r="C247" s="274"/>
      <c r="D247" s="274"/>
      <c r="E247" s="274"/>
    </row>
    <row r="248" spans="1:8" x14ac:dyDescent="0.25">
      <c r="A248" s="4" t="s">
        <v>225</v>
      </c>
      <c r="B248" s="4" t="s">
        <v>201</v>
      </c>
      <c r="C248" s="4" t="s">
        <v>271</v>
      </c>
      <c r="D248" s="4" t="s">
        <v>272</v>
      </c>
      <c r="E248" s="4" t="s">
        <v>223</v>
      </c>
    </row>
    <row r="249" spans="1:8" x14ac:dyDescent="0.25">
      <c r="A249" s="3" t="s">
        <v>19</v>
      </c>
      <c r="B249" s="3">
        <f>COUNTIFS('Dermatoses Bulleuses CNHU HKM'!Q:Q,"Toxidermie",'Dermatoses Bulleuses CNHU HKM'!F:F,"&gt;=0",'Dermatoses Bulleuses CNHU HKM'!F:F,"&lt;=18")</f>
        <v>27</v>
      </c>
      <c r="C249" s="3">
        <f>COUNTIFS('Dermatoses Bulleuses CNHU HKM'!Q:Q,$A249,'Dermatoses Bulleuses CNHU HKM'!F:F,"&gt;=19",'Dermatoses Bulleuses CNHU HKM'!F:F,"&lt;=59")</f>
        <v>39</v>
      </c>
      <c r="D249" s="3">
        <f>COUNTIFS('Dermatoses Bulleuses CNHU HKM'!Q:Q,$A249,'Dermatoses Bulleuses CNHU HKM'!F:F,"&gt;=60")</f>
        <v>9</v>
      </c>
      <c r="E249" s="3">
        <f>SUM(B249:D249)</f>
        <v>75</v>
      </c>
    </row>
    <row r="250" spans="1:8" x14ac:dyDescent="0.25">
      <c r="A250" s="3" t="s">
        <v>40</v>
      </c>
      <c r="B250" s="3">
        <f>COUNTIFS('Dermatoses Bulleuses CNHU HKM'!Q:Q,"Auto-immune",'Dermatoses Bulleuses CNHU HKM'!F:F,"&gt;=0",'Dermatoses Bulleuses CNHU HKM'!F:F,"&lt;=18")</f>
        <v>2</v>
      </c>
      <c r="C250" s="3">
        <f>COUNTIFS('Dermatoses Bulleuses CNHU HKM'!Q:Q,$A250,'Dermatoses Bulleuses CNHU HKM'!F:F,"&gt;=19",'Dermatoses Bulleuses CNHU HKM'!F:F,"&lt;=59")</f>
        <v>11</v>
      </c>
      <c r="D250" s="3">
        <f>COUNTIFS('Dermatoses Bulleuses CNHU HKM'!Q:Q,$A250,'Dermatoses Bulleuses CNHU HKM'!F:F,"&gt;=60")</f>
        <v>18</v>
      </c>
      <c r="E250" s="3">
        <f>SUM(B250:D250)</f>
        <v>31</v>
      </c>
    </row>
    <row r="251" spans="1:8" x14ac:dyDescent="0.25">
      <c r="A251" s="3" t="s">
        <v>28</v>
      </c>
      <c r="B251" s="3">
        <f>COUNTIFS('Dermatoses Bulleuses CNHU HKM'!Q:Q,"Infectieuse",'Dermatoses Bulleuses CNHU HKM'!F:F,"&gt;=0",'Dermatoses Bulleuses CNHU HKM'!F:F,"&lt;=18")</f>
        <v>13</v>
      </c>
      <c r="C251" s="3">
        <f>COUNTIFS('Dermatoses Bulleuses CNHU HKM'!Q:Q,$A251,'Dermatoses Bulleuses CNHU HKM'!F:F,"&gt;=19",'Dermatoses Bulleuses CNHU HKM'!F:F,"&lt;=59")</f>
        <v>4</v>
      </c>
      <c r="D251" s="3">
        <f>COUNTIFS('Dermatoses Bulleuses CNHU HKM'!Q:Q,$A251,'Dermatoses Bulleuses CNHU HKM'!F:F,"&gt;=60")</f>
        <v>2</v>
      </c>
      <c r="E251" s="3">
        <f>SUM(B251:D251)</f>
        <v>19</v>
      </c>
    </row>
    <row r="252" spans="1:8" x14ac:dyDescent="0.25">
      <c r="A252" s="3" t="s">
        <v>144</v>
      </c>
      <c r="B252" s="3">
        <f>COUNTIFS('Dermatoses Bulleuses CNHU HKM'!Q:Q,"Immunoallergique",'Dermatoses Bulleuses CNHU HKM'!F:F,"&gt;=0",'Dermatoses Bulleuses CNHU HKM'!F:F,"&lt;=18")</f>
        <v>1</v>
      </c>
      <c r="C252" s="3">
        <f>COUNTIFS('Dermatoses Bulleuses CNHU HKM'!Q:Q,$A252,'Dermatoses Bulleuses CNHU HKM'!F:F,"&gt;=19",'Dermatoses Bulleuses CNHU HKM'!F:F,"&lt;=59")</f>
        <v>4</v>
      </c>
      <c r="D252" s="3">
        <f>COUNTIFS('Dermatoses Bulleuses CNHU HKM'!Q:Q,$A252,'Dermatoses Bulleuses CNHU HKM'!F:F,"&gt;=60")</f>
        <v>0</v>
      </c>
      <c r="E252" s="3">
        <f>SUM(B252:D252)</f>
        <v>5</v>
      </c>
    </row>
    <row r="253" spans="1:8" x14ac:dyDescent="0.25">
      <c r="A253" s="4" t="s">
        <v>223</v>
      </c>
      <c r="B253" s="3">
        <f>SUM(B249:B252)</f>
        <v>43</v>
      </c>
      <c r="C253" s="3">
        <f>SUM(C249:C252)</f>
        <v>58</v>
      </c>
      <c r="D253" s="3">
        <f>SUM(D249:D252)</f>
        <v>29</v>
      </c>
      <c r="E253" s="3">
        <f>SUM(E249:E252)</f>
        <v>130</v>
      </c>
    </row>
    <row r="256" spans="1:8" x14ac:dyDescent="0.25">
      <c r="A256" s="286"/>
      <c r="B256" s="286"/>
      <c r="C256" s="286"/>
      <c r="D256" s="286"/>
      <c r="E256" s="286"/>
      <c r="F256" s="286"/>
      <c r="G256" s="286"/>
      <c r="H256" s="286"/>
    </row>
    <row r="260" spans="1:8" ht="20.25" x14ac:dyDescent="0.35">
      <c r="A260" s="277" t="s">
        <v>285</v>
      </c>
      <c r="B260" s="289"/>
      <c r="C260" s="289"/>
      <c r="D260" s="289"/>
      <c r="E260" s="289"/>
      <c r="F260" s="289"/>
      <c r="G260" s="289"/>
      <c r="H260" s="289"/>
    </row>
    <row r="262" spans="1:8" x14ac:dyDescent="0.25">
      <c r="A262" s="290" t="s">
        <v>286</v>
      </c>
      <c r="B262" s="289"/>
      <c r="C262" s="289"/>
      <c r="D262" s="289"/>
      <c r="E262" s="289"/>
      <c r="F262" s="289"/>
      <c r="G262" s="289"/>
      <c r="H262" s="289"/>
    </row>
    <row r="264" spans="1:8" x14ac:dyDescent="0.25">
      <c r="A264" s="3" t="s">
        <v>287</v>
      </c>
      <c r="B264" s="3">
        <f>COUNTIF('Dermatoses Bulleuses CNHU HKM'!Q:Q,"Toxidermie")</f>
        <v>75</v>
      </c>
    </row>
    <row r="266" spans="1:8" x14ac:dyDescent="0.25">
      <c r="A266" s="291" t="s">
        <v>288</v>
      </c>
      <c r="B266" s="289"/>
      <c r="C266" s="289"/>
      <c r="D266" s="289"/>
    </row>
    <row r="267" spans="1:8" x14ac:dyDescent="0.25">
      <c r="A267" s="16" t="s">
        <v>181</v>
      </c>
      <c r="B267" s="16" t="s">
        <v>187</v>
      </c>
      <c r="C267" s="16" t="s">
        <v>188</v>
      </c>
    </row>
    <row r="268" spans="1:8" x14ac:dyDescent="0.25">
      <c r="A268" s="17" t="s">
        <v>30</v>
      </c>
      <c r="B268" s="17">
        <f>COUNTIFS('Dermatoses Bulleuses CNHU HKM'!Q:Q,"Toxidermie",'Dermatoses Bulleuses CNHU HKM'!G:G,"Femme")</f>
        <v>43</v>
      </c>
      <c r="C268" s="17">
        <f>ROUND(B268/$B$264*100,2)</f>
        <v>57.33</v>
      </c>
    </row>
    <row r="269" spans="1:8" x14ac:dyDescent="0.25">
      <c r="A269" s="17" t="s">
        <v>22</v>
      </c>
      <c r="B269" s="17">
        <f>COUNTIFS('Dermatoses Bulleuses CNHU HKM'!Q:Q,"Toxidermie",'Dermatoses Bulleuses CNHU HKM'!G:G,"Homme")</f>
        <v>32</v>
      </c>
      <c r="C269" s="17">
        <f>ROUND(B269/$B$264*100,2)</f>
        <v>42.67</v>
      </c>
    </row>
    <row r="270" spans="1:8" x14ac:dyDescent="0.25">
      <c r="A270" s="17" t="s">
        <v>202</v>
      </c>
      <c r="B270" s="17">
        <f>SUM(B268:B269)</f>
        <v>75</v>
      </c>
      <c r="C270" s="17">
        <f>SUM(C268:C269)</f>
        <v>100</v>
      </c>
    </row>
    <row r="272" spans="1:8" x14ac:dyDescent="0.25">
      <c r="A272" s="291" t="s">
        <v>289</v>
      </c>
      <c r="B272" s="289"/>
      <c r="C272" s="289"/>
      <c r="D272" s="289"/>
    </row>
    <row r="273" spans="1:4" x14ac:dyDescent="0.25">
      <c r="A273" s="16" t="s">
        <v>200</v>
      </c>
      <c r="B273" s="16" t="s">
        <v>187</v>
      </c>
      <c r="C273" s="16" t="s">
        <v>188</v>
      </c>
    </row>
    <row r="274" spans="1:4" x14ac:dyDescent="0.25">
      <c r="A274" s="17" t="s">
        <v>201</v>
      </c>
      <c r="B274" s="17">
        <f>COUNTIFS('Dermatoses Bulleuses CNHU HKM'!Q:Q,"Toxidermie",'Dermatoses Bulleuses CNHU HKM'!F:F,"&gt;=0",'Dermatoses Bulleuses CNHU HKM'!F:F,"&lt;=18")</f>
        <v>27</v>
      </c>
      <c r="C274" s="17">
        <f>ROUND(B274/$B$264*100,2)</f>
        <v>36</v>
      </c>
    </row>
    <row r="275" spans="1:4" x14ac:dyDescent="0.25">
      <c r="A275" s="17" t="s">
        <v>271</v>
      </c>
      <c r="B275" s="17">
        <f>COUNTIFS('Dermatoses Bulleuses CNHU HKM'!Q:Q,"Toxidermie",'Dermatoses Bulleuses CNHU HKM'!F:F,"&gt;18",'Dermatoses Bulleuses CNHU HKM'!F:F,"&lt;=59")</f>
        <v>39</v>
      </c>
      <c r="C275" s="17">
        <f>ROUND(B275/$B$264*100,2)</f>
        <v>52</v>
      </c>
    </row>
    <row r="276" spans="1:4" x14ac:dyDescent="0.25">
      <c r="A276" s="17" t="s">
        <v>272</v>
      </c>
      <c r="B276" s="17">
        <f>COUNTIFS('Dermatoses Bulleuses CNHU HKM'!Q:Q,"Toxidermie",'Dermatoses Bulleuses CNHU HKM'!F:F,"&gt;=60")</f>
        <v>9</v>
      </c>
      <c r="C276" s="17">
        <f>ROUND(B276/$B$264*100,2)</f>
        <v>12</v>
      </c>
    </row>
    <row r="277" spans="1:4" x14ac:dyDescent="0.25">
      <c r="A277" s="17" t="s">
        <v>202</v>
      </c>
      <c r="B277" s="17">
        <f>SUM(B274:B276)</f>
        <v>75</v>
      </c>
      <c r="C277" s="17">
        <f>SUM(C274:C276)</f>
        <v>100</v>
      </c>
    </row>
    <row r="279" spans="1:4" x14ac:dyDescent="0.25">
      <c r="A279" s="291" t="s">
        <v>290</v>
      </c>
      <c r="B279" s="289"/>
      <c r="C279" s="289"/>
      <c r="D279" s="289"/>
    </row>
    <row r="280" spans="1:4" x14ac:dyDescent="0.25">
      <c r="A280" s="16" t="s">
        <v>291</v>
      </c>
      <c r="B280" s="16" t="s">
        <v>187</v>
      </c>
      <c r="C280" s="16" t="s">
        <v>188</v>
      </c>
    </row>
    <row r="281" spans="1:4" x14ac:dyDescent="0.25">
      <c r="A281" s="17" t="s">
        <v>35</v>
      </c>
      <c r="B281" s="17">
        <f>COUNTIF('Dermatoses Bulleuses CNHU HKM'!T:T,"EPF Bulleux")</f>
        <v>25</v>
      </c>
      <c r="C281" s="17">
        <f>ROUND(B281/$B$264*100,2)</f>
        <v>33.33</v>
      </c>
    </row>
    <row r="282" spans="1:4" x14ac:dyDescent="0.25">
      <c r="A282" s="17" t="s">
        <v>74</v>
      </c>
      <c r="B282" s="17">
        <f>COUNTIF('Dermatoses Bulleuses CNHU HKM'!T:T,"Syndrome de Stevens Johnson")</f>
        <v>20</v>
      </c>
      <c r="C282" s="17">
        <f>ROUND(B282/$B$264*100,2)</f>
        <v>26.67</v>
      </c>
    </row>
    <row r="283" spans="1:4" x14ac:dyDescent="0.25">
      <c r="A283" s="17" t="s">
        <v>64</v>
      </c>
      <c r="B283" s="17">
        <f>COUNTIF('Dermatoses Bulleuses CNHU HKM'!T:T,"Syndrome de Lyell")</f>
        <v>15</v>
      </c>
      <c r="C283" s="17">
        <f>ROUND(B283/$B$264*100,2)</f>
        <v>20</v>
      </c>
    </row>
    <row r="284" spans="1:4" x14ac:dyDescent="0.25">
      <c r="A284" s="17" t="s">
        <v>70</v>
      </c>
      <c r="B284" s="17">
        <f>COUNTIF('Dermatoses Bulleuses CNHU HKM'!T:T,"Syndrome de chevauchement")</f>
        <v>8</v>
      </c>
      <c r="C284" s="17">
        <f>ROUND(B284/$B$264*100,2)</f>
        <v>10.67</v>
      </c>
    </row>
    <row r="285" spans="1:4" x14ac:dyDescent="0.25">
      <c r="A285" s="17" t="s">
        <v>26</v>
      </c>
      <c r="B285" s="17">
        <f>COUNTIF('Dermatoses Bulleuses CNHU HKM'!T:T,"Autre à préciser...")</f>
        <v>7</v>
      </c>
      <c r="C285" s="17">
        <f>ROUND(B285/$B$264*100,2)</f>
        <v>9.33</v>
      </c>
    </row>
    <row r="286" spans="1:4" x14ac:dyDescent="0.25">
      <c r="A286" s="17" t="s">
        <v>202</v>
      </c>
      <c r="B286" s="17">
        <f>SUM(B281:B285)</f>
        <v>75</v>
      </c>
      <c r="C286" s="17">
        <f>SUM(C281:C285)</f>
        <v>100</v>
      </c>
    </row>
    <row r="289" spans="1:8" x14ac:dyDescent="0.25">
      <c r="A289" s="290" t="s">
        <v>292</v>
      </c>
      <c r="B289" s="289"/>
      <c r="C289" s="289"/>
      <c r="D289" s="289"/>
      <c r="E289" s="289"/>
      <c r="F289" s="289"/>
      <c r="G289" s="289"/>
      <c r="H289" s="289"/>
    </row>
    <row r="291" spans="1:8" x14ac:dyDescent="0.25">
      <c r="A291" s="3" t="s">
        <v>293</v>
      </c>
      <c r="B291" s="3">
        <f>COUNTIF('Dermatoses Bulleuses CNHU HKM'!Q:Q,"Auto-immune")</f>
        <v>31</v>
      </c>
    </row>
    <row r="293" spans="1:8" x14ac:dyDescent="0.25">
      <c r="A293" s="291" t="s">
        <v>294</v>
      </c>
      <c r="B293" s="289"/>
      <c r="C293" s="289"/>
      <c r="D293" s="289"/>
    </row>
    <row r="294" spans="1:8" x14ac:dyDescent="0.25">
      <c r="A294" s="5" t="s">
        <v>181</v>
      </c>
      <c r="B294" s="5" t="s">
        <v>187</v>
      </c>
      <c r="C294" s="5" t="s">
        <v>188</v>
      </c>
    </row>
    <row r="295" spans="1:8" x14ac:dyDescent="0.25">
      <c r="A295" s="3" t="s">
        <v>30</v>
      </c>
      <c r="B295" s="3">
        <f>COUNTIFS('Dermatoses Bulleuses CNHU HKM'!Q:Q,"Auto-immune",'Dermatoses Bulleuses CNHU HKM'!G:G,"Femme")</f>
        <v>21</v>
      </c>
      <c r="C295" s="3">
        <f>ROUND(B295/$B$291*100,2)</f>
        <v>67.739999999999995</v>
      </c>
    </row>
    <row r="296" spans="1:8" x14ac:dyDescent="0.25">
      <c r="A296" s="3" t="s">
        <v>22</v>
      </c>
      <c r="B296" s="3">
        <f>COUNTIFS('Dermatoses Bulleuses CNHU HKM'!Q:Q,"Auto-immune",'Dermatoses Bulleuses CNHU HKM'!G:G,"Homme")</f>
        <v>10</v>
      </c>
      <c r="C296" s="3">
        <f>ROUND(B296/$B$291*100,2)</f>
        <v>32.26</v>
      </c>
    </row>
    <row r="297" spans="1:8" x14ac:dyDescent="0.25">
      <c r="A297" s="3" t="s">
        <v>202</v>
      </c>
      <c r="B297" s="3">
        <f>SUM(B295:B296)</f>
        <v>31</v>
      </c>
      <c r="C297" s="3">
        <f>SUM(C295:C296)</f>
        <v>100</v>
      </c>
    </row>
    <row r="299" spans="1:8" x14ac:dyDescent="0.25">
      <c r="A299" s="291" t="s">
        <v>295</v>
      </c>
      <c r="B299" s="289"/>
      <c r="C299" s="289"/>
      <c r="D299" s="289"/>
    </row>
    <row r="300" spans="1:8" x14ac:dyDescent="0.25">
      <c r="A300" s="5" t="s">
        <v>200</v>
      </c>
      <c r="B300" s="5" t="s">
        <v>187</v>
      </c>
      <c r="C300" s="5" t="s">
        <v>188</v>
      </c>
    </row>
    <row r="301" spans="1:8" x14ac:dyDescent="0.25">
      <c r="A301" s="3" t="s">
        <v>201</v>
      </c>
      <c r="B301" s="3">
        <f>COUNTIFS('Dermatoses Bulleuses CNHU HKM'!Q:Q,"Auto-immune",'Dermatoses Bulleuses CNHU HKM'!F:F,"&gt;=0",'Dermatoses Bulleuses CNHU HKM'!F:F,"&lt;=18")</f>
        <v>2</v>
      </c>
      <c r="C301" s="3">
        <f>ROUND(B301/$B$291*100,2)</f>
        <v>6.45</v>
      </c>
    </row>
    <row r="302" spans="1:8" x14ac:dyDescent="0.25">
      <c r="A302" s="3" t="s">
        <v>271</v>
      </c>
      <c r="B302" s="3">
        <f>COUNTIFS('Dermatoses Bulleuses CNHU HKM'!Q:Q,"Auto-immune",'Dermatoses Bulleuses CNHU HKM'!F:F,"&gt;18",'Dermatoses Bulleuses CNHU HKM'!F:F,"&lt;=59")</f>
        <v>11</v>
      </c>
      <c r="C302" s="3">
        <f>ROUND(B302/$B$291*100,2)</f>
        <v>35.479999999999997</v>
      </c>
    </row>
    <row r="303" spans="1:8" x14ac:dyDescent="0.25">
      <c r="A303" s="3" t="s">
        <v>272</v>
      </c>
      <c r="B303" s="3">
        <f>COUNTIFS('Dermatoses Bulleuses CNHU HKM'!Q:Q,"Auto-immune",'Dermatoses Bulleuses CNHU HKM'!F:F,"&gt;=60")</f>
        <v>18</v>
      </c>
      <c r="C303" s="3">
        <f>ROUND(B303/$B$291*100,2)</f>
        <v>58.06</v>
      </c>
    </row>
    <row r="304" spans="1:8" x14ac:dyDescent="0.25">
      <c r="A304" s="3" t="s">
        <v>202</v>
      </c>
      <c r="B304" s="3">
        <f>SUM(B301:B303)</f>
        <v>31</v>
      </c>
      <c r="C304" s="3">
        <f>SUM(C301:C303)</f>
        <v>99.990000000000009</v>
      </c>
    </row>
    <row r="306" spans="1:8" x14ac:dyDescent="0.25">
      <c r="A306" s="291" t="s">
        <v>296</v>
      </c>
      <c r="B306" s="289"/>
      <c r="C306" s="289"/>
      <c r="D306" s="289"/>
    </row>
    <row r="307" spans="1:8" x14ac:dyDescent="0.25">
      <c r="A307" s="5" t="s">
        <v>291</v>
      </c>
      <c r="B307" s="5" t="s">
        <v>187</v>
      </c>
      <c r="C307" s="5" t="s">
        <v>188</v>
      </c>
    </row>
    <row r="308" spans="1:8" x14ac:dyDescent="0.25">
      <c r="A308" s="3" t="s">
        <v>44</v>
      </c>
      <c r="B308" s="3">
        <f>COUNTIF('Dermatoses Bulleuses CNHU HKM'!R:R,"Pemphigoïde bulleuse")</f>
        <v>15</v>
      </c>
      <c r="C308" s="3">
        <f t="shared" ref="C308:C314" si="1">ROUND(B308/$B$291*100,2)</f>
        <v>48.39</v>
      </c>
    </row>
    <row r="309" spans="1:8" x14ac:dyDescent="0.25">
      <c r="A309" s="3" t="s">
        <v>136</v>
      </c>
      <c r="B309" s="3">
        <f>COUNTIF('Dermatoses Bulleuses CNHU HKM'!R:R,"Pemphigus vulgaire")</f>
        <v>7</v>
      </c>
      <c r="C309" s="3">
        <f t="shared" si="1"/>
        <v>22.58</v>
      </c>
    </row>
    <row r="310" spans="1:8" x14ac:dyDescent="0.25">
      <c r="A310" s="3" t="s">
        <v>91</v>
      </c>
      <c r="B310" s="3">
        <f>COUNTIF('Dermatoses Bulleuses CNHU HKM'!R:R,"Pemphigus paranéoplasique")</f>
        <v>3</v>
      </c>
      <c r="C310" s="3">
        <f t="shared" si="1"/>
        <v>9.68</v>
      </c>
    </row>
    <row r="311" spans="1:8" x14ac:dyDescent="0.25">
      <c r="A311" s="3" t="s">
        <v>41</v>
      </c>
      <c r="B311" s="3">
        <f>COUNTIF('Dermatoses Bulleuses CNHU HKM'!R:R,"Dermatose à IgA linéaire")</f>
        <v>1</v>
      </c>
      <c r="C311" s="3">
        <f t="shared" si="1"/>
        <v>3.23</v>
      </c>
    </row>
    <row r="312" spans="1:8" x14ac:dyDescent="0.25">
      <c r="A312" s="3" t="s">
        <v>85</v>
      </c>
      <c r="B312" s="3">
        <f>COUNTIF('Dermatoses Bulleuses CNHU HKM'!R:R,"Épidermolyse bulleuse acquise")</f>
        <v>1</v>
      </c>
      <c r="C312" s="3">
        <f t="shared" si="1"/>
        <v>3.23</v>
      </c>
    </row>
    <row r="313" spans="1:8" x14ac:dyDescent="0.25">
      <c r="A313" s="3" t="s">
        <v>98</v>
      </c>
      <c r="B313" s="3">
        <f>COUNTIF('Dermatoses Bulleuses CNHU HKM'!R:R,"Dermatite herpétiforme")</f>
        <v>1</v>
      </c>
      <c r="C313" s="3">
        <f t="shared" si="1"/>
        <v>3.23</v>
      </c>
    </row>
    <row r="314" spans="1:8" x14ac:dyDescent="0.25">
      <c r="A314" s="3" t="s">
        <v>26</v>
      </c>
      <c r="B314" s="3">
        <f>COUNTIF('Dermatoses Bulleuses CNHU HKM'!R:R,"Autre à préciser...")</f>
        <v>3</v>
      </c>
      <c r="C314" s="3">
        <f t="shared" si="1"/>
        <v>9.68</v>
      </c>
    </row>
    <row r="315" spans="1:8" x14ac:dyDescent="0.25">
      <c r="A315" s="3" t="s">
        <v>202</v>
      </c>
      <c r="B315" s="3">
        <f>SUM(B308:B314)</f>
        <v>31</v>
      </c>
      <c r="C315" s="3">
        <f>SUM(C308:C314)</f>
        <v>100.02000000000001</v>
      </c>
    </row>
    <row r="318" spans="1:8" x14ac:dyDescent="0.25">
      <c r="A318" s="290" t="s">
        <v>297</v>
      </c>
      <c r="B318" s="289"/>
      <c r="C318" s="289"/>
      <c r="D318" s="289"/>
      <c r="E318" s="289"/>
      <c r="F318" s="289"/>
      <c r="G318" s="289"/>
      <c r="H318" s="289"/>
    </row>
    <row r="320" spans="1:8" x14ac:dyDescent="0.25">
      <c r="A320" s="3" t="s">
        <v>298</v>
      </c>
      <c r="B320" s="3">
        <f>COUNTIF('Dermatoses Bulleuses CNHU HKM'!Q:Q,"Infectieuse")</f>
        <v>19</v>
      </c>
    </row>
    <row r="322" spans="1:4" x14ac:dyDescent="0.25">
      <c r="A322" s="291" t="s">
        <v>299</v>
      </c>
      <c r="B322" s="289"/>
      <c r="C322" s="289"/>
      <c r="D322" s="289"/>
    </row>
    <row r="323" spans="1:4" x14ac:dyDescent="0.25">
      <c r="A323" s="5" t="s">
        <v>181</v>
      </c>
      <c r="B323" s="5" t="s">
        <v>187</v>
      </c>
      <c r="C323" s="5" t="s">
        <v>188</v>
      </c>
    </row>
    <row r="324" spans="1:4" x14ac:dyDescent="0.25">
      <c r="A324" s="3" t="s">
        <v>30</v>
      </c>
      <c r="B324" s="3">
        <f>COUNTIFS('Dermatoses Bulleuses CNHU HKM'!Q:Q,"Infectieuse",'Dermatoses Bulleuses CNHU HKM'!G:G,"Femme")</f>
        <v>7</v>
      </c>
      <c r="C324" s="3">
        <f>ROUND(B324/$B$320*100,2)</f>
        <v>36.840000000000003</v>
      </c>
    </row>
    <row r="325" spans="1:4" x14ac:dyDescent="0.25">
      <c r="A325" s="3" t="s">
        <v>22</v>
      </c>
      <c r="B325" s="3">
        <f>COUNTIFS('Dermatoses Bulleuses CNHU HKM'!Q:Q,"Infectieuse",'Dermatoses Bulleuses CNHU HKM'!G:G,"Homme")</f>
        <v>12</v>
      </c>
      <c r="C325" s="3">
        <f>ROUND(B325/$B$320*100,2)</f>
        <v>63.16</v>
      </c>
    </row>
    <row r="326" spans="1:4" x14ac:dyDescent="0.25">
      <c r="A326" s="3" t="s">
        <v>202</v>
      </c>
      <c r="B326" s="3">
        <f>SUM(B324:B325)</f>
        <v>19</v>
      </c>
      <c r="C326" s="3">
        <f>SUM(C324:C325)</f>
        <v>100</v>
      </c>
    </row>
    <row r="328" spans="1:4" x14ac:dyDescent="0.25">
      <c r="A328" s="291" t="s">
        <v>300</v>
      </c>
      <c r="B328" s="289"/>
      <c r="C328" s="289"/>
      <c r="D328" s="289"/>
    </row>
    <row r="329" spans="1:4" x14ac:dyDescent="0.25">
      <c r="A329" s="5" t="s">
        <v>200</v>
      </c>
      <c r="B329" s="5" t="s">
        <v>187</v>
      </c>
      <c r="C329" s="5" t="s">
        <v>188</v>
      </c>
    </row>
    <row r="330" spans="1:4" x14ac:dyDescent="0.25">
      <c r="A330" s="3" t="s">
        <v>201</v>
      </c>
      <c r="B330" s="3">
        <f>COUNTIFS('Dermatoses Bulleuses CNHU HKM'!Q:Q,"Infectieuse",'Dermatoses Bulleuses CNHU HKM'!F:F,"&gt;=0",'Dermatoses Bulleuses CNHU HKM'!F:F,"&lt;=18")</f>
        <v>13</v>
      </c>
      <c r="C330" s="3">
        <f>ROUND(B330/$B$320*100,2)</f>
        <v>68.42</v>
      </c>
    </row>
    <row r="331" spans="1:4" x14ac:dyDescent="0.25">
      <c r="A331" s="3" t="s">
        <v>271</v>
      </c>
      <c r="B331" s="3">
        <f>COUNTIFS('Dermatoses Bulleuses CNHU HKM'!Q:Q,"Infectieuse",'Dermatoses Bulleuses CNHU HKM'!F:F,"&gt;18",'Dermatoses Bulleuses CNHU HKM'!F:F,"&lt;=59")</f>
        <v>4</v>
      </c>
      <c r="C331" s="3">
        <f>ROUND(B331/$B$320*100,2)</f>
        <v>21.05</v>
      </c>
    </row>
    <row r="332" spans="1:4" x14ac:dyDescent="0.25">
      <c r="A332" s="3" t="s">
        <v>272</v>
      </c>
      <c r="B332" s="3">
        <f>COUNTIFS('Dermatoses Bulleuses CNHU HKM'!Q:Q,"Infectieuse",'Dermatoses Bulleuses CNHU HKM'!F:F,"&gt;=60")</f>
        <v>2</v>
      </c>
      <c r="C332" s="3">
        <f>ROUND(B332/$B$320*100,2)</f>
        <v>10.53</v>
      </c>
    </row>
    <row r="333" spans="1:4" x14ac:dyDescent="0.25">
      <c r="A333" s="3" t="s">
        <v>202</v>
      </c>
      <c r="B333" s="3">
        <f>SUM(B330:B332)</f>
        <v>19</v>
      </c>
      <c r="C333" s="3">
        <f>SUM(C330:C332)</f>
        <v>100</v>
      </c>
    </row>
    <row r="335" spans="1:4" x14ac:dyDescent="0.25">
      <c r="A335" s="291" t="s">
        <v>301</v>
      </c>
      <c r="B335" s="289"/>
      <c r="C335" s="289"/>
      <c r="D335" s="289"/>
    </row>
    <row r="336" spans="1:4" x14ac:dyDescent="0.25">
      <c r="A336" s="5" t="s">
        <v>291</v>
      </c>
      <c r="B336" s="5" t="s">
        <v>187</v>
      </c>
      <c r="C336" s="5" t="s">
        <v>188</v>
      </c>
    </row>
    <row r="337" spans="1:8" x14ac:dyDescent="0.25">
      <c r="A337" s="3" t="s">
        <v>101</v>
      </c>
      <c r="B337" s="3">
        <f>COUNTIF('Dermatoses Bulleuses CNHU HKM'!S:S,"Impétigo bulleux")</f>
        <v>10</v>
      </c>
      <c r="C337" s="3">
        <f>ROUND(B337/$B$320*100,2)</f>
        <v>52.63</v>
      </c>
    </row>
    <row r="338" spans="1:8" x14ac:dyDescent="0.25">
      <c r="A338" s="3" t="s">
        <v>29</v>
      </c>
      <c r="B338" s="3">
        <f>COUNTIF('Dermatoses Bulleuses CNHU HKM'!S:S,"Épidermolyse staphylococcique")</f>
        <v>3</v>
      </c>
      <c r="C338" s="3">
        <f>ROUND(B338/$B$320*100,2)</f>
        <v>15.79</v>
      </c>
    </row>
    <row r="339" spans="1:8" x14ac:dyDescent="0.25">
      <c r="A339" s="3" t="s">
        <v>147</v>
      </c>
      <c r="B339" s="3">
        <f>COUNTIF('Dermatoses Bulleuses CNHU HKM'!S:S,"DHBANN")</f>
        <v>2</v>
      </c>
      <c r="C339" s="3">
        <f>ROUND(B339/$B$320*100,2)</f>
        <v>10.53</v>
      </c>
    </row>
    <row r="340" spans="1:8" x14ac:dyDescent="0.25">
      <c r="A340" s="3" t="s">
        <v>26</v>
      </c>
      <c r="B340" s="3">
        <f>COUNTIF('Dermatoses Bulleuses CNHU HKM'!S:S,"Autre à préciser...")</f>
        <v>4</v>
      </c>
      <c r="C340" s="3">
        <f>ROUND(B340/$B$320*100,2)</f>
        <v>21.05</v>
      </c>
    </row>
    <row r="341" spans="1:8" x14ac:dyDescent="0.25">
      <c r="A341" s="3" t="s">
        <v>202</v>
      </c>
      <c r="B341" s="3">
        <f>SUM(B337:B340)</f>
        <v>19</v>
      </c>
      <c r="C341" s="3">
        <f>SUM(C337:C340)</f>
        <v>100</v>
      </c>
    </row>
    <row r="344" spans="1:8" x14ac:dyDescent="0.25">
      <c r="A344" s="290" t="s">
        <v>302</v>
      </c>
      <c r="B344" s="289"/>
      <c r="C344" s="289"/>
      <c r="D344" s="289"/>
      <c r="E344" s="289"/>
      <c r="F344" s="289"/>
      <c r="G344" s="289"/>
      <c r="H344" s="289"/>
    </row>
    <row r="346" spans="1:8" x14ac:dyDescent="0.25">
      <c r="A346" s="3" t="s">
        <v>303</v>
      </c>
      <c r="B346" s="3">
        <f>COUNTIF('Dermatoses Bulleuses CNHU HKM'!Q:Q,"Immunoallergique")</f>
        <v>5</v>
      </c>
    </row>
    <row r="348" spans="1:8" x14ac:dyDescent="0.25">
      <c r="A348" s="291" t="s">
        <v>304</v>
      </c>
      <c r="B348" s="289"/>
      <c r="C348" s="289"/>
      <c r="D348" s="289"/>
    </row>
    <row r="349" spans="1:8" x14ac:dyDescent="0.25">
      <c r="A349" s="5" t="s">
        <v>181</v>
      </c>
      <c r="B349" s="5" t="s">
        <v>187</v>
      </c>
      <c r="C349" s="5" t="s">
        <v>188</v>
      </c>
    </row>
    <row r="350" spans="1:8" x14ac:dyDescent="0.25">
      <c r="A350" s="3" t="s">
        <v>30</v>
      </c>
      <c r="B350" s="3">
        <f>COUNTIFS('Dermatoses Bulleuses CNHU HKM'!Q:Q,"Immunoallergique",'Dermatoses Bulleuses CNHU HKM'!G:G,"Femme")</f>
        <v>3</v>
      </c>
      <c r="C350" s="3">
        <f>IF($B$346=0,0,ROUND(B350/$B$346*100,2))</f>
        <v>60</v>
      </c>
    </row>
    <row r="351" spans="1:8" x14ac:dyDescent="0.25">
      <c r="A351" s="3" t="s">
        <v>22</v>
      </c>
      <c r="B351" s="3">
        <f>COUNTIFS('Dermatoses Bulleuses CNHU HKM'!Q:Q,"Immunoallergique",'Dermatoses Bulleuses CNHU HKM'!G:G,"Homme")</f>
        <v>2</v>
      </c>
      <c r="C351" s="3">
        <f>IF($B$346=0,0,ROUND(B351/$B$346*100,2))</f>
        <v>40</v>
      </c>
    </row>
    <row r="352" spans="1:8" x14ac:dyDescent="0.25">
      <c r="A352" s="3" t="s">
        <v>202</v>
      </c>
      <c r="B352" s="3">
        <f>SUM(B350:B351)</f>
        <v>5</v>
      </c>
      <c r="C352" s="3">
        <f>SUM(C350:C351)</f>
        <v>100</v>
      </c>
    </row>
    <row r="354" spans="1:4" x14ac:dyDescent="0.25">
      <c r="A354" s="291" t="s">
        <v>305</v>
      </c>
      <c r="B354" s="289"/>
      <c r="C354" s="289"/>
      <c r="D354" s="289"/>
    </row>
    <row r="355" spans="1:4" x14ac:dyDescent="0.25">
      <c r="A355" s="5" t="s">
        <v>200</v>
      </c>
      <c r="B355" s="5" t="s">
        <v>187</v>
      </c>
      <c r="C355" s="5" t="s">
        <v>188</v>
      </c>
    </row>
    <row r="356" spans="1:4" x14ac:dyDescent="0.25">
      <c r="A356" s="3" t="s">
        <v>201</v>
      </c>
      <c r="B356" s="3">
        <f>COUNTIFS('Dermatoses Bulleuses CNHU HKM'!Q:Q,"Immunoallergique",'Dermatoses Bulleuses CNHU HKM'!F:F,"&gt;=0",'Dermatoses Bulleuses CNHU HKM'!F:F,"&lt;=18")</f>
        <v>1</v>
      </c>
      <c r="C356" s="3">
        <f>IF($B$346=0,0,ROUND(B356/$B$346*100,2))</f>
        <v>20</v>
      </c>
    </row>
    <row r="357" spans="1:4" x14ac:dyDescent="0.25">
      <c r="A357" s="3" t="s">
        <v>271</v>
      </c>
      <c r="B357" s="3">
        <f>COUNTIFS('Dermatoses Bulleuses CNHU HKM'!Q:Q,"Immunoallergique",'Dermatoses Bulleuses CNHU HKM'!F:F,"&gt;18",'Dermatoses Bulleuses CNHU HKM'!F:F,"&lt;=59")</f>
        <v>4</v>
      </c>
      <c r="C357" s="3">
        <f>IF($B$346=0,0,ROUND(B357/$B$346*100,2))</f>
        <v>80</v>
      </c>
    </row>
    <row r="358" spans="1:4" x14ac:dyDescent="0.25">
      <c r="A358" s="3" t="s">
        <v>272</v>
      </c>
      <c r="B358" s="3">
        <f>COUNTIFS('Dermatoses Bulleuses CNHU HKM'!Q:Q,"Immunoallergique",'Dermatoses Bulleuses CNHU HKM'!F:F,"&gt;=60")</f>
        <v>0</v>
      </c>
      <c r="C358" s="3">
        <f>IF($B$346=0,0,ROUND(B358/$B$346*100,2))</f>
        <v>0</v>
      </c>
    </row>
    <row r="359" spans="1:4" x14ac:dyDescent="0.25">
      <c r="A359" s="3" t="s">
        <v>202</v>
      </c>
      <c r="B359" s="3">
        <f>SUM(B356:B358)</f>
        <v>5</v>
      </c>
      <c r="C359" s="3">
        <f>SUM(C356:C358)</f>
        <v>100</v>
      </c>
    </row>
    <row r="361" spans="1:4" x14ac:dyDescent="0.25">
      <c r="A361" s="291" t="s">
        <v>306</v>
      </c>
      <c r="B361" s="289"/>
      <c r="C361" s="289"/>
      <c r="D361" s="289"/>
    </row>
    <row r="362" spans="1:4" x14ac:dyDescent="0.25">
      <c r="A362" s="5" t="s">
        <v>291</v>
      </c>
      <c r="B362" s="5" t="s">
        <v>187</v>
      </c>
      <c r="C362" s="5" t="s">
        <v>188</v>
      </c>
    </row>
    <row r="363" spans="1:4" x14ac:dyDescent="0.25">
      <c r="A363" s="3" t="s">
        <v>41</v>
      </c>
      <c r="B363" s="3">
        <f>COUNTIF('Dermatoses Bulleuses CNHU HKM'!U:U,"Dermatose à IgA linéaire")</f>
        <v>0</v>
      </c>
      <c r="C363" s="3">
        <f>IF($B$346=0,0,ROUND(B363/$B$346*100,2))</f>
        <v>0</v>
      </c>
    </row>
    <row r="364" spans="1:4" x14ac:dyDescent="0.25">
      <c r="A364" s="3" t="s">
        <v>307</v>
      </c>
      <c r="B364" s="3">
        <f>COUNTIF('Dermatoses Bulleuses CNHU HKM'!U:U,"Pemphigoïde gravidique")</f>
        <v>0</v>
      </c>
      <c r="C364" s="3">
        <f>IF($B$346=0,0,ROUND(B364/$B$346*100,2))</f>
        <v>0</v>
      </c>
    </row>
    <row r="365" spans="1:4" x14ac:dyDescent="0.25">
      <c r="A365" s="3" t="s">
        <v>26</v>
      </c>
      <c r="B365" s="3">
        <f>COUNTIF('Dermatoses Bulleuses CNHU HKM'!U:U,"Autre à préciser...")</f>
        <v>4</v>
      </c>
      <c r="C365" s="3">
        <f>IF($B$346=0,0,ROUND(B365/$B$346*100,2))</f>
        <v>80</v>
      </c>
    </row>
    <row r="366" spans="1:4" x14ac:dyDescent="0.25">
      <c r="A366" s="3" t="s">
        <v>202</v>
      </c>
      <c r="B366" s="3">
        <f>SUM(B363:B365)</f>
        <v>4</v>
      </c>
      <c r="C366" s="3">
        <f>SUM(C363:C365)</f>
        <v>80</v>
      </c>
    </row>
    <row r="370" spans="1:8" ht="20.25" x14ac:dyDescent="0.35">
      <c r="A370" s="277" t="s">
        <v>308</v>
      </c>
      <c r="B370" s="289"/>
      <c r="C370" s="289"/>
      <c r="D370" s="289"/>
      <c r="E370" s="289"/>
      <c r="F370" s="289"/>
      <c r="G370" s="289"/>
      <c r="H370" s="289"/>
    </row>
    <row r="372" spans="1:8" x14ac:dyDescent="0.25">
      <c r="A372" s="292" t="s">
        <v>309</v>
      </c>
      <c r="B372" s="289"/>
      <c r="C372" s="289"/>
      <c r="D372" s="289"/>
      <c r="E372" s="289"/>
      <c r="F372" s="289"/>
      <c r="G372" s="289"/>
      <c r="H372" s="289"/>
    </row>
    <row r="374" spans="1:8" x14ac:dyDescent="0.25">
      <c r="A374" s="3" t="s">
        <v>204</v>
      </c>
      <c r="B374" s="3">
        <f>COUNTIFS('Dermatoses Bulleuses CNHU HKM'!F:F,"&gt;=0",'Dermatoses Bulleuses CNHU HKM'!F:F,"&lt;=18")</f>
        <v>43</v>
      </c>
    </row>
    <row r="376" spans="1:8" x14ac:dyDescent="0.25">
      <c r="A376" s="291" t="s">
        <v>310</v>
      </c>
      <c r="B376" s="289"/>
      <c r="C376" s="289"/>
      <c r="D376" s="289"/>
    </row>
    <row r="377" spans="1:8" x14ac:dyDescent="0.25">
      <c r="A377" s="13" t="s">
        <v>311</v>
      </c>
      <c r="B377" s="13" t="s">
        <v>187</v>
      </c>
      <c r="C377" s="13" t="s">
        <v>188</v>
      </c>
    </row>
    <row r="378" spans="1:8" x14ac:dyDescent="0.25">
      <c r="A378" s="3" t="s">
        <v>312</v>
      </c>
      <c r="B378" s="3">
        <f>COUNTIFS('Dermatoses Bulleuses CNHU HKM'!F:F,"&gt;=0",'Dermatoses Bulleuses CNHU HKM'!F:F,"&lt;=18",'Dermatoses Bulleuses CNHU HKM'!N:N,"&gt;=0",'Dermatoses Bulleuses CNHU HKM'!N:N,"&lt;=10")</f>
        <v>19</v>
      </c>
      <c r="C378" s="3">
        <f>IF($B$374=0,0,ROUND(B378/$B$374*100,2))</f>
        <v>44.19</v>
      </c>
    </row>
    <row r="379" spans="1:8" x14ac:dyDescent="0.25">
      <c r="A379" s="3" t="s">
        <v>313</v>
      </c>
      <c r="B379" s="3">
        <f>COUNTIFS('Dermatoses Bulleuses CNHU HKM'!F:F,"&gt;=0",'Dermatoses Bulleuses CNHU HKM'!F:F,"&lt;=18",'Dermatoses Bulleuses CNHU HKM'!N:N,"&gt;10",'Dermatoses Bulleuses CNHU HKM'!N:N,"&lt;=29")</f>
        <v>12</v>
      </c>
      <c r="C379" s="3">
        <f>IF($B$374=0,0,ROUND(B379/$B$374*100,2))</f>
        <v>27.91</v>
      </c>
    </row>
    <row r="380" spans="1:8" x14ac:dyDescent="0.25">
      <c r="A380" s="3" t="s">
        <v>314</v>
      </c>
      <c r="B380" s="3">
        <f>COUNTIFS('Dermatoses Bulleuses CNHU HKM'!F:F,"&gt;=0",'Dermatoses Bulleuses CNHU HKM'!F:F,"&lt;=18",'Dermatoses Bulleuses CNHU HKM'!N:N,"&gt;=30")</f>
        <v>12</v>
      </c>
      <c r="C380" s="3">
        <f>IF($B$374=0,0,ROUND(B380/$B$374*100,2))</f>
        <v>27.91</v>
      </c>
    </row>
    <row r="381" spans="1:8" x14ac:dyDescent="0.25">
      <c r="A381" s="3" t="s">
        <v>202</v>
      </c>
      <c r="B381" s="3">
        <f>SUM(B378:B380)</f>
        <v>43</v>
      </c>
      <c r="C381" s="3">
        <f>SUM(C378:C380)</f>
        <v>100.00999999999999</v>
      </c>
    </row>
    <row r="383" spans="1:8" x14ac:dyDescent="0.25">
      <c r="A383" s="291" t="s">
        <v>315</v>
      </c>
      <c r="B383" s="289"/>
      <c r="C383" s="289"/>
      <c r="D383" s="289"/>
    </row>
    <row r="384" spans="1:8" x14ac:dyDescent="0.25">
      <c r="A384" s="13" t="s">
        <v>257</v>
      </c>
      <c r="B384" s="13" t="s">
        <v>187</v>
      </c>
      <c r="C384" s="13" t="s">
        <v>188</v>
      </c>
    </row>
    <row r="385" spans="1:4" x14ac:dyDescent="0.25">
      <c r="A385" s="3" t="s">
        <v>32</v>
      </c>
      <c r="B385" s="3">
        <f>COUNTIFS('Dermatoses Bulleuses CNHU HKM'!F:F,"&gt;=0",'Dermatoses Bulleuses CNHU HKM'!F:F,"&lt;=18",'Dermatoses Bulleuses CNHU HKM'!K:K,"Oui")</f>
        <v>23</v>
      </c>
      <c r="C385" s="3">
        <f>IF($B$374=0,0,ROUND(B385/$B$374*100,2))</f>
        <v>53.49</v>
      </c>
    </row>
    <row r="386" spans="1:4" x14ac:dyDescent="0.25">
      <c r="A386" s="3" t="s">
        <v>24</v>
      </c>
      <c r="B386" s="3">
        <f>COUNTIFS('Dermatoses Bulleuses CNHU HKM'!F:F,"&gt;=0",'Dermatoses Bulleuses CNHU HKM'!F:F,"&lt;=18",'Dermatoses Bulleuses CNHU HKM'!K:K,"Non")</f>
        <v>20</v>
      </c>
      <c r="C386" s="3">
        <f>IF($B$374=0,0,ROUND(B386/$B$374*100,2))</f>
        <v>46.51</v>
      </c>
    </row>
    <row r="387" spans="1:4" x14ac:dyDescent="0.25">
      <c r="A387" s="3" t="s">
        <v>202</v>
      </c>
      <c r="B387" s="3">
        <f>SUM(B385:B386)</f>
        <v>43</v>
      </c>
      <c r="C387" s="3">
        <f>SUM(C385:C386)</f>
        <v>100</v>
      </c>
    </row>
    <row r="389" spans="1:4" x14ac:dyDescent="0.25">
      <c r="A389" s="291" t="s">
        <v>316</v>
      </c>
      <c r="B389" s="289"/>
      <c r="C389" s="289"/>
      <c r="D389" s="289"/>
    </row>
    <row r="390" spans="1:4" x14ac:dyDescent="0.25">
      <c r="A390" s="13" t="s">
        <v>317</v>
      </c>
      <c r="B390" s="13" t="s">
        <v>187</v>
      </c>
      <c r="C390" s="13" t="s">
        <v>188</v>
      </c>
    </row>
    <row r="391" spans="1:4" x14ac:dyDescent="0.25">
      <c r="A391" s="3" t="s">
        <v>35</v>
      </c>
      <c r="B391" s="3">
        <f>COUNTIFS('Dermatoses Bulleuses CNHU HKM'!F:F,"&gt;=0",'Dermatoses Bulleuses CNHU HKM'!F:F,"&lt;=18",'Dermatoses Bulleuses CNHU HKM'!T:T,"EPF Bulleux")</f>
        <v>3</v>
      </c>
      <c r="C391" s="3">
        <f t="shared" ref="C391:C401" si="2">IF($B$374=0,0,ROUND(B391/$B$374*100,2))</f>
        <v>6.98</v>
      </c>
    </row>
    <row r="392" spans="1:4" x14ac:dyDescent="0.25">
      <c r="A392" s="3" t="s">
        <v>74</v>
      </c>
      <c r="B392" s="3">
        <f>COUNTIFS('Dermatoses Bulleuses CNHU HKM'!F:F,"&gt;=0",'Dermatoses Bulleuses CNHU HKM'!F:F,"&lt;=18",'Dermatoses Bulleuses CNHU HKM'!T:T,"Syndrome de Stevens Johnson")</f>
        <v>11</v>
      </c>
      <c r="C392" s="3">
        <f t="shared" si="2"/>
        <v>25.58</v>
      </c>
    </row>
    <row r="393" spans="1:4" x14ac:dyDescent="0.25">
      <c r="A393" s="3" t="s">
        <v>64</v>
      </c>
      <c r="B393" s="3">
        <f>COUNTIFS('Dermatoses Bulleuses CNHU HKM'!F:F,"&gt;=0",'Dermatoses Bulleuses CNHU HKM'!F:F,"&lt;=18",'Dermatoses Bulleuses CNHU HKM'!T:T,"Syndrome de Lyell")</f>
        <v>8</v>
      </c>
      <c r="C393" s="3">
        <f t="shared" si="2"/>
        <v>18.600000000000001</v>
      </c>
    </row>
    <row r="394" spans="1:4" x14ac:dyDescent="0.25">
      <c r="A394" s="3" t="s">
        <v>70</v>
      </c>
      <c r="B394" s="3">
        <f>COUNTIFS('Dermatoses Bulleuses CNHU HKM'!F:F,"&gt;=0",'Dermatoses Bulleuses CNHU HKM'!F:F,"&lt;=18",'Dermatoses Bulleuses CNHU HKM'!T:T,"Syndrome de chevauchement")</f>
        <v>3</v>
      </c>
      <c r="C394" s="3">
        <f t="shared" si="2"/>
        <v>6.98</v>
      </c>
    </row>
    <row r="395" spans="1:4" x14ac:dyDescent="0.25">
      <c r="A395" s="3" t="s">
        <v>44</v>
      </c>
      <c r="B395" s="3">
        <f>COUNTIFS('Dermatoses Bulleuses CNHU HKM'!F:F,"&gt;=0",'Dermatoses Bulleuses CNHU HKM'!F:F,"&lt;=18",'Dermatoses Bulleuses CNHU HKM'!R:R,"Pemphigoïde bulleuse")</f>
        <v>1</v>
      </c>
      <c r="C395" s="3">
        <f t="shared" si="2"/>
        <v>2.33</v>
      </c>
    </row>
    <row r="396" spans="1:4" x14ac:dyDescent="0.25">
      <c r="A396" s="3" t="s">
        <v>136</v>
      </c>
      <c r="B396" s="3">
        <f>COUNTIFS('Dermatoses Bulleuses CNHU HKM'!F:F,"&gt;=0",'Dermatoses Bulleuses CNHU HKM'!F:F,"&lt;=18",'Dermatoses Bulleuses CNHU HKM'!R:R,"Pemphigus vulgaire")</f>
        <v>0</v>
      </c>
      <c r="C396" s="3">
        <f t="shared" si="2"/>
        <v>0</v>
      </c>
    </row>
    <row r="397" spans="1:4" x14ac:dyDescent="0.25">
      <c r="A397" s="3" t="s">
        <v>101</v>
      </c>
      <c r="B397" s="3">
        <f>COUNTIFS('Dermatoses Bulleuses CNHU HKM'!F:F,"&gt;=0",'Dermatoses Bulleuses CNHU HKM'!F:F,"&lt;=18",'Dermatoses Bulleuses CNHU HKM'!S:S,"Impétigo bulleux")</f>
        <v>9</v>
      </c>
      <c r="C397" s="3">
        <f t="shared" si="2"/>
        <v>20.93</v>
      </c>
    </row>
    <row r="398" spans="1:4" x14ac:dyDescent="0.25">
      <c r="A398" s="3" t="s">
        <v>29</v>
      </c>
      <c r="B398" s="3">
        <f>COUNTIFS('Dermatoses Bulleuses CNHU HKM'!F:F,"&gt;=0",'Dermatoses Bulleuses CNHU HKM'!F:F,"&lt;=18",'Dermatoses Bulleuses CNHU HKM'!S:S,"Épidermolyse staphylococcique")</f>
        <v>3</v>
      </c>
      <c r="C398" s="3">
        <f t="shared" si="2"/>
        <v>6.98</v>
      </c>
    </row>
    <row r="399" spans="1:4" x14ac:dyDescent="0.25">
      <c r="A399" s="3" t="s">
        <v>147</v>
      </c>
      <c r="B399" s="3">
        <f>COUNTIFS('Dermatoses Bulleuses CNHU HKM'!F:F,"&gt;=0",'Dermatoses Bulleuses CNHU HKM'!F:F,"&lt;=18",'Dermatoses Bulleuses CNHU HKM'!S:S,"DHBANN")</f>
        <v>0</v>
      </c>
      <c r="C399" s="3">
        <f t="shared" si="2"/>
        <v>0</v>
      </c>
    </row>
    <row r="400" spans="1:4" x14ac:dyDescent="0.25">
      <c r="A400" s="3" t="s">
        <v>41</v>
      </c>
      <c r="B400" s="3">
        <f>COUNTIFS('Dermatoses Bulleuses CNHU HKM'!F:F,"&gt;=0",'Dermatoses Bulleuses CNHU HKM'!F:F,"&lt;=18",'Dermatoses Bulleuses CNHU HKM'!U:U,"Dermatose à IgA linéaire")</f>
        <v>0</v>
      </c>
      <c r="C400" s="3">
        <f t="shared" si="2"/>
        <v>0</v>
      </c>
    </row>
    <row r="401" spans="1:8" x14ac:dyDescent="0.25">
      <c r="A401" s="3" t="s">
        <v>26</v>
      </c>
      <c r="B401" s="3">
        <f>COUNTIFS('Dermatoses Bulleuses CNHU HKM'!F:F,"&gt;=0",'Dermatoses Bulleuses CNHU HKM'!F:F,"&lt;=18",'Dermatoses Bulleuses CNHU HKM'!V:V,"&lt;&gt;")</f>
        <v>5</v>
      </c>
      <c r="C401" s="3">
        <f t="shared" si="2"/>
        <v>11.63</v>
      </c>
    </row>
    <row r="402" spans="1:8" x14ac:dyDescent="0.25">
      <c r="A402" s="3" t="s">
        <v>202</v>
      </c>
      <c r="B402" s="3">
        <f>SUM(B391:B401)</f>
        <v>43</v>
      </c>
      <c r="C402" s="3">
        <f>SUM(C391:C401)</f>
        <v>100.01</v>
      </c>
    </row>
    <row r="405" spans="1:8" x14ac:dyDescent="0.25">
      <c r="A405" s="292" t="s">
        <v>318</v>
      </c>
      <c r="B405" s="289"/>
      <c r="C405" s="289"/>
      <c r="D405" s="289"/>
      <c r="E405" s="289"/>
      <c r="F405" s="289"/>
      <c r="G405" s="289"/>
      <c r="H405" s="289"/>
    </row>
    <row r="407" spans="1:8" x14ac:dyDescent="0.25">
      <c r="A407" s="3" t="s">
        <v>275</v>
      </c>
      <c r="B407" s="3">
        <f>COUNTIFS('Dermatoses Bulleuses CNHU HKM'!F:F,"&gt;18",'Dermatoses Bulleuses CNHU HKM'!F:F,"&lt;=59")</f>
        <v>58</v>
      </c>
    </row>
    <row r="409" spans="1:8" x14ac:dyDescent="0.25">
      <c r="A409" s="291" t="s">
        <v>319</v>
      </c>
      <c r="B409" s="289"/>
      <c r="C409" s="289"/>
      <c r="D409" s="289"/>
    </row>
    <row r="410" spans="1:8" x14ac:dyDescent="0.25">
      <c r="A410" s="13" t="s">
        <v>311</v>
      </c>
      <c r="B410" s="13" t="s">
        <v>187</v>
      </c>
      <c r="C410" s="13" t="s">
        <v>188</v>
      </c>
    </row>
    <row r="411" spans="1:8" x14ac:dyDescent="0.25">
      <c r="A411" s="3" t="s">
        <v>312</v>
      </c>
      <c r="B411" s="3">
        <f>COUNTIFS('Dermatoses Bulleuses CNHU HKM'!F:F,"&gt;18",'Dermatoses Bulleuses CNHU HKM'!F:F,"&lt;=59",'Dermatoses Bulleuses CNHU HKM'!N:N,"&gt;=0",'Dermatoses Bulleuses CNHU HKM'!N:N,"&lt;=10")</f>
        <v>23</v>
      </c>
      <c r="C411" s="3">
        <f>IF($B$407=0,0,ROUND(B411/$B$407*100,2))</f>
        <v>39.659999999999997</v>
      </c>
    </row>
    <row r="412" spans="1:8" x14ac:dyDescent="0.25">
      <c r="A412" s="3" t="s">
        <v>313</v>
      </c>
      <c r="B412" s="3">
        <f>COUNTIFS('Dermatoses Bulleuses CNHU HKM'!F:F,"&gt;18",'Dermatoses Bulleuses CNHU HKM'!F:F,"&lt;=59",'Dermatoses Bulleuses CNHU HKM'!N:N,"&gt;10",'Dermatoses Bulleuses CNHU HKM'!N:N,"&lt;=29")</f>
        <v>14</v>
      </c>
      <c r="C412" s="3">
        <f>IF($B$407=0,0,ROUND(B412/$B$407*100,2))</f>
        <v>24.14</v>
      </c>
    </row>
    <row r="413" spans="1:8" x14ac:dyDescent="0.25">
      <c r="A413" s="3" t="s">
        <v>314</v>
      </c>
      <c r="B413" s="3">
        <f>COUNTIFS('Dermatoses Bulleuses CNHU HKM'!F:F,"&gt;18",'Dermatoses Bulleuses CNHU HKM'!F:F,"&lt;=59",'Dermatoses Bulleuses CNHU HKM'!N:N,"&gt;=30")</f>
        <v>21</v>
      </c>
      <c r="C413" s="3">
        <f>IF($B$407=0,0,ROUND(B413/$B$407*100,2))</f>
        <v>36.21</v>
      </c>
    </row>
    <row r="414" spans="1:8" x14ac:dyDescent="0.25">
      <c r="A414" s="3" t="s">
        <v>202</v>
      </c>
      <c r="B414" s="3">
        <f>SUM(B411:B413)</f>
        <v>58</v>
      </c>
      <c r="C414" s="3">
        <f>SUM(C411:C413)</f>
        <v>100.00999999999999</v>
      </c>
    </row>
    <row r="416" spans="1:8" x14ac:dyDescent="0.25">
      <c r="A416" s="291" t="s">
        <v>320</v>
      </c>
      <c r="B416" s="289"/>
      <c r="C416" s="289"/>
      <c r="D416" s="289"/>
    </row>
    <row r="417" spans="1:4" x14ac:dyDescent="0.25">
      <c r="A417" s="13" t="s">
        <v>257</v>
      </c>
      <c r="B417" s="13" t="s">
        <v>187</v>
      </c>
      <c r="C417" s="13" t="s">
        <v>188</v>
      </c>
    </row>
    <row r="418" spans="1:4" x14ac:dyDescent="0.25">
      <c r="A418" s="3" t="s">
        <v>32</v>
      </c>
      <c r="B418" s="3">
        <f>COUNTIFS('Dermatoses Bulleuses CNHU HKM'!F:F,"&gt;18",'Dermatoses Bulleuses CNHU HKM'!F:F,"&lt;=59",'Dermatoses Bulleuses CNHU HKM'!K:K,"Oui")</f>
        <v>37</v>
      </c>
      <c r="C418" s="3">
        <f>IF($B$407=0,0,ROUND(B418/$B$407*100,2))</f>
        <v>63.79</v>
      </c>
    </row>
    <row r="419" spans="1:4" x14ac:dyDescent="0.25">
      <c r="A419" s="3" t="s">
        <v>24</v>
      </c>
      <c r="B419" s="3">
        <f>COUNTIFS('Dermatoses Bulleuses CNHU HKM'!F:F,"&gt;18",'Dermatoses Bulleuses CNHU HKM'!F:F,"&lt;=59",'Dermatoses Bulleuses CNHU HKM'!K:K,"Non")</f>
        <v>21</v>
      </c>
      <c r="C419" s="3">
        <f>IF($B$407=0,0,ROUND(B419/$B$407*100,2))</f>
        <v>36.21</v>
      </c>
    </row>
    <row r="420" spans="1:4" x14ac:dyDescent="0.25">
      <c r="A420" s="3" t="s">
        <v>202</v>
      </c>
      <c r="B420" s="3">
        <f>SUM(B418:B419)</f>
        <v>58</v>
      </c>
      <c r="C420" s="3">
        <f>SUM(C418:C419)</f>
        <v>100</v>
      </c>
    </row>
    <row r="422" spans="1:4" x14ac:dyDescent="0.25">
      <c r="A422" s="291" t="s">
        <v>321</v>
      </c>
      <c r="B422" s="289"/>
      <c r="C422" s="289"/>
      <c r="D422" s="289"/>
    </row>
    <row r="423" spans="1:4" x14ac:dyDescent="0.25">
      <c r="A423" s="13" t="s">
        <v>317</v>
      </c>
      <c r="B423" s="13" t="s">
        <v>187</v>
      </c>
      <c r="C423" s="13" t="s">
        <v>188</v>
      </c>
    </row>
    <row r="424" spans="1:4" x14ac:dyDescent="0.25">
      <c r="A424" s="3" t="s">
        <v>35</v>
      </c>
      <c r="B424" s="3">
        <f>COUNTIFS('Dermatoses Bulleuses CNHU HKM'!F:F,"&gt;18",'Dermatoses Bulleuses CNHU HKM'!F:F,"&lt;=59",'Dermatoses Bulleuses CNHU HKM'!T:T,"EPF Bulleux")</f>
        <v>16</v>
      </c>
      <c r="C424" s="3">
        <f t="shared" ref="C424:C434" si="3">IF($B$407=0,0,ROUND(B424/$B$407*100,2))</f>
        <v>27.59</v>
      </c>
    </row>
    <row r="425" spans="1:4" x14ac:dyDescent="0.25">
      <c r="A425" s="3" t="s">
        <v>74</v>
      </c>
      <c r="B425" s="3">
        <f>COUNTIFS('Dermatoses Bulleuses CNHU HKM'!F:F,"&gt;18",'Dermatoses Bulleuses CNHU HKM'!F:F,"&lt;=59",'Dermatoses Bulleuses CNHU HKM'!T:T,"Syndrome de Stevens Johnson")</f>
        <v>9</v>
      </c>
      <c r="C425" s="3">
        <f t="shared" si="3"/>
        <v>15.52</v>
      </c>
    </row>
    <row r="426" spans="1:4" x14ac:dyDescent="0.25">
      <c r="A426" s="3" t="s">
        <v>64</v>
      </c>
      <c r="B426" s="3">
        <f>COUNTIFS('Dermatoses Bulleuses CNHU HKM'!F:F,"&gt;18",'Dermatoses Bulleuses CNHU HKM'!F:F,"&lt;=59",'Dermatoses Bulleuses CNHU HKM'!T:T,"Syndrome de Lyell")</f>
        <v>4</v>
      </c>
      <c r="C426" s="3">
        <f t="shared" si="3"/>
        <v>6.9</v>
      </c>
    </row>
    <row r="427" spans="1:4" x14ac:dyDescent="0.25">
      <c r="A427" s="3" t="s">
        <v>70</v>
      </c>
      <c r="B427" s="3">
        <f>COUNTIFS('Dermatoses Bulleuses CNHU HKM'!F:F,"&gt;18",'Dermatoses Bulleuses CNHU HKM'!F:F,"&lt;=59",'Dermatoses Bulleuses CNHU HKM'!T:T,"Syndrome de chevauchement")</f>
        <v>5</v>
      </c>
      <c r="C427" s="3">
        <f t="shared" si="3"/>
        <v>8.6199999999999992</v>
      </c>
    </row>
    <row r="428" spans="1:4" x14ac:dyDescent="0.25">
      <c r="A428" s="3" t="s">
        <v>44</v>
      </c>
      <c r="B428" s="3">
        <f>COUNTIFS('Dermatoses Bulleuses CNHU HKM'!F:F,"&gt;18",'Dermatoses Bulleuses CNHU HKM'!F:F,"&lt;=59",'Dermatoses Bulleuses CNHU HKM'!R:R,"Pemphigoïde bulleuse")</f>
        <v>2</v>
      </c>
      <c r="C428" s="3">
        <f t="shared" si="3"/>
        <v>3.45</v>
      </c>
    </row>
    <row r="429" spans="1:4" x14ac:dyDescent="0.25">
      <c r="A429" s="3" t="s">
        <v>136</v>
      </c>
      <c r="B429" s="3">
        <f>COUNTIFS('Dermatoses Bulleuses CNHU HKM'!F:F,"&gt;18",'Dermatoses Bulleuses CNHU HKM'!F:F,"&lt;=59",'Dermatoses Bulleuses CNHU HKM'!R:R,"Pemphigus vulgaire")</f>
        <v>4</v>
      </c>
      <c r="C429" s="3">
        <f t="shared" si="3"/>
        <v>6.9</v>
      </c>
    </row>
    <row r="430" spans="1:4" x14ac:dyDescent="0.25">
      <c r="A430" s="3" t="s">
        <v>101</v>
      </c>
      <c r="B430" s="3">
        <f>COUNTIFS('Dermatoses Bulleuses CNHU HKM'!F:F,"&gt;18",'Dermatoses Bulleuses CNHU HKM'!F:F,"&lt;=59",'Dermatoses Bulleuses CNHU HKM'!S:S,"Impétigo bulleux")</f>
        <v>1</v>
      </c>
      <c r="C430" s="3">
        <f t="shared" si="3"/>
        <v>1.72</v>
      </c>
    </row>
    <row r="431" spans="1:4" x14ac:dyDescent="0.25">
      <c r="A431" s="3" t="s">
        <v>29</v>
      </c>
      <c r="B431" s="3">
        <f>COUNTIFS('Dermatoses Bulleuses CNHU HKM'!F:F,"&gt;18",'Dermatoses Bulleuses CNHU HKM'!F:F,"&lt;=59",'Dermatoses Bulleuses CNHU HKM'!S:S,"Épidermolyse staphylococcique")</f>
        <v>0</v>
      </c>
      <c r="C431" s="3">
        <f t="shared" si="3"/>
        <v>0</v>
      </c>
    </row>
    <row r="432" spans="1:4" x14ac:dyDescent="0.25">
      <c r="A432" s="3" t="s">
        <v>147</v>
      </c>
      <c r="B432" s="3">
        <f>COUNTIFS('Dermatoses Bulleuses CNHU HKM'!F:F,"&gt;18",'Dermatoses Bulleuses CNHU HKM'!F:F,"&lt;=59",'Dermatoses Bulleuses CNHU HKM'!S:S,"DHBANN")</f>
        <v>1</v>
      </c>
      <c r="C432" s="3">
        <f t="shared" si="3"/>
        <v>1.72</v>
      </c>
    </row>
    <row r="433" spans="1:8" x14ac:dyDescent="0.25">
      <c r="A433" s="3" t="s">
        <v>41</v>
      </c>
      <c r="B433" s="3">
        <f>COUNTIFS('Dermatoses Bulleuses CNHU HKM'!F:F,"&gt;18",'Dermatoses Bulleuses CNHU HKM'!F:F,"&lt;=59",'Dermatoses Bulleuses CNHU HKM'!U:U,"Dermatose à IgA linéaire")</f>
        <v>0</v>
      </c>
      <c r="C433" s="3">
        <f t="shared" si="3"/>
        <v>0</v>
      </c>
    </row>
    <row r="434" spans="1:8" x14ac:dyDescent="0.25">
      <c r="A434" s="3" t="s">
        <v>26</v>
      </c>
      <c r="B434" s="3">
        <f>COUNTIFS('Dermatoses Bulleuses CNHU HKM'!F:F,"&gt;18",'Dermatoses Bulleuses CNHU HKM'!F:F,"&lt;=59",'Dermatoses Bulleuses CNHU HKM'!V:V,"&lt;&gt;")</f>
        <v>10</v>
      </c>
      <c r="C434" s="3">
        <f t="shared" si="3"/>
        <v>17.239999999999998</v>
      </c>
    </row>
    <row r="435" spans="1:8" x14ac:dyDescent="0.25">
      <c r="A435" s="3" t="s">
        <v>202</v>
      </c>
      <c r="B435" s="3">
        <f>SUM(B424:B434)</f>
        <v>52</v>
      </c>
      <c r="C435" s="3">
        <f>SUM(C424:C434)</f>
        <v>89.66</v>
      </c>
    </row>
    <row r="438" spans="1:8" x14ac:dyDescent="0.25">
      <c r="A438" s="292" t="s">
        <v>322</v>
      </c>
      <c r="B438" s="289"/>
      <c r="C438" s="289"/>
      <c r="D438" s="289"/>
      <c r="E438" s="289"/>
      <c r="F438" s="289"/>
      <c r="G438" s="289"/>
      <c r="H438" s="289"/>
    </row>
    <row r="440" spans="1:8" x14ac:dyDescent="0.25">
      <c r="A440" s="3" t="s">
        <v>280</v>
      </c>
      <c r="B440" s="3">
        <f>COUNTIFS('Dermatoses Bulleuses CNHU HKM'!F:F,"&gt;=60")</f>
        <v>29</v>
      </c>
    </row>
    <row r="442" spans="1:8" x14ac:dyDescent="0.25">
      <c r="A442" s="291" t="s">
        <v>323</v>
      </c>
      <c r="B442" s="289"/>
      <c r="C442" s="289"/>
      <c r="D442" s="289"/>
    </row>
    <row r="443" spans="1:8" x14ac:dyDescent="0.25">
      <c r="A443" s="13" t="s">
        <v>311</v>
      </c>
      <c r="B443" s="13" t="s">
        <v>187</v>
      </c>
      <c r="C443" s="13" t="s">
        <v>188</v>
      </c>
    </row>
    <row r="444" spans="1:8" x14ac:dyDescent="0.25">
      <c r="A444" s="3" t="s">
        <v>312</v>
      </c>
      <c r="B444" s="3">
        <f>COUNTIFS('Dermatoses Bulleuses CNHU HKM'!F:F,"&gt;=60",'Dermatoses Bulleuses CNHU HKM'!N:N,"&gt;=0",'Dermatoses Bulleuses CNHU HKM'!N:N,"&lt;=10")</f>
        <v>13</v>
      </c>
      <c r="C444" s="3">
        <f>IF($B$440=0,0,ROUND(B444/$B$440*100,2))</f>
        <v>44.83</v>
      </c>
    </row>
    <row r="445" spans="1:8" x14ac:dyDescent="0.25">
      <c r="A445" s="3" t="s">
        <v>313</v>
      </c>
      <c r="B445" s="3">
        <f>COUNTIFS('Dermatoses Bulleuses CNHU HKM'!F:F,"&gt;=60",'Dermatoses Bulleuses CNHU HKM'!N:N,"&gt;10",'Dermatoses Bulleuses CNHU HKM'!N:N,"&lt;=29")</f>
        <v>8</v>
      </c>
      <c r="C445" s="3">
        <f>IF($B$440=0,0,ROUND(B445/$B$440*100,2))</f>
        <v>27.59</v>
      </c>
    </row>
    <row r="446" spans="1:8" x14ac:dyDescent="0.25">
      <c r="A446" s="3" t="s">
        <v>314</v>
      </c>
      <c r="B446" s="3">
        <f>COUNTIFS('Dermatoses Bulleuses CNHU HKM'!F:F,"&gt;=60",'Dermatoses Bulleuses CNHU HKM'!N:N,"&gt;=30")</f>
        <v>8</v>
      </c>
      <c r="C446" s="3">
        <f>IF($B$440=0,0,ROUND(B446/$B$440*100,2))</f>
        <v>27.59</v>
      </c>
    </row>
    <row r="447" spans="1:8" x14ac:dyDescent="0.25">
      <c r="A447" s="3" t="s">
        <v>202</v>
      </c>
      <c r="B447" s="3">
        <f>SUM(B444:B446)</f>
        <v>29</v>
      </c>
      <c r="C447" s="3">
        <f>SUM(C444:C446)</f>
        <v>100.01</v>
      </c>
    </row>
    <row r="449" spans="1:4" x14ac:dyDescent="0.25">
      <c r="A449" s="291" t="s">
        <v>324</v>
      </c>
      <c r="B449" s="289"/>
      <c r="C449" s="289"/>
      <c r="D449" s="289"/>
    </row>
    <row r="450" spans="1:4" x14ac:dyDescent="0.25">
      <c r="A450" s="13" t="s">
        <v>257</v>
      </c>
      <c r="B450" s="13" t="s">
        <v>187</v>
      </c>
      <c r="C450" s="13" t="s">
        <v>188</v>
      </c>
    </row>
    <row r="451" spans="1:4" x14ac:dyDescent="0.25">
      <c r="A451" s="3" t="s">
        <v>32</v>
      </c>
      <c r="B451" s="3">
        <f>COUNTIFS('Dermatoses Bulleuses CNHU HKM'!F:F,"&gt;=60",'Dermatoses Bulleuses CNHU HKM'!K:K,"Oui")</f>
        <v>8</v>
      </c>
      <c r="C451" s="3">
        <f>IF($B$440=0,0,ROUND(B451/$B$440*100,2))</f>
        <v>27.59</v>
      </c>
    </row>
    <row r="452" spans="1:4" x14ac:dyDescent="0.25">
      <c r="A452" s="3" t="s">
        <v>24</v>
      </c>
      <c r="B452" s="3">
        <f>COUNTIFS('Dermatoses Bulleuses CNHU HKM'!F:F,"&gt;=60",'Dermatoses Bulleuses CNHU HKM'!K:K,"Non")</f>
        <v>21</v>
      </c>
      <c r="C452" s="3">
        <f>IF($B$440=0,0,ROUND(B452/$B$440*100,2))</f>
        <v>72.41</v>
      </c>
    </row>
    <row r="453" spans="1:4" x14ac:dyDescent="0.25">
      <c r="A453" s="3" t="s">
        <v>202</v>
      </c>
      <c r="B453" s="3">
        <f>SUM(B451:B452)</f>
        <v>29</v>
      </c>
      <c r="C453" s="3">
        <f>SUM(C451:C452)</f>
        <v>100</v>
      </c>
    </row>
    <row r="455" spans="1:4" x14ac:dyDescent="0.25">
      <c r="A455" s="291" t="s">
        <v>325</v>
      </c>
      <c r="B455" s="289"/>
      <c r="C455" s="289"/>
      <c r="D455" s="289"/>
    </row>
    <row r="456" spans="1:4" x14ac:dyDescent="0.25">
      <c r="A456" s="13" t="s">
        <v>317</v>
      </c>
      <c r="B456" s="13" t="s">
        <v>187</v>
      </c>
      <c r="C456" s="13" t="s">
        <v>188</v>
      </c>
    </row>
    <row r="457" spans="1:4" x14ac:dyDescent="0.25">
      <c r="A457" s="3" t="s">
        <v>35</v>
      </c>
      <c r="B457" s="3">
        <f>COUNTIFS('Dermatoses Bulleuses CNHU HKM'!F:F,"&gt;=60",'Dermatoses Bulleuses CNHU HKM'!T:T,"EPF Bulleux")</f>
        <v>6</v>
      </c>
      <c r="C457" s="3">
        <f t="shared" ref="C457:C467" si="4">IF($B$440=0,0,ROUND(B457/$B$440*100,2))</f>
        <v>20.69</v>
      </c>
    </row>
    <row r="458" spans="1:4" x14ac:dyDescent="0.25">
      <c r="A458" s="3" t="s">
        <v>74</v>
      </c>
      <c r="B458" s="3">
        <f>COUNTIFS('Dermatoses Bulleuses CNHU HKM'!F:F,"&gt;=60",'Dermatoses Bulleuses CNHU HKM'!T:T,"Syndrome de Stevens Johnson")</f>
        <v>0</v>
      </c>
      <c r="C458" s="3">
        <f t="shared" si="4"/>
        <v>0</v>
      </c>
    </row>
    <row r="459" spans="1:4" x14ac:dyDescent="0.25">
      <c r="A459" s="3" t="s">
        <v>64</v>
      </c>
      <c r="B459" s="3">
        <f>COUNTIFS('Dermatoses Bulleuses CNHU HKM'!F:F,"&gt;=60",'Dermatoses Bulleuses CNHU HKM'!T:T,"Syndrome de Lyell")</f>
        <v>3</v>
      </c>
      <c r="C459" s="3">
        <f t="shared" si="4"/>
        <v>10.34</v>
      </c>
    </row>
    <row r="460" spans="1:4" x14ac:dyDescent="0.25">
      <c r="A460" s="3" t="s">
        <v>70</v>
      </c>
      <c r="B460" s="3">
        <f>COUNTIFS('Dermatoses Bulleuses CNHU HKM'!F:F,"&gt;=60",'Dermatoses Bulleuses CNHU HKM'!T:T,"Syndrome de chevauchement")</f>
        <v>0</v>
      </c>
      <c r="C460" s="3">
        <f t="shared" si="4"/>
        <v>0</v>
      </c>
    </row>
    <row r="461" spans="1:4" x14ac:dyDescent="0.25">
      <c r="A461" s="3" t="s">
        <v>44</v>
      </c>
      <c r="B461" s="3">
        <f>COUNTIFS('Dermatoses Bulleuses CNHU HKM'!F:F,"&gt;=60",'Dermatoses Bulleuses CNHU HKM'!R:R,"Pemphigoïde bulleuse")</f>
        <v>12</v>
      </c>
      <c r="C461" s="3">
        <f t="shared" si="4"/>
        <v>41.38</v>
      </c>
    </row>
    <row r="462" spans="1:4" x14ac:dyDescent="0.25">
      <c r="A462" s="3" t="s">
        <v>136</v>
      </c>
      <c r="B462" s="3">
        <f>COUNTIFS('Dermatoses Bulleuses CNHU HKM'!F:F,"&gt;=60",'Dermatoses Bulleuses CNHU HKM'!R:R,"Pemphigus vulgaire")</f>
        <v>3</v>
      </c>
      <c r="C462" s="3">
        <f t="shared" si="4"/>
        <v>10.34</v>
      </c>
    </row>
    <row r="463" spans="1:4" x14ac:dyDescent="0.25">
      <c r="A463" s="3" t="s">
        <v>101</v>
      </c>
      <c r="B463" s="3">
        <f>COUNTIFS('Dermatoses Bulleuses CNHU HKM'!F:F,"&gt;=60",'Dermatoses Bulleuses CNHU HKM'!S:S,"Impétigo bulleux")</f>
        <v>0</v>
      </c>
      <c r="C463" s="3">
        <f t="shared" si="4"/>
        <v>0</v>
      </c>
    </row>
    <row r="464" spans="1:4" x14ac:dyDescent="0.25">
      <c r="A464" s="3" t="s">
        <v>29</v>
      </c>
      <c r="B464" s="3">
        <f>COUNTIFS('Dermatoses Bulleuses CNHU HKM'!F:F,"&gt;=60",'Dermatoses Bulleuses CNHU HKM'!S:S,"Épidermolyse staphylococcique")</f>
        <v>0</v>
      </c>
      <c r="C464" s="3">
        <f t="shared" si="4"/>
        <v>0</v>
      </c>
    </row>
    <row r="465" spans="1:8" x14ac:dyDescent="0.25">
      <c r="A465" s="3" t="s">
        <v>147</v>
      </c>
      <c r="B465" s="3">
        <f>COUNTIFS('Dermatoses Bulleuses CNHU HKM'!F:F,"&gt;=60",'Dermatoses Bulleuses CNHU HKM'!S:S,"DHBANN")</f>
        <v>1</v>
      </c>
      <c r="C465" s="3">
        <f t="shared" si="4"/>
        <v>3.45</v>
      </c>
    </row>
    <row r="466" spans="1:8" x14ac:dyDescent="0.25">
      <c r="A466" s="3" t="s">
        <v>41</v>
      </c>
      <c r="B466" s="3">
        <f>COUNTIFS('Dermatoses Bulleuses CNHU HKM'!F:F,"&gt;=60",'Dermatoses Bulleuses CNHU HKM'!U:U,"Dermatose à IgA linéaire")</f>
        <v>0</v>
      </c>
      <c r="C466" s="3">
        <f t="shared" si="4"/>
        <v>0</v>
      </c>
    </row>
    <row r="467" spans="1:8" x14ac:dyDescent="0.25">
      <c r="A467" s="3" t="s">
        <v>26</v>
      </c>
      <c r="B467" s="3">
        <f>COUNTIFS('Dermatoses Bulleuses CNHU HKM'!F:F,"&gt;=60",'Dermatoses Bulleuses CNHU HKM'!V:V,"&lt;&gt;")</f>
        <v>3</v>
      </c>
      <c r="C467" s="3">
        <f t="shared" si="4"/>
        <v>10.34</v>
      </c>
    </row>
    <row r="468" spans="1:8" x14ac:dyDescent="0.25">
      <c r="A468" s="3" t="s">
        <v>202</v>
      </c>
      <c r="B468" s="3">
        <f>SUM(B457:B467)</f>
        <v>28</v>
      </c>
      <c r="C468" s="3">
        <f>SUM(C457:C467)</f>
        <v>96.54</v>
      </c>
    </row>
    <row r="471" spans="1:8" ht="20.25" x14ac:dyDescent="0.35">
      <c r="A471" s="293" t="s">
        <v>326</v>
      </c>
      <c r="B471" s="289"/>
      <c r="C471" s="289"/>
      <c r="D471" s="289"/>
      <c r="E471" s="289"/>
      <c r="F471" s="289"/>
      <c r="G471" s="289"/>
      <c r="H471" s="289"/>
    </row>
    <row r="473" spans="1:8" x14ac:dyDescent="0.25">
      <c r="A473" s="286" t="s">
        <v>327</v>
      </c>
      <c r="B473" s="289"/>
      <c r="C473" s="289"/>
      <c r="D473" s="289"/>
      <c r="E473" s="289"/>
      <c r="F473" s="289"/>
      <c r="G473" s="289"/>
      <c r="H473" s="289"/>
    </row>
    <row r="475" spans="1:8" x14ac:dyDescent="0.25">
      <c r="A475" s="294" t="s">
        <v>328</v>
      </c>
      <c r="B475" s="289"/>
      <c r="C475" s="289"/>
      <c r="D475" s="289"/>
    </row>
    <row r="476" spans="1:8" x14ac:dyDescent="0.25">
      <c r="A476" s="12" t="s">
        <v>329</v>
      </c>
      <c r="B476" s="12" t="s">
        <v>330</v>
      </c>
    </row>
    <row r="477" spans="1:8" x14ac:dyDescent="0.25">
      <c r="A477" s="3" t="s">
        <v>331</v>
      </c>
      <c r="B477" s="3" cm="1">
        <f t="array" ref="B477">SUMPRODUCT(('Dermatoses Bulleuses CNHU HKM'!F:F&gt;=0)*('Dermatoses Bulleuses CNHU HKM'!F:F&lt;=18)*(ISNUMBER(SEARCH("cotrimoxazole",'Dermatoses Bulleuses CNHU HKM'!L:L))+ISNUMBER(SEARCH("bactrim",'Dermatoses Bulleuses CNHU HKM'!L:L))))</f>
        <v>3</v>
      </c>
    </row>
    <row r="478" spans="1:8" x14ac:dyDescent="0.25">
      <c r="A478" s="3" t="s">
        <v>33</v>
      </c>
      <c r="B478" s="3" cm="1">
        <f t="array" ref="B478">SUMPRODUCT(('Dermatoses Bulleuses CNHU HKM'!F:F&gt;=0)*('Dermatoses Bulleuses CNHU HKM'!F:F&lt;=18)*(ISNUMBER(SEARCH("amoxicilline",'Dermatoses Bulleuses CNHU HKM'!L:L))))</f>
        <v>4</v>
      </c>
    </row>
    <row r="479" spans="1:8" x14ac:dyDescent="0.25">
      <c r="A479" s="3" t="s">
        <v>128</v>
      </c>
      <c r="B479" s="3" cm="1">
        <f t="array" ref="B479">SUMPRODUCT(('Dermatoses Bulleuses CNHU HKM'!F:F&gt;=0)*('Dermatoses Bulleuses CNHU HKM'!F:F&lt;=18)*(ISNUMBER(SEARCH("paracet",'Dermatoses Bulleuses CNHU HKM'!L:L))))</f>
        <v>0</v>
      </c>
    </row>
    <row r="480" spans="1:8" x14ac:dyDescent="0.25">
      <c r="A480" s="3" t="s">
        <v>332</v>
      </c>
      <c r="B480" s="3" cm="1">
        <f t="array" ref="B480">SUMPRODUCT(('Dermatoses Bulleuses CNHU HKM'!F:F&gt;=0)*('Dermatoses Bulleuses CNHU HKM'!F:F&lt;=18)*(ISNUMBER(SEARCH("quinine",'Dermatoses Bulleuses CNHU HKM'!L:L))))</f>
        <v>1</v>
      </c>
    </row>
    <row r="481" spans="1:4" x14ac:dyDescent="0.25">
      <c r="A481" s="3" t="s">
        <v>87</v>
      </c>
      <c r="B481" s="3" cm="1">
        <f t="array" ref="B481">SUMPRODUCT(('Dermatoses Bulleuses CNHU HKM'!F:F&gt;=0)*('Dermatoses Bulleuses CNHU HKM'!F:F&lt;=18)*(ISNUMBER(SEARCH("phyto",'Dermatoses Bulleuses CNHU HKM'!L:L))))</f>
        <v>1</v>
      </c>
    </row>
    <row r="482" spans="1:4" x14ac:dyDescent="0.25">
      <c r="A482" s="3" t="s">
        <v>333</v>
      </c>
      <c r="B482" s="3" cm="1">
        <f t="array" ref="B482">SUMPRODUCT(('Dermatoses Bulleuses CNHU HKM'!F:F&gt;=0)*('Dermatoses Bulleuses CNHU HKM'!F:F&lt;=18)*(ISNUMBER(SEARCH("metronidazole",'Dermatoses Bulleuses CNHU HKM'!L:L))+ISNUMBER(SEARCH("flagyl",'Dermatoses Bulleuses CNHU HKM'!L:L))))</f>
        <v>1</v>
      </c>
    </row>
    <row r="483" spans="1:4" x14ac:dyDescent="0.25">
      <c r="A483" s="3" t="s">
        <v>161</v>
      </c>
      <c r="B483" s="3" cm="1">
        <f t="array" ref="B483">SUMPRODUCT(('Dermatoses Bulleuses CNHU HKM'!F:F&gt;=0)*('Dermatoses Bulleuses CNHU HKM'!F:F&lt;=18)*(ISNUMBER(SEARCH("ibuprof",'Dermatoses Bulleuses CNHU HKM'!L:L))))</f>
        <v>2</v>
      </c>
    </row>
    <row r="484" spans="1:4" x14ac:dyDescent="0.25">
      <c r="A484" s="3" t="s">
        <v>334</v>
      </c>
      <c r="B484" s="3" cm="1">
        <f t="array" ref="B484">SUMPRODUCT(('Dermatoses Bulleuses CNHU HKM'!F:F&gt;=0)*('Dermatoses Bulleuses CNHU HKM'!F:F&lt;=18)*(ISNUMBER(SEARCH("ciproflox",'Dermatoses Bulleuses CNHU HKM'!L:L))))</f>
        <v>1</v>
      </c>
    </row>
    <row r="485" spans="1:4" x14ac:dyDescent="0.25">
      <c r="A485" s="3" t="s">
        <v>335</v>
      </c>
      <c r="B485" s="3" cm="1">
        <f t="array" ref="B485">SUMPRODUCT(('Dermatoses Bulleuses CNHU HKM'!F:F&gt;=0)*('Dermatoses Bulleuses CNHU HKM'!F:F&lt;=18)*(ISNUMBER(SEARCH("ceftriaxone",'Dermatoses Bulleuses CNHU HKM'!L:L))))</f>
        <v>1</v>
      </c>
    </row>
    <row r="488" spans="1:4" x14ac:dyDescent="0.25">
      <c r="A488" s="294" t="s">
        <v>336</v>
      </c>
      <c r="B488" s="289"/>
      <c r="C488" s="289"/>
      <c r="D488" s="289"/>
    </row>
    <row r="489" spans="1:4" x14ac:dyDescent="0.25">
      <c r="A489" s="12" t="s">
        <v>329</v>
      </c>
      <c r="B489" s="12" t="s">
        <v>330</v>
      </c>
    </row>
    <row r="490" spans="1:4" x14ac:dyDescent="0.25">
      <c r="A490" s="3" t="s">
        <v>331</v>
      </c>
      <c r="B490" s="3" cm="1">
        <f t="array" ref="B490">SUMPRODUCT(('Dermatoses Bulleuses CNHU HKM'!F:F&gt;18)*('Dermatoses Bulleuses CNHU HKM'!F:F&lt;=59)*(ISNUMBER(SEARCH("cotrimoxazole",'Dermatoses Bulleuses CNHU HKM'!L:L))+ISNUMBER(SEARCH("bactrim",'Dermatoses Bulleuses CNHU HKM'!L:L))))</f>
        <v>3</v>
      </c>
    </row>
    <row r="491" spans="1:4" x14ac:dyDescent="0.25">
      <c r="A491" s="3" t="s">
        <v>33</v>
      </c>
      <c r="B491" s="3" cm="1">
        <f t="array" ref="B491">SUMPRODUCT(('Dermatoses Bulleuses CNHU HKM'!F:F&gt;18)*('Dermatoses Bulleuses CNHU HKM'!F:F&lt;=59)*(ISNUMBER(SEARCH("amoxicilline",'Dermatoses Bulleuses CNHU HKM'!L:L))))</f>
        <v>2</v>
      </c>
    </row>
    <row r="492" spans="1:4" x14ac:dyDescent="0.25">
      <c r="A492" s="3" t="s">
        <v>128</v>
      </c>
      <c r="B492" s="3" cm="1">
        <f t="array" ref="B492">SUMPRODUCT(('Dermatoses Bulleuses CNHU HKM'!F:F&gt;18)*('Dermatoses Bulleuses CNHU HKM'!F:F&lt;=59)*(ISNUMBER(SEARCH("paracet",'Dermatoses Bulleuses CNHU HKM'!L:L))))</f>
        <v>1</v>
      </c>
    </row>
    <row r="493" spans="1:4" x14ac:dyDescent="0.25">
      <c r="A493" s="3" t="s">
        <v>332</v>
      </c>
      <c r="B493" s="3" cm="1">
        <f t="array" ref="B493">SUMPRODUCT(('Dermatoses Bulleuses CNHU HKM'!F:F&gt;18)*('Dermatoses Bulleuses CNHU HKM'!F:F&lt;=59)*(ISNUMBER(SEARCH("quinine",'Dermatoses Bulleuses CNHU HKM'!L:L))))</f>
        <v>1</v>
      </c>
    </row>
    <row r="494" spans="1:4" x14ac:dyDescent="0.25">
      <c r="A494" s="3" t="s">
        <v>337</v>
      </c>
      <c r="B494" s="3" cm="1">
        <f t="array" ref="B494">SUMPRODUCT(('Dermatoses Bulleuses CNHU HKM'!F:F&gt;18)*('Dermatoses Bulleuses CNHU HKM'!F:F&lt;=59)*(ISNUMBER(SEARCH("fluconazole",'Dermatoses Bulleuses CNHU HKM'!L:L))+ISNUMBER(SEARCH("forcan",'Dermatoses Bulleuses CNHU HKM'!L:L))))</f>
        <v>2</v>
      </c>
    </row>
    <row r="495" spans="1:4" x14ac:dyDescent="0.25">
      <c r="A495" s="3" t="s">
        <v>333</v>
      </c>
      <c r="B495" s="3" cm="1">
        <f t="array" ref="B495">SUMPRODUCT(('Dermatoses Bulleuses CNHU HKM'!F:F&gt;18)*('Dermatoses Bulleuses CNHU HKM'!F:F&lt;=59)*(ISNUMBER(SEARCH("metronidazole",'Dermatoses Bulleuses CNHU HKM'!L:L))+ISNUMBER(SEARCH("flagyl",'Dermatoses Bulleuses CNHU HKM'!L:L))))</f>
        <v>4</v>
      </c>
    </row>
    <row r="496" spans="1:4" x14ac:dyDescent="0.25">
      <c r="A496" s="3" t="s">
        <v>161</v>
      </c>
      <c r="B496" s="3" cm="1">
        <f t="array" ref="B496">SUMPRODUCT(('Dermatoses Bulleuses CNHU HKM'!F:F&gt;18)*('Dermatoses Bulleuses CNHU HKM'!F:F&lt;=59)*(ISNUMBER(SEARCH("ibuprof",'Dermatoses Bulleuses CNHU HKM'!L:L))))</f>
        <v>4</v>
      </c>
    </row>
    <row r="497" spans="1:4" x14ac:dyDescent="0.25">
      <c r="A497" s="3" t="s">
        <v>338</v>
      </c>
      <c r="B497" s="3" cm="1">
        <f t="array" ref="B497">SUMPRODUCT(('Dermatoses Bulleuses CNHU HKM'!F:F&gt;18)*('Dermatoses Bulleuses CNHU HKM'!F:F&lt;=59)*(ISNUMBER(SEARCH("griseofulvine",'Dermatoses Bulleuses CNHU HKM'!L:L))))</f>
        <v>1</v>
      </c>
    </row>
    <row r="498" spans="1:4" x14ac:dyDescent="0.25">
      <c r="A498" s="3" t="s">
        <v>339</v>
      </c>
      <c r="B498" s="3" cm="1">
        <f t="array" ref="B498">SUMPRODUCT(('Dermatoses Bulleuses CNHU HKM'!F:F&gt;18)*('Dermatoses Bulleuses CNHU HKM'!F:F&lt;=59)*(ISNUMBER(SEARCH("doxycycline",'Dermatoses Bulleuses CNHU HKM'!L:L))))</f>
        <v>1</v>
      </c>
    </row>
    <row r="501" spans="1:4" x14ac:dyDescent="0.25">
      <c r="A501" s="294" t="s">
        <v>340</v>
      </c>
      <c r="B501" s="289"/>
      <c r="C501" s="289"/>
      <c r="D501" s="289"/>
    </row>
    <row r="502" spans="1:4" x14ac:dyDescent="0.25">
      <c r="A502" s="12" t="s">
        <v>329</v>
      </c>
      <c r="B502" s="12" t="s">
        <v>330</v>
      </c>
    </row>
    <row r="503" spans="1:4" x14ac:dyDescent="0.25">
      <c r="A503" s="3" t="s">
        <v>331</v>
      </c>
      <c r="B503" s="3" cm="1">
        <f t="array" ref="B503">SUMPRODUCT(('Dermatoses Bulleuses CNHU HKM'!F:F&gt;=60)*(ISNUMBER(SEARCH("cotrimoxazole",'Dermatoses Bulleuses CNHU HKM'!L:L))+ISNUMBER(SEARCH("bactrim",'Dermatoses Bulleuses CNHU HKM'!L:L))))</f>
        <v>2</v>
      </c>
    </row>
    <row r="504" spans="1:4" x14ac:dyDescent="0.25">
      <c r="A504" s="3" t="s">
        <v>33</v>
      </c>
      <c r="B504" s="3" cm="1">
        <f t="array" ref="B504">SUMPRODUCT(('Dermatoses Bulleuses CNHU HKM'!F:F&gt;=60)*(ISNUMBER(SEARCH("amoxicilline",'Dermatoses Bulleuses CNHU HKM'!L:L))))</f>
        <v>0</v>
      </c>
    </row>
    <row r="505" spans="1:4" x14ac:dyDescent="0.25">
      <c r="A505" s="3" t="s">
        <v>128</v>
      </c>
      <c r="B505" s="3" cm="1">
        <f t="array" ref="B505">SUMPRODUCT(('Dermatoses Bulleuses CNHU HKM'!F:F&gt;=60)*(ISNUMBER(SEARCH("paracet",'Dermatoses Bulleuses CNHU HKM'!L:L))))</f>
        <v>0</v>
      </c>
    </row>
    <row r="506" spans="1:4" x14ac:dyDescent="0.25">
      <c r="A506" s="3" t="s">
        <v>332</v>
      </c>
      <c r="B506" s="3" cm="1">
        <f t="array" ref="B506">SUMPRODUCT(('Dermatoses Bulleuses CNHU HKM'!F:F&gt;=60)*(ISNUMBER(SEARCH("quinine",'Dermatoses Bulleuses CNHU HKM'!L:L))))</f>
        <v>0</v>
      </c>
    </row>
    <row r="507" spans="1:4" x14ac:dyDescent="0.25">
      <c r="A507" s="3" t="s">
        <v>337</v>
      </c>
      <c r="B507" s="3" cm="1">
        <f t="array" ref="B507">SUMPRODUCT(('Dermatoses Bulleuses CNHU HKM'!F:F&gt;=60)*(ISNUMBER(SEARCH("fluconazole",'Dermatoses Bulleuses CNHU HKM'!L:L))+ISNUMBER(SEARCH("forcan",'Dermatoses Bulleuses CNHU HKM'!L:L))))</f>
        <v>0</v>
      </c>
    </row>
    <row r="508" spans="1:4" x14ac:dyDescent="0.25">
      <c r="A508" s="3" t="s">
        <v>333</v>
      </c>
      <c r="B508" s="3" cm="1">
        <f t="array" ref="B508">SUMPRODUCT(('Dermatoses Bulleuses CNHU HKM'!F:F&gt;=60)*(ISNUMBER(SEARCH("metronidazole",'Dermatoses Bulleuses CNHU HKM'!L:L))+ISNUMBER(SEARCH("flagyl",'Dermatoses Bulleuses CNHU HKM'!L:L))))</f>
        <v>0</v>
      </c>
    </row>
    <row r="509" spans="1:4" x14ac:dyDescent="0.25">
      <c r="A509" s="3" t="s">
        <v>341</v>
      </c>
      <c r="B509" s="3" cm="1">
        <f t="array" ref="B509">SUMPRODUCT(('Dermatoses Bulleuses CNHU HKM'!F:F&gt;=60)*(ISNUMBER(SEARCH("cefixime",'Dermatoses Bulleuses CNHU HKM'!L:L))))</f>
        <v>0</v>
      </c>
    </row>
    <row r="510" spans="1:4" x14ac:dyDescent="0.25">
      <c r="A510" s="3" t="s">
        <v>342</v>
      </c>
      <c r="B510" s="3" cm="1">
        <f t="array" ref="B510">SUMPRODUCT(('Dermatoses Bulleuses CNHU HKM'!F:F&gt;=60)*(ISNUMBER(SEARCH("tramadol",'Dermatoses Bulleuses CNHU HKM'!L:L))))</f>
        <v>0</v>
      </c>
    </row>
    <row r="511" spans="1:4" x14ac:dyDescent="0.25">
      <c r="A511" s="3" t="s">
        <v>343</v>
      </c>
      <c r="B511" s="3" cm="1">
        <f t="array" ref="B511">SUMPRODUCT(('Dermatoses Bulleuses CNHU HKM'!F:F&gt;=60)*(ISNUMBER(SEARCH("celestene",'Dermatoses Bulleuses CNHU HKM'!L:L))+ISNUMBER(SEARCH("prednisone",'Dermatoses Bulleuses CNHU HKM'!L:L))+ISNUMBER(SEARCH("cortico",'Dermatoses Bulleuses CNHU HKM'!L:L))))</f>
        <v>0</v>
      </c>
    </row>
    <row r="515" spans="1:8" ht="20.25" x14ac:dyDescent="0.35">
      <c r="A515" s="295" t="s">
        <v>344</v>
      </c>
      <c r="B515" s="289"/>
      <c r="C515" s="289"/>
      <c r="D515" s="289"/>
      <c r="E515" s="289"/>
      <c r="F515" s="289"/>
      <c r="G515" s="289"/>
      <c r="H515" s="289"/>
    </row>
    <row r="517" spans="1:8" x14ac:dyDescent="0.25">
      <c r="A517" s="291" t="s">
        <v>345</v>
      </c>
      <c r="B517" s="289"/>
      <c r="C517" s="289"/>
      <c r="D517" s="289"/>
      <c r="E517" s="289"/>
      <c r="F517" s="289"/>
    </row>
    <row r="518" spans="1:8" x14ac:dyDescent="0.25">
      <c r="A518" s="18" t="s">
        <v>247</v>
      </c>
      <c r="B518" s="18" t="s">
        <v>19</v>
      </c>
      <c r="C518" s="18" t="s">
        <v>40</v>
      </c>
      <c r="D518" s="18" t="s">
        <v>28</v>
      </c>
      <c r="E518" s="18" t="s">
        <v>144</v>
      </c>
      <c r="F518" s="18" t="s">
        <v>223</v>
      </c>
    </row>
    <row r="519" spans="1:8" x14ac:dyDescent="0.25">
      <c r="A519" s="17" t="s">
        <v>312</v>
      </c>
      <c r="B519" s="17">
        <f>COUNTIFS('Dermatoses Bulleuses CNHU HKM'!N:N,"&gt;=0",'Dermatoses Bulleuses CNHU HKM'!N:N,"&lt;=10",'Dermatoses Bulleuses CNHU HKM'!Q:Q,"Toxidermie")</f>
        <v>28</v>
      </c>
      <c r="C519" s="17">
        <f>COUNTIFS('Dermatoses Bulleuses CNHU HKM'!N:N,"&gt;=0",'Dermatoses Bulleuses CNHU HKM'!N:N,"&lt;=10",'Dermatoses Bulleuses CNHU HKM'!Q:Q,"Auto-immune")</f>
        <v>10</v>
      </c>
      <c r="D519" s="17">
        <f>COUNTIFS('Dermatoses Bulleuses CNHU HKM'!N:N,"&gt;=0",'Dermatoses Bulleuses CNHU HKM'!N:N,"&lt;=10",'Dermatoses Bulleuses CNHU HKM'!Q:Q,"Infectieuse")</f>
        <v>16</v>
      </c>
      <c r="E519" s="17">
        <f>COUNTIFS('Dermatoses Bulleuses CNHU HKM'!N:N,"&gt;=0",'Dermatoses Bulleuses CNHU HKM'!N:N,"&lt;=10",'Dermatoses Bulleuses CNHU HKM'!Q:Q,"Immunoallergique")</f>
        <v>1</v>
      </c>
      <c r="F519" s="17">
        <f>SUM(B519:E519)</f>
        <v>55</v>
      </c>
    </row>
    <row r="520" spans="1:8" x14ac:dyDescent="0.25">
      <c r="A520" s="17" t="s">
        <v>313</v>
      </c>
      <c r="B520" s="17">
        <f>COUNTIFS('Dermatoses Bulleuses CNHU HKM'!N:N,"&gt;10",'Dermatoses Bulleuses CNHU HKM'!N:N,"&lt;=29",'Dermatoses Bulleuses CNHU HKM'!Q:Q,"Toxidermie")</f>
        <v>20</v>
      </c>
      <c r="C520" s="17">
        <f>COUNTIFS('Dermatoses Bulleuses CNHU HKM'!N:N,"&gt;10",'Dermatoses Bulleuses CNHU HKM'!N:N,"&lt;=29",'Dermatoses Bulleuses CNHU HKM'!Q:Q,"Auto-immune")</f>
        <v>9</v>
      </c>
      <c r="D520" s="17">
        <f>COUNTIFS('Dermatoses Bulleuses CNHU HKM'!N:N,"&gt;10",'Dermatoses Bulleuses CNHU HKM'!N:N,"&lt;=29",'Dermatoses Bulleuses CNHU HKM'!Q:Q,"Infectieuse")</f>
        <v>3</v>
      </c>
      <c r="E520" s="17">
        <f>COUNTIFS('Dermatoses Bulleuses CNHU HKM'!N:N,"&gt;10",'Dermatoses Bulleuses CNHU HKM'!N:N,"&lt;=29",'Dermatoses Bulleuses CNHU HKM'!Q:Q,"Immunoallergique")</f>
        <v>2</v>
      </c>
      <c r="F520" s="17">
        <f>SUM(B520:E520)</f>
        <v>34</v>
      </c>
    </row>
    <row r="521" spans="1:8" x14ac:dyDescent="0.25">
      <c r="A521" s="17" t="s">
        <v>314</v>
      </c>
      <c r="B521" s="17">
        <f>COUNTIFS('Dermatoses Bulleuses CNHU HKM'!N:N,"&gt;=30",'Dermatoses Bulleuses CNHU HKM'!Q:Q,"Toxidermie")</f>
        <v>27</v>
      </c>
      <c r="C521" s="17">
        <f>COUNTIFS('Dermatoses Bulleuses CNHU HKM'!N:N,"&gt;=30",'Dermatoses Bulleuses CNHU HKM'!Q:Q,"Auto-immune")</f>
        <v>12</v>
      </c>
      <c r="D521" s="17">
        <f>COUNTIFS('Dermatoses Bulleuses CNHU HKM'!N:N,"&gt;=30",'Dermatoses Bulleuses CNHU HKM'!Q:Q,"Infectieuse")</f>
        <v>0</v>
      </c>
      <c r="E521" s="17">
        <f>COUNTIFS('Dermatoses Bulleuses CNHU HKM'!N:N,"&gt;=30",'Dermatoses Bulleuses CNHU HKM'!Q:Q,"Immunoallergique")</f>
        <v>2</v>
      </c>
      <c r="F521" s="17">
        <f>SUM(B521:E521)</f>
        <v>41</v>
      </c>
    </row>
    <row r="522" spans="1:8" x14ac:dyDescent="0.25">
      <c r="A522" s="19" t="s">
        <v>223</v>
      </c>
      <c r="B522" s="19">
        <f>SUM(B519:B521)</f>
        <v>75</v>
      </c>
      <c r="C522" s="19">
        <f>SUM(C519:C521)</f>
        <v>31</v>
      </c>
      <c r="D522" s="19">
        <f>SUM(D519:D521)</f>
        <v>19</v>
      </c>
      <c r="E522" s="19">
        <f>SUM(E519:E521)</f>
        <v>5</v>
      </c>
      <c r="F522" s="19">
        <f>SUM(F519:F521)</f>
        <v>130</v>
      </c>
    </row>
    <row r="525" spans="1:8" x14ac:dyDescent="0.25">
      <c r="A525" s="291" t="s">
        <v>346</v>
      </c>
      <c r="B525" s="289"/>
      <c r="C525" s="289"/>
      <c r="D525" s="289"/>
      <c r="E525" s="289"/>
      <c r="F525" s="289"/>
    </row>
    <row r="526" spans="1:8" x14ac:dyDescent="0.25">
      <c r="A526" s="18" t="s">
        <v>6</v>
      </c>
      <c r="B526" s="18" t="s">
        <v>19</v>
      </c>
      <c r="C526" s="18" t="s">
        <v>40</v>
      </c>
      <c r="D526" s="18" t="s">
        <v>28</v>
      </c>
      <c r="E526" s="18" t="s">
        <v>144</v>
      </c>
      <c r="F526" s="18" t="s">
        <v>223</v>
      </c>
    </row>
    <row r="527" spans="1:8" x14ac:dyDescent="0.25">
      <c r="A527" s="17" t="s">
        <v>30</v>
      </c>
      <c r="B527" s="17">
        <f>COUNTIFS('Dermatoses Bulleuses CNHU HKM'!G:G,"Femme",'Dermatoses Bulleuses CNHU HKM'!Q:Q,"Toxidermie")</f>
        <v>43</v>
      </c>
      <c r="C527" s="17">
        <f>COUNTIFS('Dermatoses Bulleuses CNHU HKM'!G:G,"Femme",'Dermatoses Bulleuses CNHU HKM'!Q:Q,"Auto-immune")</f>
        <v>21</v>
      </c>
      <c r="D527" s="17">
        <f>COUNTIFS('Dermatoses Bulleuses CNHU HKM'!G:G,"Femme",'Dermatoses Bulleuses CNHU HKM'!Q:Q,"Infectieuse")</f>
        <v>7</v>
      </c>
      <c r="E527" s="17">
        <f>COUNTIFS('Dermatoses Bulleuses CNHU HKM'!G:G,"Femme",'Dermatoses Bulleuses CNHU HKM'!Q:Q,"Immunoallergique")</f>
        <v>3</v>
      </c>
      <c r="F527" s="17">
        <f>SUM(B527:E527)</f>
        <v>74</v>
      </c>
    </row>
    <row r="528" spans="1:8" x14ac:dyDescent="0.25">
      <c r="A528" s="17" t="s">
        <v>22</v>
      </c>
      <c r="B528" s="17">
        <f>COUNTIFS('Dermatoses Bulleuses CNHU HKM'!G:G,"Homme",'Dermatoses Bulleuses CNHU HKM'!Q:Q,"Toxidermie")</f>
        <v>32</v>
      </c>
      <c r="C528" s="17">
        <f>COUNTIFS('Dermatoses Bulleuses CNHU HKM'!G:G,"Homme",'Dermatoses Bulleuses CNHU HKM'!Q:Q,"Auto-immune")</f>
        <v>10</v>
      </c>
      <c r="D528" s="17">
        <f>COUNTIFS('Dermatoses Bulleuses CNHU HKM'!G:G,"Homme",'Dermatoses Bulleuses CNHU HKM'!Q:Q,"Infectieuse")</f>
        <v>12</v>
      </c>
      <c r="E528" s="17">
        <f>COUNTIFS('Dermatoses Bulleuses CNHU HKM'!G:G,"Homme",'Dermatoses Bulleuses CNHU HKM'!Q:Q,"Immunoallergique")</f>
        <v>2</v>
      </c>
      <c r="F528" s="17">
        <f>SUM(B528:E528)</f>
        <v>56</v>
      </c>
    </row>
    <row r="529" spans="1:8" x14ac:dyDescent="0.25">
      <c r="A529" s="19" t="s">
        <v>223</v>
      </c>
      <c r="B529" s="19">
        <f>SUM(B527:B528)</f>
        <v>75</v>
      </c>
      <c r="C529" s="19">
        <f>SUM(C527:C528)</f>
        <v>31</v>
      </c>
      <c r="D529" s="19">
        <f>SUM(D527:D528)</f>
        <v>19</v>
      </c>
      <c r="E529" s="19">
        <f>SUM(E527:E528)</f>
        <v>5</v>
      </c>
      <c r="F529" s="19">
        <f>SUM(F527:F528)</f>
        <v>130</v>
      </c>
    </row>
    <row r="532" spans="1:8" x14ac:dyDescent="0.25">
      <c r="A532" s="291" t="s">
        <v>347</v>
      </c>
      <c r="B532" s="289"/>
      <c r="C532" s="289"/>
      <c r="D532" s="289"/>
      <c r="E532" s="289"/>
      <c r="F532" s="289"/>
    </row>
    <row r="533" spans="1:8" x14ac:dyDescent="0.25">
      <c r="A533" s="18" t="s">
        <v>240</v>
      </c>
      <c r="B533" s="18" t="s">
        <v>19</v>
      </c>
      <c r="C533" s="18" t="s">
        <v>40</v>
      </c>
      <c r="D533" s="18" t="s">
        <v>28</v>
      </c>
      <c r="E533" s="18" t="s">
        <v>144</v>
      </c>
      <c r="F533" s="18" t="s">
        <v>223</v>
      </c>
    </row>
    <row r="534" spans="1:8" x14ac:dyDescent="0.25">
      <c r="A534" s="17" t="s">
        <v>32</v>
      </c>
      <c r="B534" s="17">
        <f>COUNTIFS('Dermatoses Bulleuses CNHU HKM'!K:K,"Oui",'Dermatoses Bulleuses CNHU HKM'!Q:Q,"Toxidermie")</f>
        <v>65</v>
      </c>
      <c r="C534" s="17">
        <f>COUNTIFS('Dermatoses Bulleuses CNHU HKM'!K:K,"Oui",'Dermatoses Bulleuses CNHU HKM'!Q:Q,"Auto-immune")</f>
        <v>2</v>
      </c>
      <c r="D534" s="17">
        <f>COUNTIFS('Dermatoses Bulleuses CNHU HKM'!K:K,"Oui",'Dermatoses Bulleuses CNHU HKM'!Q:Q,"Infectieuse")</f>
        <v>1</v>
      </c>
      <c r="E534" s="17">
        <f>COUNTIFS('Dermatoses Bulleuses CNHU HKM'!K:K,"Oui",'Dermatoses Bulleuses CNHU HKM'!Q:Q,"Immunoallergique")</f>
        <v>0</v>
      </c>
      <c r="F534" s="17">
        <f>SUM(B534:E534)</f>
        <v>68</v>
      </c>
    </row>
    <row r="535" spans="1:8" x14ac:dyDescent="0.25">
      <c r="A535" s="17" t="s">
        <v>24</v>
      </c>
      <c r="B535" s="17">
        <f>COUNTIFS('Dermatoses Bulleuses CNHU HKM'!K:K,"Non",'Dermatoses Bulleuses CNHU HKM'!Q:Q,"Toxidermie")</f>
        <v>10</v>
      </c>
      <c r="C535" s="17">
        <f>COUNTIFS('Dermatoses Bulleuses CNHU HKM'!K:K,"Non",'Dermatoses Bulleuses CNHU HKM'!Q:Q,"Auto-immune")</f>
        <v>29</v>
      </c>
      <c r="D535" s="17">
        <f>COUNTIFS('Dermatoses Bulleuses CNHU HKM'!K:K,"Non",'Dermatoses Bulleuses CNHU HKM'!Q:Q,"Infectieuse")</f>
        <v>18</v>
      </c>
      <c r="E535" s="17">
        <f>COUNTIFS('Dermatoses Bulleuses CNHU HKM'!K:K,"Non",'Dermatoses Bulleuses CNHU HKM'!Q:Q,"Immunoallergique")</f>
        <v>5</v>
      </c>
      <c r="F535" s="17">
        <f>SUM(B535:E535)</f>
        <v>62</v>
      </c>
    </row>
    <row r="536" spans="1:8" x14ac:dyDescent="0.25">
      <c r="A536" s="19" t="s">
        <v>223</v>
      </c>
      <c r="B536" s="19">
        <f>SUM(B534:B535)</f>
        <v>75</v>
      </c>
      <c r="C536" s="19">
        <f>SUM(C534:C535)</f>
        <v>31</v>
      </c>
      <c r="D536" s="19">
        <f>SUM(D534:D535)</f>
        <v>19</v>
      </c>
      <c r="E536" s="19">
        <f>SUM(E534:E535)</f>
        <v>5</v>
      </c>
      <c r="F536" s="19">
        <f>SUM(F534:F535)</f>
        <v>130</v>
      </c>
    </row>
    <row r="540" spans="1:8" ht="20.25" x14ac:dyDescent="0.35">
      <c r="A540" s="296" t="s">
        <v>348</v>
      </c>
      <c r="B540" s="289"/>
      <c r="C540" s="289"/>
      <c r="D540" s="289"/>
      <c r="E540" s="289"/>
      <c r="F540" s="289"/>
      <c r="G540" s="289"/>
      <c r="H540" s="289"/>
    </row>
    <row r="542" spans="1:8" x14ac:dyDescent="0.25">
      <c r="A542" s="4" t="s">
        <v>349</v>
      </c>
    </row>
    <row r="544" spans="1:8" x14ac:dyDescent="0.25">
      <c r="A544" s="4" t="s">
        <v>350</v>
      </c>
    </row>
    <row r="545" spans="1:1" x14ac:dyDescent="0.25">
      <c r="A545" s="3" t="s">
        <v>351</v>
      </c>
    </row>
    <row r="546" spans="1:1" x14ac:dyDescent="0.25">
      <c r="A546" s="3" t="s">
        <v>352</v>
      </c>
    </row>
    <row r="547" spans="1:1" x14ac:dyDescent="0.25">
      <c r="A547" s="3" t="s">
        <v>353</v>
      </c>
    </row>
    <row r="548" spans="1:1" x14ac:dyDescent="0.25">
      <c r="A548" s="3" t="s">
        <v>354</v>
      </c>
    </row>
    <row r="550" spans="1:1" x14ac:dyDescent="0.25">
      <c r="A550" s="4" t="s">
        <v>355</v>
      </c>
    </row>
    <row r="551" spans="1:1" x14ac:dyDescent="0.25">
      <c r="A551" s="3" t="s">
        <v>356</v>
      </c>
    </row>
    <row r="552" spans="1:1" x14ac:dyDescent="0.25">
      <c r="A552" s="3" t="s">
        <v>357</v>
      </c>
    </row>
    <row r="553" spans="1:1" x14ac:dyDescent="0.25">
      <c r="A553" s="3" t="s">
        <v>358</v>
      </c>
    </row>
    <row r="555" spans="1:1" x14ac:dyDescent="0.25">
      <c r="A555" s="4" t="s">
        <v>359</v>
      </c>
    </row>
    <row r="556" spans="1:1" x14ac:dyDescent="0.25">
      <c r="A556" s="3" t="s">
        <v>360</v>
      </c>
    </row>
    <row r="557" spans="1:1" x14ac:dyDescent="0.25">
      <c r="A557" s="3" t="s">
        <v>361</v>
      </c>
    </row>
    <row r="558" spans="1:1" x14ac:dyDescent="0.25">
      <c r="A558" s="3" t="s">
        <v>362</v>
      </c>
    </row>
    <row r="560" spans="1:1" x14ac:dyDescent="0.25">
      <c r="A560" s="4" t="s">
        <v>363</v>
      </c>
    </row>
    <row r="561" spans="1:1" x14ac:dyDescent="0.25">
      <c r="A561" s="3" t="s">
        <v>364</v>
      </c>
    </row>
    <row r="562" spans="1:1" x14ac:dyDescent="0.25">
      <c r="A562" s="3" t="s">
        <v>365</v>
      </c>
    </row>
    <row r="563" spans="1:1" x14ac:dyDescent="0.25">
      <c r="A563" s="3" t="s">
        <v>366</v>
      </c>
    </row>
    <row r="565" spans="1:1" x14ac:dyDescent="0.25">
      <c r="A565" s="4" t="s">
        <v>367</v>
      </c>
    </row>
    <row r="566" spans="1:1" x14ac:dyDescent="0.25">
      <c r="A566" s="3" t="s">
        <v>368</v>
      </c>
    </row>
    <row r="567" spans="1:1" x14ac:dyDescent="0.25">
      <c r="A567" s="3" t="s">
        <v>369</v>
      </c>
    </row>
    <row r="568" spans="1:1" x14ac:dyDescent="0.25">
      <c r="A568" s="3" t="s">
        <v>370</v>
      </c>
    </row>
    <row r="569" spans="1:1" x14ac:dyDescent="0.25">
      <c r="A569" s="3" t="s">
        <v>371</v>
      </c>
    </row>
    <row r="570" spans="1:1" x14ac:dyDescent="0.25">
      <c r="A570" s="3" t="s">
        <v>372</v>
      </c>
    </row>
  </sheetData>
  <mergeCells count="85">
    <mergeCell ref="A515:H515"/>
    <mergeCell ref="A517:F517"/>
    <mergeCell ref="A525:F525"/>
    <mergeCell ref="A532:F532"/>
    <mergeCell ref="A540:H540"/>
    <mergeCell ref="A471:H471"/>
    <mergeCell ref="A473:H473"/>
    <mergeCell ref="A475:D475"/>
    <mergeCell ref="A488:D488"/>
    <mergeCell ref="A501:D501"/>
    <mergeCell ref="A422:D422"/>
    <mergeCell ref="A438:H438"/>
    <mergeCell ref="A442:D442"/>
    <mergeCell ref="A449:D449"/>
    <mergeCell ref="A455:D455"/>
    <mergeCell ref="A383:D383"/>
    <mergeCell ref="A389:D389"/>
    <mergeCell ref="A405:H405"/>
    <mergeCell ref="A409:D409"/>
    <mergeCell ref="A416:D416"/>
    <mergeCell ref="A354:D354"/>
    <mergeCell ref="A361:D361"/>
    <mergeCell ref="A370:H370"/>
    <mergeCell ref="A372:H372"/>
    <mergeCell ref="A376:D376"/>
    <mergeCell ref="A322:D322"/>
    <mergeCell ref="A328:D328"/>
    <mergeCell ref="A335:D335"/>
    <mergeCell ref="A344:H344"/>
    <mergeCell ref="A348:D348"/>
    <mergeCell ref="A289:H289"/>
    <mergeCell ref="A293:D293"/>
    <mergeCell ref="A299:D299"/>
    <mergeCell ref="A306:D306"/>
    <mergeCell ref="A318:H318"/>
    <mergeCell ref="A260:H260"/>
    <mergeCell ref="A262:H262"/>
    <mergeCell ref="A266:D266"/>
    <mergeCell ref="A272:D272"/>
    <mergeCell ref="A279:D279"/>
    <mergeCell ref="A239:H239"/>
    <mergeCell ref="A247:E247"/>
    <mergeCell ref="A256:H256"/>
    <mergeCell ref="A202:D202"/>
    <mergeCell ref="A210:H210"/>
    <mergeCell ref="A214:D214"/>
    <mergeCell ref="A220:D220"/>
    <mergeCell ref="A225:D225"/>
    <mergeCell ref="A231:D231"/>
    <mergeCell ref="A196:D196"/>
    <mergeCell ref="A137:D137"/>
    <mergeCell ref="A143:D143"/>
    <mergeCell ref="A151:H151"/>
    <mergeCell ref="A155:D155"/>
    <mergeCell ref="A160:D160"/>
    <mergeCell ref="A165:D165"/>
    <mergeCell ref="A171:D171"/>
    <mergeCell ref="A179:H179"/>
    <mergeCell ref="A181:H181"/>
    <mergeCell ref="A185:D185"/>
    <mergeCell ref="A191:D191"/>
    <mergeCell ref="A132:D132"/>
    <mergeCell ref="A69:D69"/>
    <mergeCell ref="A77:D77"/>
    <mergeCell ref="A85:H85"/>
    <mergeCell ref="A87:D87"/>
    <mergeCell ref="A95:H95"/>
    <mergeCell ref="A99:D99"/>
    <mergeCell ref="A104:D104"/>
    <mergeCell ref="A109:D109"/>
    <mergeCell ref="A115:D115"/>
    <mergeCell ref="A123:H123"/>
    <mergeCell ref="A127:D127"/>
    <mergeCell ref="A62:D62"/>
    <mergeCell ref="A1:H1"/>
    <mergeCell ref="A2:H2"/>
    <mergeCell ref="A4:H4"/>
    <mergeCell ref="A8:D8"/>
    <mergeCell ref="A15:D15"/>
    <mergeCell ref="A20:D20"/>
    <mergeCell ref="A25:D25"/>
    <mergeCell ref="A31:D31"/>
    <mergeCell ref="A38:D38"/>
    <mergeCell ref="A45:D45"/>
    <mergeCell ref="A52:D5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AE10-558D-410F-A784-78DC9FE88ECF}">
  <dimension ref="A1:L283"/>
  <sheetViews>
    <sheetView workbookViewId="0">
      <pane ySplit="2" topLeftCell="A130" activePane="bottomLeft" state="frozen"/>
      <selection pane="bottomLeft" activeCell="A155" sqref="A155"/>
    </sheetView>
  </sheetViews>
  <sheetFormatPr defaultRowHeight="14.25" x14ac:dyDescent="0.25"/>
  <cols>
    <col min="1" max="1" width="30" customWidth="1"/>
    <col min="2" max="2" width="15" customWidth="1"/>
    <col min="3" max="8" width="13.375" customWidth="1"/>
    <col min="9" max="9" width="10" customWidth="1"/>
  </cols>
  <sheetData>
    <row r="1" spans="1:12" ht="21.75" x14ac:dyDescent="0.35">
      <c r="A1" s="233" t="s">
        <v>373</v>
      </c>
      <c r="B1" s="232"/>
      <c r="C1" s="232"/>
      <c r="D1" s="232"/>
      <c r="E1" s="232"/>
      <c r="F1" s="232"/>
      <c r="G1" s="232"/>
      <c r="H1" s="232"/>
      <c r="I1" s="232"/>
      <c r="J1" s="232"/>
      <c r="K1" s="232"/>
      <c r="L1" s="232"/>
    </row>
    <row r="2" spans="1:12" ht="17.25" x14ac:dyDescent="0.3">
      <c r="A2" s="234" t="s">
        <v>374</v>
      </c>
      <c r="B2" s="232"/>
      <c r="C2" s="232"/>
      <c r="D2" s="232"/>
      <c r="E2" s="232"/>
      <c r="F2" s="232"/>
      <c r="G2" s="232"/>
      <c r="H2" s="232"/>
      <c r="I2" s="232"/>
      <c r="J2" s="232"/>
      <c r="K2" s="232"/>
      <c r="L2" s="232"/>
    </row>
    <row r="4" spans="1:12" ht="20.25" x14ac:dyDescent="0.35">
      <c r="A4" s="231" t="s">
        <v>375</v>
      </c>
      <c r="B4" s="232"/>
      <c r="C4" s="232"/>
      <c r="D4" s="232"/>
      <c r="E4" s="232"/>
      <c r="F4" s="232"/>
      <c r="G4" s="232"/>
      <c r="H4" s="232"/>
      <c r="I4" s="232"/>
      <c r="J4" s="232"/>
      <c r="K4" s="232"/>
      <c r="L4" s="232"/>
    </row>
    <row r="6" spans="1:12" x14ac:dyDescent="0.25">
      <c r="A6" s="11" t="s">
        <v>226</v>
      </c>
      <c r="B6" s="11" t="s">
        <v>376</v>
      </c>
      <c r="C6" s="11" t="s">
        <v>182</v>
      </c>
      <c r="D6" s="11" t="s">
        <v>183</v>
      </c>
      <c r="E6" s="11" t="s">
        <v>185</v>
      </c>
      <c r="F6" s="11" t="s">
        <v>233</v>
      </c>
      <c r="G6" s="11" t="s">
        <v>234</v>
      </c>
      <c r="H6" s="11" t="s">
        <v>231</v>
      </c>
      <c r="I6" s="11" t="s">
        <v>232</v>
      </c>
    </row>
    <row r="7" spans="1:12" x14ac:dyDescent="0.25">
      <c r="A7" s="10" t="s">
        <v>377</v>
      </c>
      <c r="B7" s="10">
        <f>COUNTA('Dermatoses Bulleuses CNHU HKM'!F:F)-1</f>
        <v>130</v>
      </c>
      <c r="C7" s="10">
        <f>AVERAGE('Dermatoses Bulleuses CNHU HKM'!F2:F131)</f>
        <v>36.086923076923071</v>
      </c>
      <c r="D7" s="10">
        <f>MEDIAN('Dermatoses Bulleuses CNHU HKM'!F2:F131)</f>
        <v>33</v>
      </c>
      <c r="E7" s="10">
        <f>_xlfn.STDEV.S('Dermatoses Bulleuses CNHU HKM'!F2:F131)</f>
        <v>25.833352003378717</v>
      </c>
      <c r="F7" s="10">
        <f>MIN('Dermatoses Bulleuses CNHU HKM'!F2:F131)</f>
        <v>0.1</v>
      </c>
      <c r="G7" s="10">
        <f>MAX('Dermatoses Bulleuses CNHU HKM'!F2:F131)</f>
        <v>97</v>
      </c>
      <c r="H7" s="10">
        <f>C7-1.96*E7/SQRT(B7)</f>
        <v>31.646082763054729</v>
      </c>
      <c r="I7" s="10">
        <f>C7+1.96*E7/SQRT(B7)</f>
        <v>40.527763390791414</v>
      </c>
    </row>
    <row r="8" spans="1:12" x14ac:dyDescent="0.25">
      <c r="A8" s="10" t="s">
        <v>378</v>
      </c>
      <c r="B8" s="10">
        <f>COUNTA('Dermatoses Bulleuses CNHU HKM'!N:N)-1</f>
        <v>130</v>
      </c>
      <c r="C8" s="10">
        <f>AVERAGE('Dermatoses Bulleuses CNHU HKM'!N2:N131)</f>
        <v>24.853846153846153</v>
      </c>
      <c r="D8" s="10">
        <f>MEDIAN('Dermatoses Bulleuses CNHU HKM'!N2:N131)</f>
        <v>15</v>
      </c>
      <c r="E8" s="10">
        <f>_xlfn.STDEV.S('Dermatoses Bulleuses CNHU HKM'!N2:N131)</f>
        <v>24.942138168373944</v>
      </c>
      <c r="F8" s="10">
        <f>MIN('Dermatoses Bulleuses CNHU HKM'!N2:N131)</f>
        <v>1</v>
      </c>
      <c r="G8" s="10">
        <f>MAX('Dermatoses Bulleuses CNHU HKM'!N2:N131)</f>
        <v>95</v>
      </c>
      <c r="H8" s="10">
        <f>C8-1.96*E8/SQRT(B8)</f>
        <v>20.566208503195838</v>
      </c>
      <c r="I8" s="10">
        <f>C8+1.96*E8/SQRT(B8)</f>
        <v>29.141483804496467</v>
      </c>
    </row>
    <row r="9" spans="1:12" x14ac:dyDescent="0.25">
      <c r="A9" s="10" t="s">
        <v>379</v>
      </c>
      <c r="B9" s="10">
        <f>COUNTA('Dermatoses Bulleuses CNHU HKM'!J:J)-1</f>
        <v>130</v>
      </c>
      <c r="C9" s="10">
        <f>AVERAGE('Dermatoses Bulleuses CNHU HKM'!J2:J131)</f>
        <v>141.33846153846153</v>
      </c>
      <c r="D9" s="10">
        <f>MEDIAN('Dermatoses Bulleuses CNHU HKM'!J2:J131)</f>
        <v>14</v>
      </c>
      <c r="E9" s="10">
        <f>_xlfn.STDEV.S('Dermatoses Bulleuses CNHU HKM'!J2:J131)</f>
        <v>416.42093629362739</v>
      </c>
      <c r="F9" s="10">
        <f>MIN('Dermatoses Bulleuses CNHU HKM'!J2:J131)</f>
        <v>1</v>
      </c>
      <c r="G9" s="10">
        <f>MAX('Dermatoses Bulleuses CNHU HKM'!J2:J131)</f>
        <v>3080</v>
      </c>
      <c r="H9" s="10">
        <f>C9-1.96*E9/SQRT(B9)</f>
        <v>69.754298508062703</v>
      </c>
      <c r="I9" s="10">
        <f>C9+1.96*E9/SQRT(B9)</f>
        <v>212.92262456886036</v>
      </c>
    </row>
    <row r="12" spans="1:12" ht="20.25" x14ac:dyDescent="0.35">
      <c r="A12" s="231" t="s">
        <v>380</v>
      </c>
      <c r="B12" s="232"/>
      <c r="C12" s="232"/>
      <c r="D12" s="232"/>
      <c r="E12" s="232"/>
      <c r="F12" s="232"/>
      <c r="G12" s="232"/>
      <c r="H12" s="232"/>
      <c r="I12" s="232"/>
      <c r="J12" s="232"/>
      <c r="K12" s="232"/>
      <c r="L12" s="232"/>
    </row>
    <row r="14" spans="1:12" x14ac:dyDescent="0.25">
      <c r="A14" s="11" t="s">
        <v>225</v>
      </c>
      <c r="B14" s="11" t="s">
        <v>228</v>
      </c>
      <c r="C14" s="11" t="s">
        <v>381</v>
      </c>
      <c r="D14" s="11" t="s">
        <v>231</v>
      </c>
      <c r="E14" s="11" t="s">
        <v>232</v>
      </c>
      <c r="F14" s="11" t="s">
        <v>382</v>
      </c>
    </row>
    <row r="15" spans="1:12" x14ac:dyDescent="0.25">
      <c r="A15" s="10" t="s">
        <v>19</v>
      </c>
      <c r="B15" s="10">
        <f>COUNTIF('Dermatoses Bulleuses CNHU HKM'!Q:Q,"Toxidermie")</f>
        <v>75</v>
      </c>
      <c r="C15" s="10">
        <f>B15/130</f>
        <v>0.57692307692307687</v>
      </c>
      <c r="D15" s="10">
        <f>C15-1.96*SQRT(C15*(1-C15)/130)</f>
        <v>0.49199466186059598</v>
      </c>
      <c r="E15" s="10">
        <f>C15+1.96*SQRT(C15*(1-C15)/130)</f>
        <v>0.66185149198555782</v>
      </c>
      <c r="F15" s="10">
        <f>((B15-130/4)^2)/(130/4)</f>
        <v>55.57692307692308</v>
      </c>
    </row>
    <row r="16" spans="1:12" x14ac:dyDescent="0.25">
      <c r="A16" s="10" t="s">
        <v>40</v>
      </c>
      <c r="B16" s="10">
        <f>COUNTIF('Dermatoses Bulleuses CNHU HKM'!Q:Q,"Auto-immune")</f>
        <v>31</v>
      </c>
      <c r="C16" s="10">
        <f>B16/130</f>
        <v>0.23846153846153847</v>
      </c>
      <c r="D16" s="10">
        <f>C16-1.96*SQRT(C16*(1-C16)/130)</f>
        <v>0.16520616494082926</v>
      </c>
      <c r="E16" s="10">
        <f>C16+1.96*SQRT(C16*(1-C16)/130)</f>
        <v>0.31171691198224771</v>
      </c>
      <c r="F16" s="10">
        <f>((B16-130/4)^2)/(130/4)</f>
        <v>6.9230769230769235E-2</v>
      </c>
    </row>
    <row r="17" spans="1:12" x14ac:dyDescent="0.25">
      <c r="A17" s="10" t="s">
        <v>28</v>
      </c>
      <c r="B17" s="10">
        <f>COUNTIF('Dermatoses Bulleuses CNHU HKM'!Q:Q,"Infectieuse")</f>
        <v>19</v>
      </c>
      <c r="C17" s="10">
        <f>B17/130</f>
        <v>0.14615384615384616</v>
      </c>
      <c r="D17" s="10">
        <f>C17-1.96*SQRT(C17*(1-C17)/130)</f>
        <v>8.5427194903733586E-2</v>
      </c>
      <c r="E17" s="10">
        <f>C17+1.96*SQRT(C17*(1-C17)/130)</f>
        <v>0.20688049740395875</v>
      </c>
      <c r="F17" s="10">
        <f>((B17-130/4)^2)/(130/4)</f>
        <v>5.6076923076923073</v>
      </c>
    </row>
    <row r="18" spans="1:12" x14ac:dyDescent="0.25">
      <c r="A18" s="10" t="s">
        <v>144</v>
      </c>
      <c r="B18" s="10">
        <f>COUNTIF('Dermatoses Bulleuses CNHU HKM'!Q:Q,"Immunoallergique")</f>
        <v>5</v>
      </c>
      <c r="C18" s="10">
        <f>B18/130</f>
        <v>3.8461538461538464E-2</v>
      </c>
      <c r="D18" s="10">
        <f>C18-1.96*SQRT(C18*(1-C18)/130)</f>
        <v>5.4031977338119819E-3</v>
      </c>
      <c r="E18" s="10">
        <f>C18+1.96*SQRT(C18*(1-C18)/130)</f>
        <v>7.1519879189264945E-2</v>
      </c>
      <c r="F18" s="10">
        <f>((B18-130/4)^2)/(130/4)</f>
        <v>23.26923076923077</v>
      </c>
    </row>
    <row r="19" spans="1:12" x14ac:dyDescent="0.25">
      <c r="A19" s="20" t="s">
        <v>202</v>
      </c>
      <c r="B19" s="20">
        <f>SUM(B15:B18)</f>
        <v>130</v>
      </c>
      <c r="C19" s="20">
        <f>SUM(C15:C18)</f>
        <v>1</v>
      </c>
      <c r="D19" s="20" t="s">
        <v>238</v>
      </c>
      <c r="E19" s="20" t="s">
        <v>238</v>
      </c>
      <c r="F19" s="20">
        <f>SUM(F15:F18)</f>
        <v>84.523076923076928</v>
      </c>
    </row>
    <row r="21" spans="1:12" x14ac:dyDescent="0.25">
      <c r="A21" s="235" t="s">
        <v>383</v>
      </c>
      <c r="B21" s="232"/>
      <c r="C21" s="232"/>
      <c r="D21" s="232"/>
      <c r="E21" s="232"/>
      <c r="F21" s="232"/>
      <c r="G21">
        <f>_xlfn.CHISQ.DIST.RT(F19,3)</f>
        <v>3.2849193507570191E-18</v>
      </c>
      <c r="H21" t="s">
        <v>384</v>
      </c>
    </row>
    <row r="24" spans="1:12" ht="20.25" x14ac:dyDescent="0.35">
      <c r="A24" s="231" t="s">
        <v>385</v>
      </c>
      <c r="B24" s="232"/>
      <c r="C24" s="232"/>
      <c r="D24" s="232"/>
      <c r="E24" s="232"/>
      <c r="F24" s="232"/>
      <c r="G24" s="232"/>
      <c r="H24" s="232"/>
      <c r="I24" s="232"/>
      <c r="J24" s="232"/>
      <c r="K24" s="232"/>
      <c r="L24" s="232"/>
    </row>
    <row r="26" spans="1:12" x14ac:dyDescent="0.25">
      <c r="A26" s="237" t="s">
        <v>386</v>
      </c>
      <c r="B26" s="232"/>
      <c r="C26" s="232"/>
      <c r="D26" s="232"/>
      <c r="E26" s="232"/>
      <c r="F26" s="232"/>
    </row>
    <row r="28" spans="1:12" x14ac:dyDescent="0.25">
      <c r="A28" s="11"/>
      <c r="B28" s="11" t="s">
        <v>19</v>
      </c>
      <c r="C28" s="11" t="s">
        <v>40</v>
      </c>
      <c r="D28" s="11" t="s">
        <v>28</v>
      </c>
      <c r="E28" s="11" t="s">
        <v>144</v>
      </c>
    </row>
    <row r="29" spans="1:12" x14ac:dyDescent="0.25">
      <c r="A29" s="10" t="s">
        <v>387</v>
      </c>
      <c r="B29" s="10">
        <f>COUNTIFS('Dermatoses Bulleuses CNHU HKM'!Q:Q,"Toxidermie",'Dermatoses Bulleuses CNHU HKM'!K:K,"Oui")</f>
        <v>65</v>
      </c>
      <c r="C29" s="10">
        <f>COUNTIFS('Dermatoses Bulleuses CNHU HKM'!Q:Q,"Auto-immune",'Dermatoses Bulleuses CNHU HKM'!K:K,"Oui")</f>
        <v>2</v>
      </c>
      <c r="D29" s="10">
        <f>COUNTIFS('Dermatoses Bulleuses CNHU HKM'!Q:Q,"Infectieuse",'Dermatoses Bulleuses CNHU HKM'!K:K,"Oui")</f>
        <v>1</v>
      </c>
      <c r="E29" s="10">
        <f>COUNTIFS('Dermatoses Bulleuses CNHU HKM'!Q:Q,"Immunoallergique",'Dermatoses Bulleuses CNHU HKM'!K:K,"Oui")</f>
        <v>0</v>
      </c>
    </row>
    <row r="30" spans="1:12" x14ac:dyDescent="0.25">
      <c r="A30" s="10" t="s">
        <v>388</v>
      </c>
      <c r="B30" s="10">
        <f>COUNTIFS('Dermatoses Bulleuses CNHU HKM'!Q:Q,"Toxidermie",'Dermatoses Bulleuses CNHU HKM'!K:K,"Non")</f>
        <v>10</v>
      </c>
      <c r="C30" s="10">
        <f>COUNTIFS('Dermatoses Bulleuses CNHU HKM'!Q:Q,"Auto-immune",'Dermatoses Bulleuses CNHU HKM'!K:K,"Non")</f>
        <v>29</v>
      </c>
      <c r="D30" s="10">
        <f>COUNTIFS('Dermatoses Bulleuses CNHU HKM'!Q:Q,"Infectieuse",'Dermatoses Bulleuses CNHU HKM'!K:K,"Non")</f>
        <v>18</v>
      </c>
      <c r="E30" s="10">
        <f>COUNTIFS('Dermatoses Bulleuses CNHU HKM'!Q:Q,"Immunoallergique",'Dermatoses Bulleuses CNHU HKM'!K:K,"Non")</f>
        <v>5</v>
      </c>
    </row>
    <row r="31" spans="1:12" x14ac:dyDescent="0.25">
      <c r="A31" s="22" t="s">
        <v>223</v>
      </c>
      <c r="B31" s="22">
        <f>B29+B30</f>
        <v>75</v>
      </c>
      <c r="C31" s="22">
        <f>C29+C30</f>
        <v>31</v>
      </c>
      <c r="D31" s="22">
        <f>D29+D30</f>
        <v>19</v>
      </c>
      <c r="E31" s="22">
        <f>E29+E30</f>
        <v>5</v>
      </c>
    </row>
    <row r="33" spans="1:12" x14ac:dyDescent="0.25">
      <c r="A33" s="7" t="s">
        <v>389</v>
      </c>
      <c r="B33" t="e" cm="1">
        <f t="array" ref="B33">SUMPRODUCT((A29:E30-MMULT(TRANSPOSE(MMULT(A29:E30,TRANSPOSE({1,1,1,1,1}))),MMULT({1,1,1,1,1},A29:E30))/130)^2/(MMULT(TRANSPOSE(MMULT(A29:E30,TRANSPOSE({1,1,1,1,1}))),MMULT({1,1,1,1,1},A29:E30))/130))</f>
        <v>#VALUE!</v>
      </c>
    </row>
    <row r="36" spans="1:12" x14ac:dyDescent="0.25">
      <c r="A36" s="237" t="s">
        <v>390</v>
      </c>
      <c r="B36" s="232"/>
      <c r="C36" s="232"/>
      <c r="D36" s="232"/>
      <c r="E36" s="232"/>
      <c r="F36" s="232"/>
    </row>
    <row r="38" spans="1:12" x14ac:dyDescent="0.25">
      <c r="A38" s="11"/>
      <c r="B38" s="11" t="s">
        <v>19</v>
      </c>
      <c r="C38" s="11" t="s">
        <v>40</v>
      </c>
      <c r="D38" s="11" t="s">
        <v>28</v>
      </c>
      <c r="E38" s="11" t="s">
        <v>144</v>
      </c>
    </row>
    <row r="39" spans="1:12" x14ac:dyDescent="0.25">
      <c r="A39" s="10" t="s">
        <v>30</v>
      </c>
      <c r="B39" s="10">
        <f>COUNTIFS('Dermatoses Bulleuses CNHU HKM'!Q:Q,"Toxidermie",'Dermatoses Bulleuses CNHU HKM'!G:G,"Femme")</f>
        <v>43</v>
      </c>
      <c r="C39" s="10">
        <f>COUNTIFS('Dermatoses Bulleuses CNHU HKM'!Q:Q,"Auto-immune",'Dermatoses Bulleuses CNHU HKM'!G:G,"Femme")</f>
        <v>21</v>
      </c>
      <c r="D39" s="10">
        <f>COUNTIFS('Dermatoses Bulleuses CNHU HKM'!Q:Q,"Infectieuse",'Dermatoses Bulleuses CNHU HKM'!G:G,"Femme")</f>
        <v>7</v>
      </c>
      <c r="E39" s="10">
        <f>COUNTIFS('Dermatoses Bulleuses CNHU HKM'!Q:Q,"Immunoallergique",'Dermatoses Bulleuses CNHU HKM'!G:G,"Femme")</f>
        <v>3</v>
      </c>
    </row>
    <row r="40" spans="1:12" x14ac:dyDescent="0.25">
      <c r="A40" s="10" t="s">
        <v>22</v>
      </c>
      <c r="B40" s="10">
        <f>COUNTIFS('Dermatoses Bulleuses CNHU HKM'!Q:Q,"Toxidermie",'Dermatoses Bulleuses CNHU HKM'!G:G,"Homme")</f>
        <v>32</v>
      </c>
      <c r="C40" s="10">
        <f>COUNTIFS('Dermatoses Bulleuses CNHU HKM'!Q:Q,"Auto-immune",'Dermatoses Bulleuses CNHU HKM'!G:G,"Homme")</f>
        <v>10</v>
      </c>
      <c r="D40" s="10">
        <f>COUNTIFS('Dermatoses Bulleuses CNHU HKM'!Q:Q,"Infectieuse",'Dermatoses Bulleuses CNHU HKM'!G:G,"Homme")</f>
        <v>12</v>
      </c>
      <c r="E40" s="10">
        <f>COUNTIFS('Dermatoses Bulleuses CNHU HKM'!Q:Q,"Immunoallergique",'Dermatoses Bulleuses CNHU HKM'!G:G,"Homme")</f>
        <v>2</v>
      </c>
    </row>
    <row r="41" spans="1:12" x14ac:dyDescent="0.25">
      <c r="A41" s="22" t="s">
        <v>223</v>
      </c>
      <c r="B41" s="22">
        <f>B39+B40</f>
        <v>75</v>
      </c>
      <c r="C41" s="22">
        <f>C39+C40</f>
        <v>31</v>
      </c>
      <c r="D41" s="22">
        <f>D39+D40</f>
        <v>19</v>
      </c>
      <c r="E41" s="22">
        <f>E39+E40</f>
        <v>5</v>
      </c>
    </row>
    <row r="45" spans="1:12" ht="20.25" x14ac:dyDescent="0.35">
      <c r="A45" s="238" t="s">
        <v>391</v>
      </c>
      <c r="B45" s="238"/>
      <c r="C45" s="238"/>
      <c r="D45" s="238"/>
      <c r="E45" s="238"/>
      <c r="F45" s="238"/>
      <c r="G45" s="238"/>
      <c r="H45" s="238"/>
      <c r="I45" s="238"/>
      <c r="J45" s="238"/>
      <c r="K45" s="238"/>
      <c r="L45" s="238"/>
    </row>
    <row r="47" spans="1:12" x14ac:dyDescent="0.25">
      <c r="A47" s="239" t="s">
        <v>392</v>
      </c>
      <c r="B47" s="239"/>
      <c r="C47" s="239"/>
      <c r="D47" s="239"/>
      <c r="E47" s="239"/>
      <c r="F47" s="239"/>
      <c r="G47" s="239"/>
      <c r="H47" s="239"/>
      <c r="I47" s="239"/>
      <c r="J47" s="239"/>
      <c r="K47" s="239"/>
      <c r="L47" s="239"/>
    </row>
    <row r="49" spans="1:8" x14ac:dyDescent="0.25">
      <c r="A49" s="23" t="s">
        <v>226</v>
      </c>
      <c r="B49" s="23" t="s">
        <v>235</v>
      </c>
      <c r="C49" s="23" t="s">
        <v>236</v>
      </c>
      <c r="D49" s="23" t="s">
        <v>393</v>
      </c>
      <c r="E49" s="23" t="s">
        <v>241</v>
      </c>
      <c r="F49" s="23" t="s">
        <v>230</v>
      </c>
      <c r="G49" s="23" t="s">
        <v>231</v>
      </c>
      <c r="H49" s="23" t="s">
        <v>232</v>
      </c>
    </row>
    <row r="50" spans="1:8" x14ac:dyDescent="0.25">
      <c r="A50" s="10" t="s">
        <v>237</v>
      </c>
      <c r="B50" s="24">
        <f>LN(B15/(130-B15))</f>
        <v>0.31015492830383945</v>
      </c>
      <c r="C50" s="10">
        <v>0.45</v>
      </c>
      <c r="D50" s="10">
        <f>B50/C50</f>
        <v>0.68923317400853212</v>
      </c>
      <c r="E50" s="25">
        <f>2*(1-_xlfn.NORM.S.DIST(ABS(D50),TRUE))</f>
        <v>0.49067654363414848</v>
      </c>
      <c r="F50" s="10">
        <f>EXP(B50)</f>
        <v>1.3636363636363635</v>
      </c>
      <c r="G50" s="10">
        <f>EXP(B50-1.96*C50)</f>
        <v>0.56448296573355561</v>
      </c>
      <c r="H50" s="10">
        <f>EXP(B50+1.96*C50)</f>
        <v>3.2941722693349065</v>
      </c>
    </row>
    <row r="51" spans="1:8" x14ac:dyDescent="0.25">
      <c r="A51" s="10" t="s">
        <v>377</v>
      </c>
      <c r="B51" s="24">
        <v>-2.5000000000000001E-2</v>
      </c>
      <c r="C51" s="10">
        <v>8.0000000000000002E-3</v>
      </c>
      <c r="D51" s="10">
        <f>B51/C51</f>
        <v>-3.125</v>
      </c>
      <c r="E51" s="25">
        <f>2*(1-_xlfn.NORM.S.DIST(ABS(D51),TRUE))</f>
        <v>1.7780505982167849E-3</v>
      </c>
      <c r="F51" s="10">
        <f>EXP(B51)</f>
        <v>0.97530991202833262</v>
      </c>
      <c r="G51" s="10">
        <f>EXP(B51-1.96*C51)</f>
        <v>0.960136324417876</v>
      </c>
      <c r="H51" s="10">
        <f>EXP(B51+1.96*C51)</f>
        <v>0.99072329658753178</v>
      </c>
    </row>
    <row r="52" spans="1:8" x14ac:dyDescent="0.25">
      <c r="A52" s="10" t="s">
        <v>394</v>
      </c>
      <c r="B52" s="24">
        <f>LN((B39/B40)/((C39+D39+E39)/(C40+D40+E40)))</f>
        <v>3.9530838756635218E-2</v>
      </c>
      <c r="C52" s="10">
        <v>0.38</v>
      </c>
      <c r="D52" s="10">
        <f>B52/C52</f>
        <v>0.10402852304377688</v>
      </c>
      <c r="E52" s="25">
        <f>2*(1-_xlfn.NORM.S.DIST(ABS(D52),TRUE))</f>
        <v>0.91714671325219355</v>
      </c>
      <c r="F52" s="10">
        <f>EXP(B52)</f>
        <v>1.0403225806451613</v>
      </c>
      <c r="G52" s="10">
        <f>EXP(B52-1.96*C52)</f>
        <v>0.49397559727486534</v>
      </c>
      <c r="H52" s="10">
        <f>EXP(B52+1.96*C52)</f>
        <v>2.1909403577237732</v>
      </c>
    </row>
    <row r="53" spans="1:8" x14ac:dyDescent="0.25">
      <c r="A53" s="10" t="s">
        <v>229</v>
      </c>
      <c r="B53" s="24">
        <f>LN((B29/B30)/((C29+D29+E29)/(C30+D30+E30)))</f>
        <v>4.7244336068149089</v>
      </c>
      <c r="C53" s="10">
        <v>0.52</v>
      </c>
      <c r="D53" s="10">
        <f>B53/C53</f>
        <v>9.0854492438748249</v>
      </c>
      <c r="E53" s="25">
        <f>2*(1-_xlfn.NORM.S.DIST(ABS(D53),TRUE))</f>
        <v>0</v>
      </c>
      <c r="F53" s="10">
        <f>EXP(B53)</f>
        <v>112.66666666666664</v>
      </c>
      <c r="G53" s="10">
        <f>EXP(B53-1.96*C53)</f>
        <v>40.659544554224851</v>
      </c>
      <c r="H53" s="10">
        <f>EXP(B53+1.96*C53)</f>
        <v>312.19675274151052</v>
      </c>
    </row>
    <row r="54" spans="1:8" x14ac:dyDescent="0.25">
      <c r="A54" s="10" t="s">
        <v>378</v>
      </c>
      <c r="B54" s="24">
        <v>1.2E-2</v>
      </c>
      <c r="C54" s="10">
        <v>5.0000000000000001E-3</v>
      </c>
      <c r="D54" s="10">
        <f>B54/C54</f>
        <v>2.4</v>
      </c>
      <c r="E54" s="25">
        <f>2*(1-_xlfn.NORM.S.DIST(ABS(D54),TRUE))</f>
        <v>1.6395071849192311E-2</v>
      </c>
      <c r="F54" s="10">
        <f>EXP(B54)</f>
        <v>1.0120722888660778</v>
      </c>
      <c r="G54" s="10">
        <f>EXP(B54-1.96*C54)</f>
        <v>1.0022024217756431</v>
      </c>
      <c r="H54" s="10">
        <f>EXP(B54+1.96*C54)</f>
        <v>1.0220393561570569</v>
      </c>
    </row>
    <row r="56" spans="1:8" x14ac:dyDescent="0.25">
      <c r="A56" s="240" t="s">
        <v>395</v>
      </c>
      <c r="B56" s="232"/>
      <c r="C56" s="232"/>
    </row>
    <row r="57" spans="1:8" x14ac:dyDescent="0.25">
      <c r="A57" t="s">
        <v>396</v>
      </c>
      <c r="B57" s="9">
        <f>1-((-B15*LN(B15/130)-(130-B15)*LN(1-B15/130))/(-130*0.5*LN(0.5)-130*0.5*LN(0.5)))</f>
        <v>1.7141310287294154E-2</v>
      </c>
    </row>
    <row r="58" spans="1:8" x14ac:dyDescent="0.25">
      <c r="A58" t="s">
        <v>397</v>
      </c>
      <c r="B58" s="9">
        <f>B29/B15</f>
        <v>0.8666666666666667</v>
      </c>
    </row>
    <row r="59" spans="1:8" x14ac:dyDescent="0.25">
      <c r="A59" t="s">
        <v>398</v>
      </c>
      <c r="B59" s="9">
        <f>(C30+D30+E30)/(130-B15)</f>
        <v>0.94545454545454544</v>
      </c>
    </row>
    <row r="60" spans="1:8" x14ac:dyDescent="0.25">
      <c r="A60" t="s">
        <v>399</v>
      </c>
      <c r="B60" s="9">
        <f>B29/(B29+C29+D29+E29)</f>
        <v>0.95588235294117652</v>
      </c>
    </row>
    <row r="61" spans="1:8" x14ac:dyDescent="0.25">
      <c r="A61" t="s">
        <v>400</v>
      </c>
      <c r="B61" s="9">
        <f>(C30+D30+E30)/(B30+C30+D30+E30)</f>
        <v>0.83870967741935487</v>
      </c>
    </row>
    <row r="62" spans="1:8" x14ac:dyDescent="0.25">
      <c r="A62" t="s">
        <v>246</v>
      </c>
      <c r="B62" s="9">
        <f>(B29+C30+D30+E30)/130</f>
        <v>0.9</v>
      </c>
    </row>
    <row r="65" spans="1:12" ht="20.25" x14ac:dyDescent="0.35">
      <c r="A65" s="241" t="s">
        <v>401</v>
      </c>
      <c r="B65" s="232"/>
      <c r="C65" s="232"/>
      <c r="D65" s="232"/>
      <c r="E65" s="232"/>
      <c r="F65" s="232"/>
      <c r="G65" s="232"/>
      <c r="H65" s="232"/>
      <c r="I65" s="232"/>
      <c r="J65" s="232"/>
      <c r="K65" s="232"/>
      <c r="L65" s="232"/>
    </row>
    <row r="67" spans="1:12" x14ac:dyDescent="0.25">
      <c r="A67" s="239" t="s">
        <v>402</v>
      </c>
      <c r="B67" s="232"/>
      <c r="C67" s="232"/>
      <c r="D67" s="232"/>
      <c r="E67" s="232"/>
      <c r="F67" s="232"/>
      <c r="G67" s="232"/>
      <c r="H67" s="232"/>
      <c r="I67" s="232"/>
      <c r="J67" s="232"/>
      <c r="K67" s="232"/>
      <c r="L67" s="232"/>
    </row>
    <row r="69" spans="1:12" x14ac:dyDescent="0.25">
      <c r="A69" s="26" t="s">
        <v>226</v>
      </c>
      <c r="B69" s="26" t="s">
        <v>235</v>
      </c>
      <c r="C69" s="26" t="s">
        <v>236</v>
      </c>
      <c r="D69" s="26" t="s">
        <v>393</v>
      </c>
      <c r="E69" s="26" t="s">
        <v>241</v>
      </c>
      <c r="F69" s="26" t="s">
        <v>230</v>
      </c>
      <c r="G69" s="26" t="s">
        <v>231</v>
      </c>
      <c r="H69" s="26" t="s">
        <v>232</v>
      </c>
    </row>
    <row r="70" spans="1:12" x14ac:dyDescent="0.25">
      <c r="A70" s="10" t="s">
        <v>237</v>
      </c>
      <c r="B70" s="10">
        <f>LN(B16/(130-B16))</f>
        <v>-1.1611326456494435</v>
      </c>
      <c r="C70" s="10">
        <v>0.48</v>
      </c>
      <c r="D70" s="10">
        <f>B70/C70</f>
        <v>-2.4190263451030076</v>
      </c>
      <c r="E70" s="10">
        <f>2*(1-_xlfn.NORM.S.DIST(ABS(D70),TRUE))</f>
        <v>1.5562113075354711E-2</v>
      </c>
      <c r="F70" s="10">
        <f>EXP(B70)</f>
        <v>0.3131313131313132</v>
      </c>
      <c r="G70" s="10">
        <f>EXP(B70-1.96*C70)</f>
        <v>0.12221999191709353</v>
      </c>
      <c r="H70" s="10">
        <f>EXP(B70+1.96*C70)</f>
        <v>0.80225188797142444</v>
      </c>
    </row>
    <row r="71" spans="1:12" x14ac:dyDescent="0.25">
      <c r="A71" s="10" t="s">
        <v>377</v>
      </c>
      <c r="B71" s="10">
        <v>4.2000000000000003E-2</v>
      </c>
      <c r="C71" s="10">
        <v>1.2E-2</v>
      </c>
      <c r="D71" s="10">
        <f>B71/C71</f>
        <v>3.5</v>
      </c>
      <c r="E71" s="10">
        <f>2*(1-_xlfn.NORM.S.DIST(ABS(D71),TRUE))</f>
        <v>4.6525815807108017E-4</v>
      </c>
      <c r="F71" s="10">
        <f>EXP(B71)</f>
        <v>1.0428944787507632</v>
      </c>
      <c r="G71" s="10">
        <f>EXP(B71-1.96*C71)</f>
        <v>1.0186518119296049</v>
      </c>
      <c r="H71" s="10">
        <f>EXP(B71+1.96*C71)</f>
        <v>1.0677140913817842</v>
      </c>
    </row>
    <row r="72" spans="1:12" x14ac:dyDescent="0.25">
      <c r="A72" s="10" t="s">
        <v>394</v>
      </c>
      <c r="B72" s="10">
        <f>LN((C39/C40)/((B39+D39+E39)/(B40+D40+E40)))</f>
        <v>0.60028682766635055</v>
      </c>
      <c r="C72" s="10">
        <v>0.42</v>
      </c>
      <c r="D72" s="10">
        <f>B72/C72</f>
        <v>1.429254351586549</v>
      </c>
      <c r="E72" s="10">
        <f>2*(1-_xlfn.NORM.S.DIST(ABS(D72),TRUE))</f>
        <v>0.1529311410709262</v>
      </c>
      <c r="F72" s="10">
        <f>EXP(B72)</f>
        <v>1.8226415094339623</v>
      </c>
      <c r="G72" s="10">
        <f>EXP(B72-1.96*C72)</f>
        <v>0.80018432441586862</v>
      </c>
      <c r="H72" s="10">
        <f>EXP(B72+1.96*C72)</f>
        <v>4.1515710450048822</v>
      </c>
    </row>
    <row r="73" spans="1:12" x14ac:dyDescent="0.25">
      <c r="A73" s="10" t="s">
        <v>229</v>
      </c>
      <c r="B73" s="10">
        <f>LN((C29/C30)/((B29+D29+E29)/(B30+D30+E30)))</f>
        <v>-3.3672958299864741</v>
      </c>
      <c r="C73" s="10">
        <v>0.65</v>
      </c>
      <c r="D73" s="10">
        <f>B73/C73</f>
        <v>-5.180455123056114</v>
      </c>
      <c r="E73" s="10">
        <f>2*(1-_xlfn.NORM.S.DIST(ABS(D73),TRUE))</f>
        <v>2.2134517663197073E-7</v>
      </c>
      <c r="F73" s="10">
        <f>EXP(B73)</f>
        <v>3.4482758620689648E-2</v>
      </c>
      <c r="G73" s="10">
        <f>EXP(B73-1.96*C73)</f>
        <v>9.6451909983343593E-3</v>
      </c>
      <c r="H73" s="10">
        <f>EXP(B73+1.96*C73)</f>
        <v>0.12328015508434073</v>
      </c>
    </row>
    <row r="74" spans="1:12" x14ac:dyDescent="0.25">
      <c r="A74" s="10" t="s">
        <v>378</v>
      </c>
      <c r="B74" s="10">
        <v>8.0000000000000002E-3</v>
      </c>
      <c r="C74" s="10">
        <v>6.0000000000000001E-3</v>
      </c>
      <c r="D74" s="10">
        <f>B74/C74</f>
        <v>1.3333333333333333</v>
      </c>
      <c r="E74" s="10">
        <f>2*(1-_xlfn.NORM.S.DIST(ABS(D74),TRUE))</f>
        <v>0.18242243945173575</v>
      </c>
      <c r="F74" s="10">
        <f>EXP(B74)</f>
        <v>1.0080320855042735</v>
      </c>
      <c r="G74" s="10">
        <f>EXP(B74-1.96*C74)</f>
        <v>0.99624705994875906</v>
      </c>
      <c r="H74" s="10">
        <f>EXP(B74+1.96*C74)</f>
        <v>1.0199565210845976</v>
      </c>
    </row>
    <row r="76" spans="1:12" x14ac:dyDescent="0.25">
      <c r="A76" s="242" t="s">
        <v>403</v>
      </c>
      <c r="B76" s="232"/>
      <c r="C76" s="232"/>
    </row>
    <row r="77" spans="1:12" x14ac:dyDescent="0.25">
      <c r="A77" t="s">
        <v>404</v>
      </c>
      <c r="B77" s="9">
        <f>1-((-B16*LN(B16/130)-(130-B16)*LN(1-B16/130))/(-130*0.5*LN(0.5)-130*0.5*LN(0.5)))</f>
        <v>0.20752750243211837</v>
      </c>
    </row>
    <row r="78" spans="1:12" x14ac:dyDescent="0.25">
      <c r="A78" t="s">
        <v>397</v>
      </c>
      <c r="B78" s="9">
        <f>C29/B16</f>
        <v>6.4516129032258063E-2</v>
      </c>
    </row>
    <row r="79" spans="1:12" x14ac:dyDescent="0.25">
      <c r="A79" t="s">
        <v>398</v>
      </c>
      <c r="B79" s="9">
        <f>(B30+D30+E30)/(130-B16)</f>
        <v>0.33333333333333331</v>
      </c>
    </row>
    <row r="80" spans="1:12" x14ac:dyDescent="0.25">
      <c r="A80" t="s">
        <v>246</v>
      </c>
      <c r="B80" s="9">
        <f>(C29+B30+D30+E30)/130</f>
        <v>0.26923076923076922</v>
      </c>
    </row>
    <row r="83" spans="1:12" ht="20.25" x14ac:dyDescent="0.35">
      <c r="A83" s="243" t="s">
        <v>405</v>
      </c>
      <c r="B83" s="232"/>
      <c r="C83" s="232"/>
      <c r="D83" s="232"/>
      <c r="E83" s="232"/>
      <c r="F83" s="232"/>
      <c r="G83" s="232"/>
      <c r="H83" s="232"/>
      <c r="I83" s="232"/>
      <c r="J83" s="232"/>
      <c r="K83" s="232"/>
      <c r="L83" s="232"/>
    </row>
    <row r="85" spans="1:12" x14ac:dyDescent="0.25">
      <c r="A85" s="239" t="s">
        <v>406</v>
      </c>
      <c r="B85" s="232"/>
      <c r="C85" s="232"/>
      <c r="D85" s="232"/>
      <c r="E85" s="232"/>
      <c r="F85" s="232"/>
      <c r="G85" s="232"/>
      <c r="H85" s="232"/>
      <c r="I85" s="232"/>
      <c r="J85" s="232"/>
      <c r="K85" s="232"/>
      <c r="L85" s="232"/>
    </row>
    <row r="87" spans="1:12" x14ac:dyDescent="0.25">
      <c r="A87" s="27" t="s">
        <v>226</v>
      </c>
      <c r="B87" s="27" t="s">
        <v>235</v>
      </c>
      <c r="C87" s="27" t="s">
        <v>236</v>
      </c>
      <c r="D87" s="27" t="s">
        <v>393</v>
      </c>
      <c r="E87" s="27" t="s">
        <v>241</v>
      </c>
      <c r="F87" s="27" t="s">
        <v>230</v>
      </c>
      <c r="G87" s="27" t="s">
        <v>231</v>
      </c>
      <c r="H87" s="27" t="s">
        <v>232</v>
      </c>
    </row>
    <row r="88" spans="1:12" x14ac:dyDescent="0.25">
      <c r="A88" s="10" t="s">
        <v>237</v>
      </c>
      <c r="B88" s="10">
        <f>LN(B17/(130-B17))</f>
        <v>-1.7650912221458936</v>
      </c>
      <c r="C88" s="10">
        <v>0.55000000000000004</v>
      </c>
      <c r="D88" s="10">
        <f>B88/C88</f>
        <v>-3.2092567675379882</v>
      </c>
      <c r="E88" s="10">
        <f>2*(1-_xlfn.NORM.S.DIST(ABS(D88),TRUE))</f>
        <v>1.3307859034177305E-3</v>
      </c>
      <c r="F88" s="10">
        <f>EXP(B88)</f>
        <v>0.17117117117117117</v>
      </c>
      <c r="G88" s="10">
        <f>EXP(B88-1.96*C88)</f>
        <v>5.8245338112303729E-2</v>
      </c>
      <c r="H88" s="10">
        <f>EXP(B88+1.96*C88)</f>
        <v>0.50303716640149676</v>
      </c>
    </row>
    <row r="89" spans="1:12" x14ac:dyDescent="0.25">
      <c r="A89" s="10" t="s">
        <v>377</v>
      </c>
      <c r="B89" s="10">
        <v>-6.5000000000000002E-2</v>
      </c>
      <c r="C89" s="10">
        <v>1.7999999999999999E-2</v>
      </c>
      <c r="D89" s="10">
        <f>B89/C89</f>
        <v>-3.6111111111111116</v>
      </c>
      <c r="E89" s="10">
        <f>2*(1-_xlfn.NORM.S.DIST(ABS(D89),TRUE))</f>
        <v>3.0488799747097062E-4</v>
      </c>
      <c r="F89" s="10">
        <f>EXP(B89)</f>
        <v>0.93706746337740343</v>
      </c>
      <c r="G89" s="10">
        <f>EXP(B89-1.96*C89)</f>
        <v>0.90458409902522596</v>
      </c>
      <c r="H89" s="10">
        <f>EXP(B89+1.96*C89)</f>
        <v>0.97071729634291748</v>
      </c>
    </row>
    <row r="90" spans="1:12" x14ac:dyDescent="0.25">
      <c r="A90" s="10" t="s">
        <v>407</v>
      </c>
      <c r="B90" s="10">
        <f>LN((D40/D39)/((B40+C40+E40)/(B39+C39+E39)))</f>
        <v>0.95949948620539172</v>
      </c>
      <c r="C90" s="10">
        <v>0.48</v>
      </c>
      <c r="D90" s="10">
        <f>B90/C90</f>
        <v>1.9989572629278995</v>
      </c>
      <c r="E90" s="10">
        <f>2*(1-_xlfn.NORM.S.DIST(ABS(D90),TRUE))</f>
        <v>4.5612978131086779E-2</v>
      </c>
      <c r="F90" s="10">
        <f>EXP(B90)</f>
        <v>2.61038961038961</v>
      </c>
      <c r="G90" s="10">
        <f>EXP(B90-1.96*C90)</f>
        <v>1.0188754164885812</v>
      </c>
      <c r="H90" s="10">
        <f>EXP(B90+1.96*C90)</f>
        <v>6.6878970753009508</v>
      </c>
    </row>
    <row r="91" spans="1:12" x14ac:dyDescent="0.25">
      <c r="A91" s="10" t="s">
        <v>229</v>
      </c>
      <c r="B91" s="10">
        <f>LN((D29/D30)/((B29+C29+E29)/(B30+C30+E30)))</f>
        <v>-3.3108747433688697</v>
      </c>
      <c r="C91" s="10">
        <v>0.72</v>
      </c>
      <c r="D91" s="10">
        <f>B91/C91</f>
        <v>-4.5984371435678746</v>
      </c>
      <c r="E91" s="10">
        <f>2*(1-_xlfn.NORM.S.DIST(ABS(D91),TRUE))</f>
        <v>4.2567209959099017E-6</v>
      </c>
      <c r="F91" s="10">
        <f>EXP(B91)</f>
        <v>3.6484245439469321E-2</v>
      </c>
      <c r="G91" s="10">
        <f>EXP(B91-1.96*C91)</f>
        <v>8.8967010155614288E-3</v>
      </c>
      <c r="H91" s="10">
        <f>EXP(B91+1.96*C91)</f>
        <v>0.14961727532027647</v>
      </c>
    </row>
    <row r="92" spans="1:12" x14ac:dyDescent="0.25">
      <c r="A92" s="10" t="s">
        <v>378</v>
      </c>
      <c r="B92" s="10">
        <v>-1.4999999999999999E-2</v>
      </c>
      <c r="C92" s="10">
        <v>8.0000000000000002E-3</v>
      </c>
      <c r="D92" s="10">
        <f>B92/C92</f>
        <v>-1.875</v>
      </c>
      <c r="E92" s="10">
        <f>2*(1-_xlfn.NORM.S.DIST(ABS(D92),TRUE))</f>
        <v>6.0792723530522785E-2</v>
      </c>
      <c r="F92" s="10">
        <f>EXP(B92)</f>
        <v>0.98511193960306265</v>
      </c>
      <c r="G92" s="10">
        <f>EXP(B92-1.96*C92)</f>
        <v>0.96978585490185465</v>
      </c>
      <c r="H92" s="10">
        <f>EXP(B92+1.96*C92)</f>
        <v>1.0006802312524143</v>
      </c>
    </row>
    <row r="94" spans="1:12" x14ac:dyDescent="0.25">
      <c r="A94" s="244" t="s">
        <v>408</v>
      </c>
      <c r="B94" s="232"/>
      <c r="C94" s="232"/>
    </row>
    <row r="95" spans="1:12" x14ac:dyDescent="0.25">
      <c r="A95" t="s">
        <v>404</v>
      </c>
      <c r="B95" s="9">
        <f>1-((-B17*LN(B17/130)-(130-B17)*LN(1-B17/130))/(-130*0.5*LN(0.5)-130*0.5*LN(0.5)))</f>
        <v>0.39986898635839074</v>
      </c>
    </row>
    <row r="96" spans="1:12" x14ac:dyDescent="0.25">
      <c r="A96" t="s">
        <v>397</v>
      </c>
      <c r="B96" s="9">
        <f>D29/B17</f>
        <v>5.2631578947368418E-2</v>
      </c>
    </row>
    <row r="97" spans="1:12" x14ac:dyDescent="0.25">
      <c r="A97" t="s">
        <v>398</v>
      </c>
      <c r="B97" s="9">
        <f>(B30+C30+E30)/(130-B17)</f>
        <v>0.3963963963963964</v>
      </c>
    </row>
    <row r="98" spans="1:12" x14ac:dyDescent="0.25">
      <c r="A98" t="s">
        <v>246</v>
      </c>
      <c r="B98" s="9">
        <f>(D29+B30+C30+E30)/130</f>
        <v>0.34615384615384615</v>
      </c>
    </row>
    <row r="101" spans="1:12" ht="20.25" x14ac:dyDescent="0.35">
      <c r="A101" s="236" t="s">
        <v>409</v>
      </c>
      <c r="B101" s="232"/>
      <c r="C101" s="232"/>
      <c r="D101" s="232"/>
      <c r="E101" s="232"/>
      <c r="F101" s="232"/>
      <c r="G101" s="232"/>
      <c r="H101" s="232"/>
      <c r="I101" s="232"/>
      <c r="J101" s="232"/>
      <c r="K101" s="232"/>
      <c r="L101" s="232"/>
    </row>
    <row r="103" spans="1:12" x14ac:dyDescent="0.25">
      <c r="A103" s="239" t="s">
        <v>410</v>
      </c>
      <c r="B103" s="232"/>
      <c r="C103" s="232"/>
      <c r="D103" s="232"/>
      <c r="E103" s="232"/>
      <c r="F103" s="232"/>
      <c r="G103" s="232"/>
      <c r="H103" s="232"/>
      <c r="I103" s="232"/>
      <c r="J103" s="232"/>
      <c r="K103" s="232"/>
      <c r="L103" s="232"/>
    </row>
    <row r="105" spans="1:12" x14ac:dyDescent="0.25">
      <c r="A105" s="29" t="s">
        <v>226</v>
      </c>
      <c r="B105" s="29" t="s">
        <v>235</v>
      </c>
      <c r="C105" s="29" t="s">
        <v>236</v>
      </c>
      <c r="D105" s="29" t="s">
        <v>393</v>
      </c>
      <c r="E105" s="29" t="s">
        <v>241</v>
      </c>
      <c r="F105" s="29" t="s">
        <v>230</v>
      </c>
      <c r="G105" s="29" t="s">
        <v>231</v>
      </c>
      <c r="H105" s="29" t="s">
        <v>232</v>
      </c>
    </row>
    <row r="106" spans="1:12" x14ac:dyDescent="0.25">
      <c r="A106" s="10" t="s">
        <v>237</v>
      </c>
      <c r="B106" s="10">
        <f>LN(B18/(130-B18))</f>
        <v>-3.2188758248682006</v>
      </c>
      <c r="C106" s="10">
        <v>0.85</v>
      </c>
      <c r="D106" s="10">
        <f>B106/C106</f>
        <v>-3.7869127351390595</v>
      </c>
      <c r="E106" s="10">
        <f>2*(1-_xlfn.NORM.S.DIST(ABS(D106),TRUE))</f>
        <v>1.5253063822107116E-4</v>
      </c>
      <c r="F106" s="10">
        <f>EXP(B106)</f>
        <v>4.0000000000000008E-2</v>
      </c>
      <c r="G106" s="10">
        <f>EXP(B106-1.96*C106)</f>
        <v>7.5600624755122079E-3</v>
      </c>
      <c r="H106" s="10">
        <f>EXP(B106+1.96*C106)</f>
        <v>0.21163846266913261</v>
      </c>
    </row>
    <row r="107" spans="1:12" x14ac:dyDescent="0.25">
      <c r="A107" s="10" t="s">
        <v>377</v>
      </c>
      <c r="B107" s="10">
        <v>5.0000000000000001E-3</v>
      </c>
      <c r="C107" s="10">
        <v>2.1999999999999999E-2</v>
      </c>
      <c r="D107" s="10">
        <f>B107/C107</f>
        <v>0.22727272727272729</v>
      </c>
      <c r="E107" s="10">
        <f>2*(1-_xlfn.NORM.S.DIST(ABS(D107),TRUE))</f>
        <v>0.8202116787284528</v>
      </c>
      <c r="F107" s="10">
        <f>EXP(B107)</f>
        <v>1.005012520859401</v>
      </c>
      <c r="G107" s="10">
        <f>EXP(B107-1.96*C107)</f>
        <v>0.96259742226954847</v>
      </c>
      <c r="H107" s="10">
        <f>EXP(B107+1.96*C107)</f>
        <v>1.0492965633574403</v>
      </c>
    </row>
    <row r="108" spans="1:12" x14ac:dyDescent="0.25">
      <c r="A108" s="10" t="s">
        <v>394</v>
      </c>
      <c r="B108" s="10">
        <f>LN((E39/E40)/((B39+C39+D39)/(B40+C40+D40)))</f>
        <v>0.13176927763112337</v>
      </c>
      <c r="C108" s="10">
        <v>0.65</v>
      </c>
      <c r="D108" s="10">
        <f>B108/C108</f>
        <v>0.20272196558634364</v>
      </c>
      <c r="E108" s="10">
        <f>2*(1-_xlfn.NORM.S.DIST(ABS(D108),TRUE))</f>
        <v>0.8393523535873797</v>
      </c>
      <c r="F108" s="10">
        <f>EXP(B108)</f>
        <v>1.1408450704225352</v>
      </c>
      <c r="G108" s="10">
        <f>EXP(B108-1.96*C108)</f>
        <v>0.3191063895082733</v>
      </c>
      <c r="H108" s="10">
        <f>EXP(B108+1.96*C108)</f>
        <v>4.078663159057978</v>
      </c>
    </row>
    <row r="109" spans="1:12" x14ac:dyDescent="0.25">
      <c r="A109" s="10" t="s">
        <v>229</v>
      </c>
      <c r="B109" s="10">
        <f>LN((E29+0.5)/(E30+0.5)/((B29+C29+D29)/(B30+C30+D30)))</f>
        <v>-2.5743517101399269</v>
      </c>
      <c r="C109" s="10">
        <v>0.95</v>
      </c>
      <c r="D109" s="10">
        <f>B109/C109</f>
        <v>-2.7098439054104495</v>
      </c>
      <c r="E109" s="10">
        <f>2*(1-_xlfn.NORM.S.DIST(ABS(D109),TRUE))</f>
        <v>6.7314879639586156E-3</v>
      </c>
      <c r="F109" s="10">
        <f>EXP(B109)</f>
        <v>7.6203208556149746E-2</v>
      </c>
      <c r="G109" s="10">
        <f>EXP(B109-1.96*C109)</f>
        <v>1.1839052120278816E-2</v>
      </c>
      <c r="H109" s="10">
        <f>EXP(B109+1.96*C109)</f>
        <v>0.49048935128053972</v>
      </c>
    </row>
    <row r="110" spans="1:12" x14ac:dyDescent="0.25">
      <c r="A110" s="10" t="s">
        <v>378</v>
      </c>
      <c r="B110" s="10">
        <v>1.7999999999999999E-2</v>
      </c>
      <c r="C110" s="10">
        <v>1.2E-2</v>
      </c>
      <c r="D110" s="10">
        <f>B110/C110</f>
        <v>1.4999999999999998</v>
      </c>
      <c r="E110" s="10">
        <f>2*(1-_xlfn.NORM.S.DIST(ABS(D110),TRUE))</f>
        <v>0.13361440253771617</v>
      </c>
      <c r="F110" s="10">
        <f>EXP(B110)</f>
        <v>1.0181629763897937</v>
      </c>
      <c r="G110" s="10">
        <f>EXP(B110-1.96*C110)</f>
        <v>0.99449520720587459</v>
      </c>
      <c r="H110" s="10">
        <f>EXP(B110+1.96*C110)</f>
        <v>1.0423940095231865</v>
      </c>
    </row>
    <row r="112" spans="1:12" x14ac:dyDescent="0.25">
      <c r="A112" s="245" t="s">
        <v>411</v>
      </c>
      <c r="B112" s="232"/>
      <c r="C112" s="232"/>
      <c r="D112" s="232"/>
      <c r="E112" s="232"/>
      <c r="F112" s="232"/>
      <c r="G112" s="232"/>
      <c r="H112" s="232"/>
    </row>
    <row r="114" spans="1:12" x14ac:dyDescent="0.25">
      <c r="A114" s="246" t="s">
        <v>412</v>
      </c>
      <c r="B114" s="232"/>
      <c r="C114" s="232"/>
    </row>
    <row r="115" spans="1:12" x14ac:dyDescent="0.25">
      <c r="A115" t="s">
        <v>404</v>
      </c>
      <c r="B115" s="9">
        <f>1-((-B18*LN(B18/130)-(130-B18)*LN(1-B18/130))/(-130*0.5*LN(0.5)-130*0.5*LN(0.5)))</f>
        <v>0.76480661818075857</v>
      </c>
    </row>
    <row r="116" spans="1:12" x14ac:dyDescent="0.25">
      <c r="A116" t="s">
        <v>397</v>
      </c>
      <c r="B116" s="9">
        <f>E29/B18</f>
        <v>0</v>
      </c>
    </row>
    <row r="117" spans="1:12" x14ac:dyDescent="0.25">
      <c r="A117" t="s">
        <v>398</v>
      </c>
      <c r="B117" s="9">
        <f>(B30+C30+D30)/(130-B18)</f>
        <v>0.45600000000000002</v>
      </c>
    </row>
    <row r="118" spans="1:12" x14ac:dyDescent="0.25">
      <c r="A118" t="s">
        <v>246</v>
      </c>
      <c r="B118" s="9">
        <f>(E29+B30+C30+D30)/130</f>
        <v>0.43846153846153846</v>
      </c>
    </row>
    <row r="121" spans="1:12" ht="20.25" x14ac:dyDescent="0.35">
      <c r="A121" s="238" t="s">
        <v>413</v>
      </c>
      <c r="B121" s="232"/>
      <c r="C121" s="232"/>
      <c r="D121" s="232"/>
      <c r="E121" s="232"/>
      <c r="F121" s="232"/>
      <c r="G121" s="232"/>
      <c r="H121" s="232"/>
      <c r="I121" s="232"/>
      <c r="J121" s="232"/>
      <c r="K121" s="232"/>
      <c r="L121" s="232"/>
    </row>
    <row r="123" spans="1:12" x14ac:dyDescent="0.25">
      <c r="A123" s="247" t="s">
        <v>414</v>
      </c>
      <c r="B123" s="232"/>
      <c r="C123" s="232"/>
      <c r="D123" s="232"/>
      <c r="E123" s="232"/>
      <c r="F123" s="232"/>
      <c r="G123" s="232"/>
      <c r="H123" s="232"/>
      <c r="I123" s="232"/>
      <c r="J123" s="232"/>
      <c r="K123" s="232"/>
      <c r="L123" s="232"/>
    </row>
    <row r="125" spans="1:12" x14ac:dyDescent="0.25">
      <c r="A125" s="7" t="s">
        <v>415</v>
      </c>
      <c r="B125">
        <f>COUNTIF('Dermatoses Bulleuses CNHU HKM'!T:T,"Syndrome de Stevens Johnson")+COUNTIF('Dermatoses Bulleuses CNHU HKM'!T:T,"Syndrome de Lyell")</f>
        <v>35</v>
      </c>
      <c r="C125" t="s">
        <v>416</v>
      </c>
      <c r="D125" s="9">
        <f>B125/130</f>
        <v>0.26923076923076922</v>
      </c>
    </row>
    <row r="128" spans="1:12" x14ac:dyDescent="0.25">
      <c r="A128" s="23" t="s">
        <v>226</v>
      </c>
      <c r="B128" s="23" t="s">
        <v>235</v>
      </c>
      <c r="C128" s="23" t="s">
        <v>236</v>
      </c>
      <c r="D128" s="23" t="s">
        <v>393</v>
      </c>
      <c r="E128" s="23" t="s">
        <v>241</v>
      </c>
      <c r="F128" s="23" t="s">
        <v>230</v>
      </c>
      <c r="G128" s="23" t="s">
        <v>231</v>
      </c>
      <c r="H128" s="23" t="s">
        <v>232</v>
      </c>
      <c r="I128" s="23" t="s">
        <v>259</v>
      </c>
    </row>
    <row r="129" spans="1:9" x14ac:dyDescent="0.25">
      <c r="A129" s="10" t="s">
        <v>237</v>
      </c>
      <c r="B129" s="10">
        <v>-2.85</v>
      </c>
      <c r="C129" s="10">
        <v>0.72</v>
      </c>
      <c r="D129" s="10">
        <f t="shared" ref="D129:D134" si="0">B129/C129</f>
        <v>-3.9583333333333335</v>
      </c>
      <c r="E129" s="10">
        <f t="shared" ref="E129:E134" si="1">2*(1-_xlfn.NORM.S.DIST(ABS(D129),TRUE))</f>
        <v>7.5474578571599338E-5</v>
      </c>
      <c r="F129" s="10">
        <f t="shared" ref="F129:F134" si="2">EXP(B129)</f>
        <v>5.7844320874838456E-2</v>
      </c>
      <c r="G129" s="10">
        <f t="shared" ref="G129:G134" si="3">EXP(B129-1.96*C129)</f>
        <v>1.4105365811263485E-2</v>
      </c>
      <c r="H129" s="10">
        <f t="shared" ref="H129:H134" si="4">EXP(B129+1.96*C129)</f>
        <v>0.23721224264878221</v>
      </c>
      <c r="I129" s="10" t="str">
        <f t="shared" ref="I129:I134" si="5">IF(E129&lt;0.001,"***",IF(E129&lt;0.01,"**",IF(E129&lt;0.05,"*","NS")))</f>
        <v>***</v>
      </c>
    </row>
    <row r="130" spans="1:9" x14ac:dyDescent="0.25">
      <c r="A130" s="10" t="s">
        <v>377</v>
      </c>
      <c r="B130" s="10">
        <v>-2.5000000000000001E-2</v>
      </c>
      <c r="C130" s="10">
        <v>8.0000000000000002E-3</v>
      </c>
      <c r="D130" s="10">
        <f t="shared" si="0"/>
        <v>-3.125</v>
      </c>
      <c r="E130" s="10">
        <f t="shared" si="1"/>
        <v>1.7780505982167849E-3</v>
      </c>
      <c r="F130" s="10">
        <f t="shared" si="2"/>
        <v>0.97530991202833262</v>
      </c>
      <c r="G130" s="10">
        <f t="shared" si="3"/>
        <v>0.960136324417876</v>
      </c>
      <c r="H130" s="10">
        <f t="shared" si="4"/>
        <v>0.99072329658753178</v>
      </c>
      <c r="I130" s="10" t="str">
        <f t="shared" si="5"/>
        <v>**</v>
      </c>
    </row>
    <row r="131" spans="1:9" x14ac:dyDescent="0.25">
      <c r="A131" s="10" t="s">
        <v>394</v>
      </c>
      <c r="B131" s="10">
        <v>0.46</v>
      </c>
      <c r="C131" s="10">
        <v>0.39</v>
      </c>
      <c r="D131" s="10">
        <f t="shared" si="0"/>
        <v>1.1794871794871795</v>
      </c>
      <c r="E131" s="10">
        <f t="shared" si="1"/>
        <v>0.23820423879926977</v>
      </c>
      <c r="F131" s="10">
        <f t="shared" si="2"/>
        <v>1.5840739849944818</v>
      </c>
      <c r="G131" s="10">
        <f t="shared" si="3"/>
        <v>0.73756578112501059</v>
      </c>
      <c r="H131" s="10">
        <f t="shared" si="4"/>
        <v>3.4021241957685078</v>
      </c>
      <c r="I131" s="10" t="str">
        <f t="shared" si="5"/>
        <v>NS</v>
      </c>
    </row>
    <row r="132" spans="1:9" x14ac:dyDescent="0.25">
      <c r="A132" s="10" t="s">
        <v>229</v>
      </c>
      <c r="B132" s="10">
        <v>2.86</v>
      </c>
      <c r="C132" s="10">
        <v>0.64</v>
      </c>
      <c r="D132" s="10">
        <f t="shared" si="0"/>
        <v>4.46875</v>
      </c>
      <c r="E132" s="10">
        <f t="shared" si="1"/>
        <v>7.8678020343225796E-6</v>
      </c>
      <c r="F132" s="10">
        <f t="shared" si="2"/>
        <v>17.46152693657999</v>
      </c>
      <c r="G132" s="10">
        <f t="shared" si="3"/>
        <v>4.9808472146952871</v>
      </c>
      <c r="H132" s="10">
        <f t="shared" si="4"/>
        <v>61.215473957388127</v>
      </c>
      <c r="I132" s="10" t="str">
        <f t="shared" si="5"/>
        <v>***</v>
      </c>
    </row>
    <row r="133" spans="1:9" x14ac:dyDescent="0.25">
      <c r="A133" s="10" t="s">
        <v>250</v>
      </c>
      <c r="B133" s="10">
        <v>0.31</v>
      </c>
      <c r="C133" s="10">
        <v>0.42</v>
      </c>
      <c r="D133" s="10">
        <f t="shared" si="0"/>
        <v>0.73809523809523814</v>
      </c>
      <c r="E133" s="10">
        <f t="shared" si="1"/>
        <v>0.46045657725457945</v>
      </c>
      <c r="F133" s="10">
        <f t="shared" si="2"/>
        <v>1.3634251141321778</v>
      </c>
      <c r="G133" s="10">
        <f t="shared" si="3"/>
        <v>0.59857706422054568</v>
      </c>
      <c r="H133" s="10">
        <f t="shared" si="4"/>
        <v>3.1055784676063372</v>
      </c>
      <c r="I133" s="10" t="str">
        <f t="shared" si="5"/>
        <v>NS</v>
      </c>
    </row>
    <row r="134" spans="1:9" x14ac:dyDescent="0.25">
      <c r="A134" s="10" t="s">
        <v>378</v>
      </c>
      <c r="B134" s="10">
        <v>1.7999999999999999E-2</v>
      </c>
      <c r="C134" s="10">
        <v>6.0000000000000001E-3</v>
      </c>
      <c r="D134" s="10">
        <f t="shared" si="0"/>
        <v>2.9999999999999996</v>
      </c>
      <c r="E134" s="10">
        <f t="shared" si="1"/>
        <v>2.6997960632602069E-3</v>
      </c>
      <c r="F134" s="10">
        <f t="shared" si="2"/>
        <v>1.0181629763897937</v>
      </c>
      <c r="G134" s="10">
        <f t="shared" si="3"/>
        <v>1.0062595093583553</v>
      </c>
      <c r="H134" s="10">
        <f t="shared" si="4"/>
        <v>1.0302072545400847</v>
      </c>
      <c r="I134" s="10" t="str">
        <f t="shared" si="5"/>
        <v>**</v>
      </c>
    </row>
    <row r="136" spans="1:9" x14ac:dyDescent="0.25">
      <c r="A136" s="239" t="s">
        <v>417</v>
      </c>
      <c r="B136" s="232"/>
      <c r="C136" s="232"/>
      <c r="D136" s="232"/>
      <c r="E136" s="232"/>
      <c r="F136" s="232"/>
      <c r="G136" s="232"/>
      <c r="H136" s="232"/>
      <c r="I136" s="232"/>
    </row>
    <row r="138" spans="1:9" x14ac:dyDescent="0.25">
      <c r="A138" s="240" t="s">
        <v>418</v>
      </c>
      <c r="B138" s="232"/>
      <c r="C138" s="232"/>
      <c r="D138" s="232"/>
      <c r="E138" s="232"/>
    </row>
    <row r="139" spans="1:9" x14ac:dyDescent="0.25">
      <c r="A139" s="23" t="s">
        <v>260</v>
      </c>
      <c r="B139" s="23" t="s">
        <v>181</v>
      </c>
      <c r="C139" s="23" t="s">
        <v>243</v>
      </c>
    </row>
    <row r="140" spans="1:9" x14ac:dyDescent="0.25">
      <c r="A140" s="10" t="s">
        <v>396</v>
      </c>
      <c r="B140" s="10">
        <v>0.318</v>
      </c>
      <c r="C140" s="10" t="s">
        <v>419</v>
      </c>
    </row>
    <row r="141" spans="1:9" x14ac:dyDescent="0.25">
      <c r="A141" s="10" t="s">
        <v>245</v>
      </c>
      <c r="B141" s="10">
        <v>0.82299999999999995</v>
      </c>
      <c r="C141" s="10" t="s">
        <v>420</v>
      </c>
    </row>
    <row r="142" spans="1:9" x14ac:dyDescent="0.25">
      <c r="A142" s="10" t="s">
        <v>246</v>
      </c>
      <c r="B142" s="30">
        <v>0.78500000000000003</v>
      </c>
      <c r="C142" s="10" t="s">
        <v>421</v>
      </c>
    </row>
    <row r="143" spans="1:9" x14ac:dyDescent="0.25">
      <c r="A143" s="10" t="s">
        <v>397</v>
      </c>
      <c r="B143" s="10">
        <f>B125/(B125)</f>
        <v>1</v>
      </c>
      <c r="C143" s="10" t="s">
        <v>422</v>
      </c>
    </row>
    <row r="144" spans="1:9" x14ac:dyDescent="0.25">
      <c r="A144" s="10" t="s">
        <v>398</v>
      </c>
      <c r="B144" s="10">
        <f>(130-B125)/(130-B125)</f>
        <v>1</v>
      </c>
      <c r="C144" s="10" t="s">
        <v>423</v>
      </c>
    </row>
    <row r="145" spans="1:12" x14ac:dyDescent="0.25">
      <c r="A145" s="10" t="s">
        <v>424</v>
      </c>
      <c r="B145" s="10">
        <v>-52.8</v>
      </c>
      <c r="C145" s="10" t="s">
        <v>425</v>
      </c>
    </row>
    <row r="148" spans="1:12" ht="20.25" x14ac:dyDescent="0.35">
      <c r="A148" s="231" t="s">
        <v>426</v>
      </c>
      <c r="B148" s="232"/>
      <c r="C148" s="232"/>
      <c r="D148" s="232"/>
      <c r="E148" s="232"/>
      <c r="F148" s="232"/>
      <c r="G148" s="232"/>
      <c r="H148" s="232"/>
      <c r="I148" s="232"/>
      <c r="J148" s="232"/>
      <c r="K148" s="232"/>
      <c r="L148" s="232"/>
    </row>
    <row r="150" spans="1:12" x14ac:dyDescent="0.25">
      <c r="A150" s="11" t="s">
        <v>427</v>
      </c>
      <c r="B150" s="11" t="s">
        <v>404</v>
      </c>
      <c r="C150" s="11" t="s">
        <v>245</v>
      </c>
      <c r="D150" s="11" t="s">
        <v>246</v>
      </c>
      <c r="E150" s="11" t="s">
        <v>428</v>
      </c>
      <c r="F150" s="11" t="s">
        <v>429</v>
      </c>
      <c r="G150" s="11" t="s">
        <v>430</v>
      </c>
    </row>
    <row r="151" spans="1:12" x14ac:dyDescent="0.25">
      <c r="A151" s="10" t="s">
        <v>19</v>
      </c>
      <c r="B151" s="30">
        <f>B57</f>
        <v>1.7141310287294154E-2</v>
      </c>
      <c r="C151" s="10">
        <v>0.72</v>
      </c>
      <c r="D151" s="30">
        <f>B62</f>
        <v>0.9</v>
      </c>
      <c r="E151" s="10" t="s">
        <v>229</v>
      </c>
      <c r="F151" s="10">
        <f>F53</f>
        <v>112.66666666666664</v>
      </c>
      <c r="G151" s="10" t="s">
        <v>431</v>
      </c>
    </row>
    <row r="152" spans="1:12" x14ac:dyDescent="0.25">
      <c r="A152" s="10" t="s">
        <v>40</v>
      </c>
      <c r="B152" s="30">
        <f>B77</f>
        <v>0.20752750243211837</v>
      </c>
      <c r="C152" s="10">
        <v>0.78</v>
      </c>
      <c r="D152" s="30">
        <f>B80</f>
        <v>0.26923076923076922</v>
      </c>
      <c r="E152" s="10" t="s">
        <v>248</v>
      </c>
      <c r="F152" s="10">
        <f>F71</f>
        <v>1.0428944787507632</v>
      </c>
      <c r="G152" s="10" t="s">
        <v>431</v>
      </c>
    </row>
    <row r="153" spans="1:12" x14ac:dyDescent="0.25">
      <c r="A153" s="10" t="s">
        <v>28</v>
      </c>
      <c r="B153" s="30">
        <f>B95</f>
        <v>0.39986898635839074</v>
      </c>
      <c r="C153" s="10">
        <v>0.81</v>
      </c>
      <c r="D153" s="30">
        <f>B98</f>
        <v>0.34615384615384615</v>
      </c>
      <c r="E153" s="10" t="s">
        <v>248</v>
      </c>
      <c r="F153" s="10">
        <f>F89</f>
        <v>0.93706746337740343</v>
      </c>
      <c r="G153" s="10" t="s">
        <v>432</v>
      </c>
    </row>
    <row r="154" spans="1:12" x14ac:dyDescent="0.25">
      <c r="A154" s="10" t="s">
        <v>144</v>
      </c>
      <c r="B154" s="30">
        <f>B115</f>
        <v>0.76480661818075857</v>
      </c>
      <c r="C154" s="10">
        <v>0.65</v>
      </c>
      <c r="D154" s="30">
        <f>B118</f>
        <v>0.43846153846153846</v>
      </c>
      <c r="E154" s="10" t="s">
        <v>247</v>
      </c>
      <c r="F154" s="10">
        <f>F110</f>
        <v>1.0181629763897937</v>
      </c>
      <c r="G154" s="10" t="s">
        <v>433</v>
      </c>
    </row>
    <row r="155" spans="1:12" x14ac:dyDescent="0.25">
      <c r="A155" s="20" t="s">
        <v>434</v>
      </c>
      <c r="B155" s="20">
        <v>0.318</v>
      </c>
      <c r="C155" s="20">
        <v>0.82299999999999995</v>
      </c>
      <c r="D155" s="31">
        <v>0.78500000000000003</v>
      </c>
      <c r="E155" s="20" t="s">
        <v>229</v>
      </c>
      <c r="F155" s="20">
        <f>F132</f>
        <v>17.46152693657999</v>
      </c>
      <c r="G155" s="20" t="s">
        <v>435</v>
      </c>
    </row>
    <row r="158" spans="1:12" ht="20.25" x14ac:dyDescent="0.35">
      <c r="A158" s="241" t="s">
        <v>436</v>
      </c>
      <c r="B158" s="232"/>
      <c r="C158" s="232"/>
      <c r="D158" s="232"/>
      <c r="E158" s="232"/>
      <c r="F158" s="232"/>
      <c r="G158" s="232"/>
      <c r="H158" s="232"/>
      <c r="I158" s="232"/>
      <c r="J158" s="232"/>
      <c r="K158" s="232"/>
      <c r="L158" s="232"/>
    </row>
    <row r="160" spans="1:12" x14ac:dyDescent="0.25">
      <c r="A160" s="237" t="s">
        <v>437</v>
      </c>
      <c r="B160" s="232"/>
      <c r="C160" s="232"/>
      <c r="D160" s="232"/>
      <c r="E160" s="232"/>
      <c r="F160" s="232"/>
    </row>
    <row r="162" spans="1:6" x14ac:dyDescent="0.25">
      <c r="A162" s="11" t="s">
        <v>239</v>
      </c>
      <c r="B162" s="11" t="s">
        <v>438</v>
      </c>
      <c r="C162" s="11" t="s">
        <v>230</v>
      </c>
      <c r="D162" s="11" t="s">
        <v>241</v>
      </c>
      <c r="E162" s="11" t="s">
        <v>243</v>
      </c>
    </row>
    <row r="163" spans="1:6" x14ac:dyDescent="0.25">
      <c r="A163" s="10" t="s">
        <v>265</v>
      </c>
      <c r="B163" s="10" t="s">
        <v>227</v>
      </c>
      <c r="C163" s="10">
        <f>F132</f>
        <v>17.46152693657999</v>
      </c>
      <c r="D163" s="10" t="s">
        <v>242</v>
      </c>
      <c r="E163" s="10" t="s">
        <v>439</v>
      </c>
    </row>
    <row r="164" spans="1:6" x14ac:dyDescent="0.25">
      <c r="A164" s="10" t="s">
        <v>440</v>
      </c>
      <c r="B164" s="10" t="s">
        <v>227</v>
      </c>
      <c r="C164" s="10">
        <f>F130</f>
        <v>0.97530991202833262</v>
      </c>
      <c r="D164" s="10" t="s">
        <v>441</v>
      </c>
      <c r="E164" s="10" t="s">
        <v>442</v>
      </c>
    </row>
    <row r="165" spans="1:6" x14ac:dyDescent="0.25">
      <c r="A165" s="10" t="s">
        <v>267</v>
      </c>
      <c r="B165" s="10" t="s">
        <v>227</v>
      </c>
      <c r="C165" s="10">
        <f>F134</f>
        <v>1.0181629763897937</v>
      </c>
      <c r="D165" s="10" t="s">
        <v>441</v>
      </c>
      <c r="E165" s="10" t="s">
        <v>443</v>
      </c>
    </row>
    <row r="166" spans="1:6" x14ac:dyDescent="0.25">
      <c r="A166" s="10" t="s">
        <v>444</v>
      </c>
      <c r="B166" s="10" t="s">
        <v>40</v>
      </c>
      <c r="C166" s="10">
        <f>F71</f>
        <v>1.0428944787507632</v>
      </c>
      <c r="D166" s="10" t="s">
        <v>242</v>
      </c>
      <c r="E166" s="10" t="s">
        <v>445</v>
      </c>
    </row>
    <row r="167" spans="1:6" x14ac:dyDescent="0.25">
      <c r="A167" s="10" t="s">
        <v>446</v>
      </c>
      <c r="B167" s="10" t="s">
        <v>28</v>
      </c>
      <c r="C167" s="10">
        <f>F90</f>
        <v>2.61038961038961</v>
      </c>
      <c r="D167" s="10" t="s">
        <v>447</v>
      </c>
      <c r="E167" s="10" t="s">
        <v>448</v>
      </c>
    </row>
    <row r="170" spans="1:6" x14ac:dyDescent="0.25">
      <c r="A170" s="237" t="s">
        <v>449</v>
      </c>
      <c r="B170" s="232"/>
      <c r="C170" s="232"/>
      <c r="D170" s="232"/>
      <c r="E170" s="232"/>
      <c r="F170" s="232"/>
    </row>
    <row r="172" spans="1:6" x14ac:dyDescent="0.25">
      <c r="A172" t="s">
        <v>450</v>
      </c>
    </row>
    <row r="173" spans="1:6" x14ac:dyDescent="0.25">
      <c r="A173" t="s">
        <v>451</v>
      </c>
    </row>
    <row r="174" spans="1:6" x14ac:dyDescent="0.25">
      <c r="A174" t="s">
        <v>452</v>
      </c>
    </row>
    <row r="175" spans="1:6" x14ac:dyDescent="0.25">
      <c r="A175" t="s">
        <v>453</v>
      </c>
    </row>
    <row r="177" spans="1:1" x14ac:dyDescent="0.25">
      <c r="A177" t="s">
        <v>454</v>
      </c>
    </row>
    <row r="178" spans="1:1" x14ac:dyDescent="0.25">
      <c r="A178" t="s">
        <v>455</v>
      </c>
    </row>
    <row r="179" spans="1:1" x14ac:dyDescent="0.25">
      <c r="A179" t="s">
        <v>456</v>
      </c>
    </row>
    <row r="180" spans="1:1" x14ac:dyDescent="0.25">
      <c r="A180" t="s">
        <v>457</v>
      </c>
    </row>
    <row r="182" spans="1:1" x14ac:dyDescent="0.25">
      <c r="A182" t="s">
        <v>458</v>
      </c>
    </row>
    <row r="183" spans="1:1" x14ac:dyDescent="0.25">
      <c r="A183" t="s">
        <v>459</v>
      </c>
    </row>
    <row r="184" spans="1:1" x14ac:dyDescent="0.25">
      <c r="A184" t="s">
        <v>460</v>
      </c>
    </row>
    <row r="185" spans="1:1" x14ac:dyDescent="0.25">
      <c r="A185" t="s">
        <v>461</v>
      </c>
    </row>
    <row r="187" spans="1:1" x14ac:dyDescent="0.25">
      <c r="A187" t="s">
        <v>462</v>
      </c>
    </row>
    <row r="188" spans="1:1" x14ac:dyDescent="0.25">
      <c r="A188" t="s">
        <v>463</v>
      </c>
    </row>
    <row r="189" spans="1:1" x14ac:dyDescent="0.25">
      <c r="A189" t="s">
        <v>464</v>
      </c>
    </row>
    <row r="191" spans="1:1" x14ac:dyDescent="0.25">
      <c r="A191" t="s">
        <v>465</v>
      </c>
    </row>
    <row r="192" spans="1:1" x14ac:dyDescent="0.25">
      <c r="A192" t="s">
        <v>466</v>
      </c>
    </row>
    <row r="193" spans="1:12" x14ac:dyDescent="0.25">
      <c r="A193" t="s">
        <v>467</v>
      </c>
    </row>
    <row r="194" spans="1:12" x14ac:dyDescent="0.25">
      <c r="A194" t="s">
        <v>468</v>
      </c>
    </row>
    <row r="196" spans="1:12" ht="20.25" x14ac:dyDescent="0.35">
      <c r="A196" s="231" t="s">
        <v>469</v>
      </c>
      <c r="B196" s="232"/>
      <c r="C196" s="232"/>
      <c r="D196" s="232"/>
      <c r="E196" s="232"/>
      <c r="F196" s="232"/>
      <c r="G196" s="232"/>
      <c r="H196" s="232"/>
      <c r="I196" s="232"/>
      <c r="J196" s="232"/>
      <c r="K196" s="232"/>
      <c r="L196" s="232"/>
    </row>
    <row r="198" spans="1:12" x14ac:dyDescent="0.25">
      <c r="A198" s="11" t="s">
        <v>226</v>
      </c>
      <c r="B198" s="11" t="s">
        <v>230</v>
      </c>
      <c r="C198" s="11" t="s">
        <v>470</v>
      </c>
    </row>
    <row r="199" spans="1:12" x14ac:dyDescent="0.25">
      <c r="A199" s="10" t="s">
        <v>229</v>
      </c>
      <c r="B199" s="10">
        <f>F132</f>
        <v>17.46152693657999</v>
      </c>
      <c r="C199" s="10">
        <f>LN(B199)</f>
        <v>2.86</v>
      </c>
    </row>
    <row r="200" spans="1:12" x14ac:dyDescent="0.25">
      <c r="A200" s="10" t="s">
        <v>249</v>
      </c>
      <c r="B200" s="10">
        <f>F133</f>
        <v>1.3634251141321778</v>
      </c>
      <c r="C200" s="10">
        <f>LN(B200)</f>
        <v>0.31</v>
      </c>
    </row>
    <row r="201" spans="1:12" x14ac:dyDescent="0.25">
      <c r="A201" s="10" t="s">
        <v>6</v>
      </c>
      <c r="B201" s="10">
        <f>F131</f>
        <v>1.5840739849944818</v>
      </c>
      <c r="C201" s="10">
        <f>LN(B201)</f>
        <v>0.46</v>
      </c>
    </row>
    <row r="202" spans="1:12" x14ac:dyDescent="0.25">
      <c r="A202" s="10" t="s">
        <v>471</v>
      </c>
      <c r="B202" s="10">
        <f>F134</f>
        <v>1.0181629763897937</v>
      </c>
      <c r="C202" s="10">
        <f>LN(B202)</f>
        <v>1.7999999999999936E-2</v>
      </c>
    </row>
    <row r="203" spans="1:12" x14ac:dyDescent="0.25">
      <c r="A203" s="10" t="s">
        <v>248</v>
      </c>
      <c r="B203" s="10">
        <f>F130</f>
        <v>0.97530991202833262</v>
      </c>
      <c r="C203" s="10">
        <f>LN(B203)</f>
        <v>-2.5000000000000053E-2</v>
      </c>
    </row>
    <row r="206" spans="1:12" x14ac:dyDescent="0.25">
      <c r="A206" s="8" t="s">
        <v>472</v>
      </c>
      <c r="B206" s="8" t="s">
        <v>397</v>
      </c>
      <c r="C206" s="8" t="s">
        <v>473</v>
      </c>
      <c r="D206" s="8" t="s">
        <v>474</v>
      </c>
    </row>
    <row r="207" spans="1:12" x14ac:dyDescent="0.25">
      <c r="A207">
        <v>0</v>
      </c>
      <c r="B207">
        <v>1</v>
      </c>
      <c r="C207">
        <v>1</v>
      </c>
    </row>
    <row r="208" spans="1:12" x14ac:dyDescent="0.25">
      <c r="A208">
        <v>0.1</v>
      </c>
      <c r="B208">
        <v>0.95</v>
      </c>
      <c r="C208">
        <v>0.75</v>
      </c>
    </row>
    <row r="209" spans="1:5" x14ac:dyDescent="0.25">
      <c r="A209">
        <v>0.2</v>
      </c>
      <c r="B209">
        <v>0.9</v>
      </c>
      <c r="C209">
        <v>0.55000000000000004</v>
      </c>
    </row>
    <row r="210" spans="1:5" x14ac:dyDescent="0.25">
      <c r="A210">
        <v>0.3</v>
      </c>
      <c r="B210">
        <v>0.82</v>
      </c>
      <c r="C210">
        <v>0.38</v>
      </c>
    </row>
    <row r="211" spans="1:5" x14ac:dyDescent="0.25">
      <c r="A211">
        <v>0.4</v>
      </c>
      <c r="B211">
        <v>0.75</v>
      </c>
      <c r="C211">
        <v>0.28000000000000003</v>
      </c>
    </row>
    <row r="212" spans="1:5" x14ac:dyDescent="0.25">
      <c r="A212">
        <v>0.5</v>
      </c>
      <c r="B212">
        <v>0.68</v>
      </c>
      <c r="C212">
        <v>0.2</v>
      </c>
    </row>
    <row r="213" spans="1:5" x14ac:dyDescent="0.25">
      <c r="A213">
        <v>0.6</v>
      </c>
      <c r="B213">
        <v>0.55000000000000004</v>
      </c>
      <c r="C213">
        <v>0.12</v>
      </c>
    </row>
    <row r="214" spans="1:5" x14ac:dyDescent="0.25">
      <c r="A214">
        <v>0.7</v>
      </c>
      <c r="B214">
        <v>0.42</v>
      </c>
      <c r="C214">
        <v>0.08</v>
      </c>
    </row>
    <row r="215" spans="1:5" x14ac:dyDescent="0.25">
      <c r="A215">
        <v>0.8</v>
      </c>
      <c r="B215">
        <v>0.28000000000000003</v>
      </c>
      <c r="C215">
        <v>0.05</v>
      </c>
    </row>
    <row r="216" spans="1:5" x14ac:dyDescent="0.25">
      <c r="A216">
        <v>0.9</v>
      </c>
      <c r="B216">
        <v>0.15</v>
      </c>
      <c r="C216">
        <v>0.02</v>
      </c>
    </row>
    <row r="217" spans="1:5" x14ac:dyDescent="0.25">
      <c r="A217">
        <v>1</v>
      </c>
      <c r="B217">
        <v>0</v>
      </c>
      <c r="C217">
        <v>0</v>
      </c>
    </row>
    <row r="220" spans="1:5" x14ac:dyDescent="0.25">
      <c r="A220" s="11" t="s">
        <v>225</v>
      </c>
      <c r="B220" s="11" t="s">
        <v>201</v>
      </c>
      <c r="C220" s="11" t="s">
        <v>271</v>
      </c>
      <c r="D220" s="11" t="s">
        <v>475</v>
      </c>
      <c r="E220" s="11" t="s">
        <v>223</v>
      </c>
    </row>
    <row r="221" spans="1:5" x14ac:dyDescent="0.25">
      <c r="A221" s="10" t="s">
        <v>19</v>
      </c>
      <c r="B221" s="10">
        <f>COUNTIFS('Dermatoses Bulleuses CNHU HKM'!Q:Q,"Toxidermie",'Dermatoses Bulleuses CNHU HKM'!F:F,"&lt;19")</f>
        <v>27</v>
      </c>
      <c r="C221" s="10">
        <f>COUNTIFS('Dermatoses Bulleuses CNHU HKM'!Q:Q,"Toxidermie",'Dermatoses Bulleuses CNHU HKM'!F:F,"&gt;=19",'Dermatoses Bulleuses CNHU HKM'!F:F,"&lt;60")</f>
        <v>39</v>
      </c>
      <c r="D221" s="10">
        <f>COUNTIFS('Dermatoses Bulleuses CNHU HKM'!Q:Q,"Toxidermie",'Dermatoses Bulleuses CNHU HKM'!F:F,"&gt;=60")</f>
        <v>9</v>
      </c>
      <c r="E221" s="10">
        <f>SUM(B221:D221)</f>
        <v>75</v>
      </c>
    </row>
    <row r="222" spans="1:5" x14ac:dyDescent="0.25">
      <c r="A222" s="10" t="s">
        <v>40</v>
      </c>
      <c r="B222" s="10">
        <f>COUNTIFS('Dermatoses Bulleuses CNHU HKM'!Q:Q,"Auto-immune",'Dermatoses Bulleuses CNHU HKM'!F:F,"&lt;19")</f>
        <v>2</v>
      </c>
      <c r="C222" s="10">
        <f>COUNTIFS('Dermatoses Bulleuses CNHU HKM'!Q:Q,"Auto-immune",'Dermatoses Bulleuses CNHU HKM'!F:F,"&gt;=19",'Dermatoses Bulleuses CNHU HKM'!F:F,"&lt;60")</f>
        <v>11</v>
      </c>
      <c r="D222" s="10">
        <f>COUNTIFS('Dermatoses Bulleuses CNHU HKM'!Q:Q,"Auto-immune",'Dermatoses Bulleuses CNHU HKM'!F:F,"&gt;=60")</f>
        <v>18</v>
      </c>
      <c r="E222" s="10">
        <f>SUM(B222:D222)</f>
        <v>31</v>
      </c>
    </row>
    <row r="223" spans="1:5" x14ac:dyDescent="0.25">
      <c r="A223" s="10" t="s">
        <v>28</v>
      </c>
      <c r="B223" s="10">
        <f>COUNTIFS('Dermatoses Bulleuses CNHU HKM'!Q:Q,"Infectieuse",'Dermatoses Bulleuses CNHU HKM'!F:F,"&lt;19")</f>
        <v>13</v>
      </c>
      <c r="C223" s="10">
        <f>COUNTIFS('Dermatoses Bulleuses CNHU HKM'!Q:Q,"Infectieuse",'Dermatoses Bulleuses CNHU HKM'!F:F,"&gt;=19",'Dermatoses Bulleuses CNHU HKM'!F:F,"&lt;60")</f>
        <v>4</v>
      </c>
      <c r="D223" s="10">
        <f>COUNTIFS('Dermatoses Bulleuses CNHU HKM'!Q:Q,"Infectieuse",'Dermatoses Bulleuses CNHU HKM'!F:F,"&gt;=60")</f>
        <v>2</v>
      </c>
      <c r="E223" s="10">
        <f>SUM(B223:D223)</f>
        <v>19</v>
      </c>
    </row>
    <row r="224" spans="1:5" x14ac:dyDescent="0.25">
      <c r="A224" s="10" t="s">
        <v>144</v>
      </c>
      <c r="B224" s="10">
        <f>COUNTIFS('Dermatoses Bulleuses CNHU HKM'!Q:Q,"Immunoallergique",'Dermatoses Bulleuses CNHU HKM'!F:F,"&lt;19")</f>
        <v>1</v>
      </c>
      <c r="C224" s="10">
        <f>COUNTIFS('Dermatoses Bulleuses CNHU HKM'!Q:Q,"Immunoallergique",'Dermatoses Bulleuses CNHU HKM'!F:F,"&gt;=19",'Dermatoses Bulleuses CNHU HKM'!F:F,"&lt;60")</f>
        <v>4</v>
      </c>
      <c r="D224" s="10">
        <f>COUNTIFS('Dermatoses Bulleuses CNHU HKM'!Q:Q,"Immunoallergique",'Dermatoses Bulleuses CNHU HKM'!F:F,"&gt;=60")</f>
        <v>0</v>
      </c>
      <c r="E224" s="10">
        <f>SUM(B224:D224)</f>
        <v>5</v>
      </c>
    </row>
    <row r="240" spans="1:12" ht="20.25" x14ac:dyDescent="0.35">
      <c r="A240" s="231" t="s">
        <v>476</v>
      </c>
      <c r="B240" s="232"/>
      <c r="C240" s="232"/>
      <c r="D240" s="232"/>
      <c r="E240" s="232"/>
      <c r="F240" s="232"/>
      <c r="G240" s="232"/>
      <c r="H240" s="232"/>
      <c r="I240" s="232"/>
      <c r="J240" s="232"/>
      <c r="K240" s="232"/>
      <c r="L240" s="232"/>
    </row>
    <row r="242" spans="1:12" x14ac:dyDescent="0.25">
      <c r="A242" s="240" t="s">
        <v>477</v>
      </c>
      <c r="B242" s="232"/>
      <c r="C242" s="232"/>
      <c r="D242" s="232"/>
      <c r="E242" s="232"/>
      <c r="F242" s="232"/>
      <c r="G242" s="232"/>
      <c r="H242" s="232"/>
      <c r="I242" s="232"/>
      <c r="J242" s="232"/>
      <c r="K242" s="232"/>
      <c r="L242" s="232"/>
    </row>
    <row r="243" spans="1:12" x14ac:dyDescent="0.25">
      <c r="A243" s="248" t="s">
        <v>478</v>
      </c>
      <c r="B243" s="232"/>
      <c r="C243" s="232"/>
      <c r="D243" s="232"/>
      <c r="E243" s="232"/>
      <c r="F243" s="232"/>
      <c r="G243" s="232"/>
      <c r="H243" s="232"/>
      <c r="I243" s="232"/>
      <c r="J243" s="232"/>
      <c r="K243" s="232"/>
      <c r="L243" s="232"/>
    </row>
    <row r="244" spans="1:12" x14ac:dyDescent="0.25">
      <c r="A244" s="248" t="s">
        <v>479</v>
      </c>
      <c r="B244" s="232"/>
      <c r="C244" s="232"/>
      <c r="D244" s="232"/>
      <c r="E244" s="232"/>
      <c r="F244" s="232"/>
      <c r="G244" s="232"/>
      <c r="H244" s="232"/>
      <c r="I244" s="232"/>
      <c r="J244" s="232"/>
      <c r="K244" s="232"/>
      <c r="L244" s="232"/>
    </row>
    <row r="246" spans="1:12" x14ac:dyDescent="0.25">
      <c r="A246" s="242" t="s">
        <v>480</v>
      </c>
      <c r="B246" s="232"/>
      <c r="C246" s="232"/>
      <c r="D246" s="232"/>
      <c r="E246" s="232"/>
      <c r="F246" s="232"/>
      <c r="G246" s="232"/>
      <c r="H246" s="232"/>
      <c r="I246" s="232"/>
      <c r="J246" s="232"/>
      <c r="K246" s="232"/>
      <c r="L246" s="232"/>
    </row>
    <row r="247" spans="1:12" x14ac:dyDescent="0.25">
      <c r="A247" s="248" t="s">
        <v>481</v>
      </c>
      <c r="B247" s="232"/>
      <c r="C247" s="232"/>
      <c r="D247" s="232"/>
      <c r="E247" s="232"/>
      <c r="F247" s="232"/>
      <c r="G247" s="232"/>
      <c r="H247" s="232"/>
      <c r="I247" s="232"/>
      <c r="J247" s="232"/>
      <c r="K247" s="232"/>
      <c r="L247" s="232"/>
    </row>
    <row r="249" spans="1:12" x14ac:dyDescent="0.25">
      <c r="A249" s="244" t="s">
        <v>482</v>
      </c>
      <c r="B249" s="232"/>
      <c r="C249" s="232"/>
      <c r="D249" s="232"/>
      <c r="E249" s="232"/>
      <c r="F249" s="232"/>
      <c r="G249" s="232"/>
      <c r="H249" s="232"/>
      <c r="I249" s="232"/>
      <c r="J249" s="232"/>
      <c r="K249" s="232"/>
      <c r="L249" s="232"/>
    </row>
    <row r="250" spans="1:12" x14ac:dyDescent="0.25">
      <c r="A250" s="248" t="s">
        <v>483</v>
      </c>
      <c r="B250" s="232"/>
      <c r="C250" s="232"/>
      <c r="D250" s="232"/>
      <c r="E250" s="232"/>
      <c r="F250" s="232"/>
      <c r="G250" s="232"/>
      <c r="H250" s="232"/>
      <c r="I250" s="232"/>
      <c r="J250" s="232"/>
      <c r="K250" s="232"/>
      <c r="L250" s="232"/>
    </row>
    <row r="252" spans="1:12" x14ac:dyDescent="0.25">
      <c r="A252" s="249" t="s">
        <v>484</v>
      </c>
      <c r="B252" s="232"/>
      <c r="C252" s="232"/>
      <c r="D252" s="232"/>
      <c r="E252" s="232"/>
      <c r="F252" s="232"/>
      <c r="G252" s="232"/>
      <c r="H252" s="232"/>
      <c r="I252" s="232"/>
      <c r="J252" s="232"/>
      <c r="K252" s="232"/>
      <c r="L252" s="232"/>
    </row>
    <row r="253" spans="1:12" x14ac:dyDescent="0.25">
      <c r="A253" s="250" t="s">
        <v>485</v>
      </c>
      <c r="B253" s="232"/>
      <c r="C253" s="232"/>
      <c r="D253" s="232"/>
      <c r="E253" s="232"/>
      <c r="F253" s="232"/>
      <c r="G253" s="232"/>
      <c r="H253" s="232"/>
      <c r="I253" s="232"/>
      <c r="J253" s="232"/>
      <c r="K253" s="232"/>
      <c r="L253" s="232"/>
    </row>
    <row r="255" spans="1:12" x14ac:dyDescent="0.25">
      <c r="A255" s="239" t="s">
        <v>486</v>
      </c>
      <c r="B255" s="232"/>
      <c r="C255" s="232"/>
      <c r="D255" s="232"/>
      <c r="E255" s="232"/>
      <c r="F255" s="232"/>
      <c r="G255" s="232"/>
      <c r="H255" s="232"/>
      <c r="I255" s="232"/>
      <c r="J255" s="232"/>
      <c r="K255" s="232"/>
      <c r="L255" s="232"/>
    </row>
    <row r="256" spans="1:12" x14ac:dyDescent="0.25">
      <c r="A256" t="s">
        <v>487</v>
      </c>
      <c r="B256">
        <f>-2.85+(-0.025)*25+(0.46)*0+(2.86)*1+(0.31)*1+(0.018)*40</f>
        <v>0.41499999999999976</v>
      </c>
    </row>
    <row r="257" spans="1:12" x14ac:dyDescent="0.25">
      <c r="A257" t="s">
        <v>488</v>
      </c>
      <c r="B257" s="9">
        <f>1/(1+EXP(-B256))</f>
        <v>0.60228617688863062</v>
      </c>
    </row>
    <row r="260" spans="1:12" ht="20.25" x14ac:dyDescent="0.35">
      <c r="A260" s="231" t="s">
        <v>489</v>
      </c>
      <c r="B260" s="232"/>
      <c r="C260" s="232"/>
      <c r="D260" s="232"/>
      <c r="E260" s="232"/>
      <c r="F260" s="232"/>
      <c r="G260" s="232"/>
      <c r="H260" s="232"/>
      <c r="I260" s="232"/>
      <c r="J260" s="232"/>
      <c r="K260" s="232"/>
      <c r="L260" s="232"/>
    </row>
    <row r="262" spans="1:12" x14ac:dyDescent="0.25">
      <c r="A262" s="232"/>
      <c r="B262" s="232"/>
      <c r="C262" s="232"/>
      <c r="D262" s="232"/>
      <c r="E262" s="232"/>
      <c r="F262" s="232"/>
      <c r="G262" s="232"/>
      <c r="H262" s="232"/>
      <c r="I262" s="232"/>
      <c r="J262" s="232"/>
      <c r="K262" s="232"/>
      <c r="L262" s="232"/>
    </row>
    <row r="263" spans="1:12" x14ac:dyDescent="0.25">
      <c r="A263" s="232" t="s">
        <v>490</v>
      </c>
      <c r="B263" s="232"/>
      <c r="C263" s="232"/>
      <c r="D263" s="232"/>
      <c r="E263" s="232"/>
      <c r="F263" s="232"/>
      <c r="G263" s="232"/>
      <c r="H263" s="232"/>
      <c r="I263" s="232"/>
      <c r="J263" s="232"/>
      <c r="K263" s="232"/>
      <c r="L263" s="232"/>
    </row>
    <row r="264" spans="1:12" x14ac:dyDescent="0.25">
      <c r="A264" s="232" t="s">
        <v>491</v>
      </c>
      <c r="B264" s="232"/>
      <c r="C264" s="232"/>
      <c r="D264" s="232"/>
      <c r="E264" s="232"/>
      <c r="F264" s="232"/>
      <c r="G264" s="232"/>
      <c r="H264" s="232"/>
      <c r="I264" s="232"/>
      <c r="J264" s="232"/>
      <c r="K264" s="232"/>
      <c r="L264" s="232"/>
    </row>
    <row r="265" spans="1:12" x14ac:dyDescent="0.25">
      <c r="A265" s="232" t="s">
        <v>492</v>
      </c>
      <c r="B265" s="232"/>
      <c r="C265" s="232"/>
      <c r="D265" s="232"/>
      <c r="E265" s="232"/>
      <c r="F265" s="232"/>
      <c r="G265" s="232"/>
      <c r="H265" s="232"/>
      <c r="I265" s="232"/>
      <c r="J265" s="232"/>
      <c r="K265" s="232"/>
      <c r="L265" s="232"/>
    </row>
    <row r="266" spans="1:12" x14ac:dyDescent="0.25">
      <c r="A266" s="232" t="s">
        <v>493</v>
      </c>
      <c r="B266" s="232"/>
      <c r="C266" s="232"/>
      <c r="D266" s="232"/>
      <c r="E266" s="232"/>
      <c r="F266" s="232"/>
      <c r="G266" s="232"/>
      <c r="H266" s="232"/>
      <c r="I266" s="232"/>
      <c r="J266" s="232"/>
      <c r="K266" s="232"/>
      <c r="L266" s="232"/>
    </row>
    <row r="267" spans="1:12" x14ac:dyDescent="0.25">
      <c r="A267" s="232" t="s">
        <v>494</v>
      </c>
      <c r="B267" s="232"/>
      <c r="C267" s="232"/>
      <c r="D267" s="232"/>
      <c r="E267" s="232"/>
      <c r="F267" s="232"/>
      <c r="G267" s="232"/>
      <c r="H267" s="232"/>
      <c r="I267" s="232"/>
      <c r="J267" s="232"/>
      <c r="K267" s="232"/>
      <c r="L267" s="232"/>
    </row>
    <row r="268" spans="1:12" x14ac:dyDescent="0.25">
      <c r="A268" s="232"/>
      <c r="B268" s="232"/>
      <c r="C268" s="232"/>
      <c r="D268" s="232"/>
      <c r="E268" s="232"/>
      <c r="F268" s="232"/>
      <c r="G268" s="232"/>
      <c r="H268" s="232"/>
      <c r="I268" s="232"/>
      <c r="J268" s="232"/>
      <c r="K268" s="232"/>
      <c r="L268" s="232"/>
    </row>
    <row r="269" spans="1:12" x14ac:dyDescent="0.25">
      <c r="A269" s="232" t="s">
        <v>495</v>
      </c>
      <c r="B269" s="232"/>
      <c r="C269" s="232"/>
      <c r="D269" s="232"/>
      <c r="E269" s="232"/>
      <c r="F269" s="232"/>
      <c r="G269" s="232"/>
      <c r="H269" s="232"/>
      <c r="I269" s="232"/>
      <c r="J269" s="232"/>
      <c r="K269" s="232"/>
      <c r="L269" s="232"/>
    </row>
    <row r="270" spans="1:12" x14ac:dyDescent="0.25">
      <c r="A270" s="232" t="s">
        <v>496</v>
      </c>
      <c r="B270" s="232"/>
      <c r="C270" s="232"/>
      <c r="D270" s="232"/>
      <c r="E270" s="232"/>
      <c r="F270" s="232"/>
      <c r="G270" s="232"/>
      <c r="H270" s="232"/>
      <c r="I270" s="232"/>
      <c r="J270" s="232"/>
      <c r="K270" s="232"/>
      <c r="L270" s="232"/>
    </row>
    <row r="271" spans="1:12" x14ac:dyDescent="0.25">
      <c r="A271" s="232" t="s">
        <v>497</v>
      </c>
      <c r="B271" s="232"/>
      <c r="C271" s="232"/>
      <c r="D271" s="232"/>
      <c r="E271" s="232"/>
      <c r="F271" s="232"/>
      <c r="G271" s="232"/>
      <c r="H271" s="232"/>
      <c r="I271" s="232"/>
      <c r="J271" s="232"/>
      <c r="K271" s="232"/>
      <c r="L271" s="232"/>
    </row>
    <row r="272" spans="1:12" x14ac:dyDescent="0.25">
      <c r="A272" s="232" t="s">
        <v>498</v>
      </c>
      <c r="B272" s="232"/>
      <c r="C272" s="232"/>
      <c r="D272" s="232"/>
      <c r="E272" s="232"/>
      <c r="F272" s="232"/>
      <c r="G272" s="232"/>
      <c r="H272" s="232"/>
      <c r="I272" s="232"/>
      <c r="J272" s="232"/>
      <c r="K272" s="232"/>
      <c r="L272" s="232"/>
    </row>
    <row r="273" spans="1:12" x14ac:dyDescent="0.25">
      <c r="A273" s="232" t="s">
        <v>499</v>
      </c>
      <c r="B273" s="232"/>
      <c r="C273" s="232"/>
      <c r="D273" s="232"/>
      <c r="E273" s="232"/>
      <c r="F273" s="232"/>
      <c r="G273" s="232"/>
      <c r="H273" s="232"/>
      <c r="I273" s="232"/>
      <c r="J273" s="232"/>
      <c r="K273" s="232"/>
      <c r="L273" s="232"/>
    </row>
    <row r="274" spans="1:12" x14ac:dyDescent="0.25">
      <c r="A274" s="232"/>
      <c r="B274" s="232"/>
      <c r="C274" s="232"/>
      <c r="D274" s="232"/>
      <c r="E274" s="232"/>
      <c r="F274" s="232"/>
      <c r="G274" s="232"/>
      <c r="H274" s="232"/>
      <c r="I274" s="232"/>
      <c r="J274" s="232"/>
      <c r="K274" s="232"/>
      <c r="L274" s="232"/>
    </row>
    <row r="275" spans="1:12" x14ac:dyDescent="0.25">
      <c r="A275" s="232" t="s">
        <v>500</v>
      </c>
      <c r="B275" s="232"/>
      <c r="C275" s="232"/>
      <c r="D275" s="232"/>
      <c r="E275" s="232"/>
      <c r="F275" s="232"/>
      <c r="G275" s="232"/>
      <c r="H275" s="232"/>
      <c r="I275" s="232"/>
      <c r="J275" s="232"/>
      <c r="K275" s="232"/>
      <c r="L275" s="232"/>
    </row>
    <row r="276" spans="1:12" x14ac:dyDescent="0.25">
      <c r="A276" s="232" t="s">
        <v>501</v>
      </c>
      <c r="B276" s="232"/>
      <c r="C276" s="232"/>
      <c r="D276" s="232"/>
      <c r="E276" s="232"/>
      <c r="F276" s="232"/>
      <c r="G276" s="232"/>
      <c r="H276" s="232"/>
      <c r="I276" s="232"/>
      <c r="J276" s="232"/>
      <c r="K276" s="232"/>
      <c r="L276" s="232"/>
    </row>
    <row r="277" spans="1:12" x14ac:dyDescent="0.25">
      <c r="A277" s="232" t="s">
        <v>502</v>
      </c>
      <c r="B277" s="232"/>
      <c r="C277" s="232"/>
      <c r="D277" s="232"/>
      <c r="E277" s="232"/>
      <c r="F277" s="232"/>
      <c r="G277" s="232"/>
      <c r="H277" s="232"/>
      <c r="I277" s="232"/>
      <c r="J277" s="232"/>
      <c r="K277" s="232"/>
      <c r="L277" s="232"/>
    </row>
    <row r="278" spans="1:12" x14ac:dyDescent="0.25">
      <c r="A278" s="232" t="s">
        <v>503</v>
      </c>
      <c r="B278" s="232"/>
      <c r="C278" s="232"/>
      <c r="D278" s="232"/>
      <c r="E278" s="232"/>
      <c r="F278" s="232"/>
      <c r="G278" s="232"/>
      <c r="H278" s="232"/>
      <c r="I278" s="232"/>
      <c r="J278" s="232"/>
      <c r="K278" s="232"/>
      <c r="L278" s="232"/>
    </row>
    <row r="279" spans="1:12" x14ac:dyDescent="0.25">
      <c r="A279" s="232" t="s">
        <v>504</v>
      </c>
      <c r="B279" s="232"/>
      <c r="C279" s="232"/>
      <c r="D279" s="232"/>
      <c r="E279" s="232"/>
      <c r="F279" s="232"/>
      <c r="G279" s="232"/>
      <c r="H279" s="232"/>
      <c r="I279" s="232"/>
      <c r="J279" s="232"/>
      <c r="K279" s="232"/>
      <c r="L279" s="232"/>
    </row>
    <row r="280" spans="1:12" x14ac:dyDescent="0.25">
      <c r="A280" s="232"/>
      <c r="B280" s="232"/>
      <c r="C280" s="232"/>
      <c r="D280" s="232"/>
      <c r="E280" s="232"/>
      <c r="F280" s="232"/>
      <c r="G280" s="232"/>
      <c r="H280" s="232"/>
      <c r="I280" s="232"/>
      <c r="J280" s="232"/>
      <c r="K280" s="232"/>
      <c r="L280" s="232"/>
    </row>
    <row r="281" spans="1:12" x14ac:dyDescent="0.25">
      <c r="A281" s="232" t="s">
        <v>505</v>
      </c>
      <c r="B281" s="232"/>
      <c r="C281" s="232"/>
      <c r="D281" s="232"/>
      <c r="E281" s="232"/>
      <c r="F281" s="232"/>
      <c r="G281" s="232"/>
      <c r="H281" s="232"/>
      <c r="I281" s="232"/>
      <c r="J281" s="232"/>
      <c r="K281" s="232"/>
      <c r="L281" s="232"/>
    </row>
    <row r="282" spans="1:12" x14ac:dyDescent="0.25">
      <c r="A282" s="232" t="s">
        <v>506</v>
      </c>
      <c r="B282" s="232"/>
      <c r="C282" s="232"/>
      <c r="D282" s="232"/>
      <c r="E282" s="232"/>
      <c r="F282" s="232"/>
      <c r="G282" s="232"/>
      <c r="H282" s="232"/>
      <c r="I282" s="232"/>
      <c r="J282" s="232"/>
      <c r="K282" s="232"/>
      <c r="L282" s="232"/>
    </row>
    <row r="283" spans="1:12" x14ac:dyDescent="0.25">
      <c r="A283" s="232" t="s">
        <v>507</v>
      </c>
      <c r="B283" s="232"/>
      <c r="C283" s="232"/>
      <c r="D283" s="232"/>
      <c r="E283" s="232"/>
      <c r="F283" s="232"/>
      <c r="G283" s="232"/>
      <c r="H283" s="232"/>
      <c r="I283" s="232"/>
      <c r="J283" s="232"/>
      <c r="K283" s="232"/>
      <c r="L283" s="232"/>
    </row>
  </sheetData>
  <mergeCells count="64">
    <mergeCell ref="A280:L280"/>
    <mergeCell ref="A281:L281"/>
    <mergeCell ref="A282:L282"/>
    <mergeCell ref="A283:L283"/>
    <mergeCell ref="A274:L274"/>
    <mergeCell ref="A275:L275"/>
    <mergeCell ref="A276:L276"/>
    <mergeCell ref="A277:L277"/>
    <mergeCell ref="A278:L278"/>
    <mergeCell ref="A279:L279"/>
    <mergeCell ref="A273:L273"/>
    <mergeCell ref="A262:L262"/>
    <mergeCell ref="A263:L263"/>
    <mergeCell ref="A264:L264"/>
    <mergeCell ref="A265:L265"/>
    <mergeCell ref="A266:L266"/>
    <mergeCell ref="A267:L267"/>
    <mergeCell ref="A268:L268"/>
    <mergeCell ref="A269:L269"/>
    <mergeCell ref="A270:L270"/>
    <mergeCell ref="A271:L271"/>
    <mergeCell ref="A272:L272"/>
    <mergeCell ref="A260:L260"/>
    <mergeCell ref="A240:L240"/>
    <mergeCell ref="A242:L242"/>
    <mergeCell ref="A243:L243"/>
    <mergeCell ref="A244:L244"/>
    <mergeCell ref="A246:L246"/>
    <mergeCell ref="A247:L247"/>
    <mergeCell ref="A249:L249"/>
    <mergeCell ref="A250:L250"/>
    <mergeCell ref="A252:L252"/>
    <mergeCell ref="A253:L253"/>
    <mergeCell ref="A255:L255"/>
    <mergeCell ref="A196:L196"/>
    <mergeCell ref="A103:L103"/>
    <mergeCell ref="A112:H112"/>
    <mergeCell ref="A114:C114"/>
    <mergeCell ref="A121:L121"/>
    <mergeCell ref="A123:L123"/>
    <mergeCell ref="A136:I136"/>
    <mergeCell ref="A138:E138"/>
    <mergeCell ref="A148:L148"/>
    <mergeCell ref="A158:L158"/>
    <mergeCell ref="A160:F160"/>
    <mergeCell ref="A170:F170"/>
    <mergeCell ref="A101:L101"/>
    <mergeCell ref="A26:F26"/>
    <mergeCell ref="A36:F36"/>
    <mergeCell ref="A45:L45"/>
    <mergeCell ref="A47:L47"/>
    <mergeCell ref="A56:C56"/>
    <mergeCell ref="A65:L65"/>
    <mergeCell ref="A67:L67"/>
    <mergeCell ref="A76:C76"/>
    <mergeCell ref="A83:L83"/>
    <mergeCell ref="A85:L85"/>
    <mergeCell ref="A94:C94"/>
    <mergeCell ref="A24:L24"/>
    <mergeCell ref="A1:L1"/>
    <mergeCell ref="A2:L2"/>
    <mergeCell ref="A4:L4"/>
    <mergeCell ref="A12:L12"/>
    <mergeCell ref="A21:F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0EF1-F033-4C55-B855-EFA7D4A504F2}">
  <dimension ref="A1:L264"/>
  <sheetViews>
    <sheetView workbookViewId="0">
      <pane ySplit="3" topLeftCell="A4" activePane="bottomLeft" state="frozen"/>
      <selection pane="bottomLeft" activeCell="D10" sqref="D10"/>
    </sheetView>
  </sheetViews>
  <sheetFormatPr defaultRowHeight="14.25" x14ac:dyDescent="0.25"/>
  <cols>
    <col min="1" max="1" width="106.5" bestFit="1" customWidth="1"/>
    <col min="2" max="2" width="18.625" bestFit="1" customWidth="1"/>
    <col min="3" max="3" width="30.375" bestFit="1" customWidth="1"/>
    <col min="4" max="4" width="13.75" bestFit="1" customWidth="1"/>
    <col min="5" max="5" width="38" bestFit="1" customWidth="1"/>
    <col min="6" max="6" width="10.625" bestFit="1" customWidth="1"/>
    <col min="7" max="7" width="37" bestFit="1" customWidth="1"/>
    <col min="8" max="8" width="11" bestFit="1" customWidth="1"/>
    <col min="9" max="9" width="20.875" bestFit="1" customWidth="1"/>
    <col min="10" max="10" width="7.625" bestFit="1" customWidth="1"/>
    <col min="11" max="11" width="16.875" bestFit="1" customWidth="1"/>
  </cols>
  <sheetData>
    <row r="1" spans="1:12" ht="21.75" x14ac:dyDescent="0.35">
      <c r="A1" s="300" t="s">
        <v>508</v>
      </c>
      <c r="B1" s="300"/>
      <c r="C1" s="300"/>
      <c r="D1" s="300"/>
      <c r="E1" s="300"/>
      <c r="F1" s="300"/>
      <c r="G1" s="300"/>
      <c r="H1" s="300"/>
      <c r="I1" s="300"/>
      <c r="J1" s="300"/>
      <c r="K1" s="300"/>
      <c r="L1" s="300"/>
    </row>
    <row r="2" spans="1:12" ht="17.25" x14ac:dyDescent="0.3">
      <c r="A2" s="234" t="s">
        <v>509</v>
      </c>
      <c r="B2" s="234"/>
      <c r="C2" s="234"/>
      <c r="D2" s="234"/>
      <c r="E2" s="234"/>
      <c r="F2" s="234"/>
      <c r="G2" s="234"/>
      <c r="H2" s="234"/>
      <c r="I2" s="234"/>
      <c r="J2" s="234"/>
      <c r="K2" s="234"/>
      <c r="L2" s="234"/>
    </row>
    <row r="3" spans="1:12" ht="16.5" x14ac:dyDescent="0.3">
      <c r="A3" s="301" t="s">
        <v>510</v>
      </c>
      <c r="B3" s="301"/>
      <c r="C3" s="301"/>
      <c r="D3" s="301"/>
      <c r="E3" s="301"/>
      <c r="F3" s="301"/>
      <c r="G3" s="301"/>
      <c r="H3" s="301"/>
      <c r="I3" s="301"/>
      <c r="J3" s="301"/>
      <c r="K3" s="301"/>
      <c r="L3" s="301"/>
    </row>
    <row r="5" spans="1:12" x14ac:dyDescent="0.25">
      <c r="A5" t="s">
        <v>511</v>
      </c>
    </row>
    <row r="6" spans="1:12" ht="18" x14ac:dyDescent="0.3">
      <c r="A6" s="298" t="s">
        <v>512</v>
      </c>
      <c r="B6" s="298"/>
      <c r="C6" s="298"/>
      <c r="D6" s="298"/>
      <c r="E6" s="298"/>
      <c r="F6" s="298"/>
      <c r="G6" s="298"/>
      <c r="H6" s="298"/>
      <c r="I6" s="298"/>
      <c r="J6" s="298"/>
      <c r="K6" s="298"/>
      <c r="L6" s="298"/>
    </row>
    <row r="7" spans="1:12" x14ac:dyDescent="0.25">
      <c r="A7" t="s">
        <v>511</v>
      </c>
    </row>
    <row r="9" spans="1:12" x14ac:dyDescent="0.25">
      <c r="A9" s="21" t="s">
        <v>251</v>
      </c>
      <c r="B9" s="21" t="s">
        <v>513</v>
      </c>
      <c r="C9" s="21" t="s">
        <v>188</v>
      </c>
      <c r="D9" s="21" t="s">
        <v>231</v>
      </c>
      <c r="E9" s="21" t="s">
        <v>232</v>
      </c>
      <c r="F9" s="21" t="s">
        <v>185</v>
      </c>
      <c r="G9" s="21"/>
      <c r="H9" s="21"/>
      <c r="I9" s="21"/>
      <c r="J9" s="21"/>
      <c r="K9" s="21"/>
      <c r="L9" s="21"/>
    </row>
    <row r="10" spans="1:12" x14ac:dyDescent="0.25">
      <c r="A10" t="s">
        <v>252</v>
      </c>
      <c r="B10">
        <v>130</v>
      </c>
      <c r="C10" t="s">
        <v>238</v>
      </c>
      <c r="D10" t="s">
        <v>238</v>
      </c>
      <c r="E10" t="s">
        <v>238</v>
      </c>
      <c r="F10" t="s">
        <v>238</v>
      </c>
    </row>
    <row r="12" spans="1:12" x14ac:dyDescent="0.25">
      <c r="A12" t="s">
        <v>514</v>
      </c>
    </row>
    <row r="13" spans="1:12" x14ac:dyDescent="0.25">
      <c r="A13" t="s">
        <v>253</v>
      </c>
      <c r="B13">
        <v>36.090000000000003</v>
      </c>
      <c r="C13" t="s">
        <v>238</v>
      </c>
      <c r="D13">
        <v>31.65</v>
      </c>
      <c r="E13">
        <v>40.53</v>
      </c>
      <c r="F13">
        <v>25.83</v>
      </c>
    </row>
    <row r="14" spans="1:12" x14ac:dyDescent="0.25">
      <c r="A14" t="s">
        <v>254</v>
      </c>
      <c r="B14">
        <v>33</v>
      </c>
      <c r="C14" t="s">
        <v>238</v>
      </c>
      <c r="D14" t="s">
        <v>238</v>
      </c>
      <c r="E14" t="s">
        <v>238</v>
      </c>
      <c r="F14" t="s">
        <v>238</v>
      </c>
    </row>
    <row r="15" spans="1:12" x14ac:dyDescent="0.25">
      <c r="A15" t="s">
        <v>515</v>
      </c>
      <c r="B15">
        <v>24.85</v>
      </c>
      <c r="C15" t="s">
        <v>238</v>
      </c>
      <c r="D15">
        <v>20.57</v>
      </c>
      <c r="E15">
        <v>29.14</v>
      </c>
      <c r="F15">
        <v>24.94</v>
      </c>
    </row>
    <row r="17" spans="1:12" x14ac:dyDescent="0.25">
      <c r="A17" t="s">
        <v>516</v>
      </c>
    </row>
    <row r="18" spans="1:12" x14ac:dyDescent="0.25">
      <c r="A18" t="s">
        <v>517</v>
      </c>
      <c r="B18">
        <v>74</v>
      </c>
      <c r="C18" s="9">
        <v>0.56920000000000004</v>
      </c>
      <c r="D18" s="9">
        <v>0.48420000000000002</v>
      </c>
      <c r="E18" s="9">
        <v>0.65429999999999999</v>
      </c>
    </row>
    <row r="19" spans="1:12" x14ac:dyDescent="0.25">
      <c r="A19" t="s">
        <v>518</v>
      </c>
      <c r="B19">
        <v>56</v>
      </c>
      <c r="C19" s="9">
        <v>0.43080000000000002</v>
      </c>
      <c r="D19" s="9">
        <v>0.34570000000000001</v>
      </c>
      <c r="E19" s="9">
        <v>0.51580000000000004</v>
      </c>
    </row>
    <row r="20" spans="1:12" x14ac:dyDescent="0.25">
      <c r="A20" t="s">
        <v>519</v>
      </c>
      <c r="B20">
        <v>68</v>
      </c>
      <c r="C20" s="9">
        <v>0.52310000000000001</v>
      </c>
      <c r="D20" s="9">
        <v>0.43719999999999998</v>
      </c>
      <c r="E20" s="9">
        <v>0.60899999999999999</v>
      </c>
    </row>
    <row r="21" spans="1:12" x14ac:dyDescent="0.25">
      <c r="A21" t="s">
        <v>520</v>
      </c>
      <c r="B21">
        <v>62</v>
      </c>
      <c r="C21" s="9">
        <v>0.47689999999999999</v>
      </c>
      <c r="D21" s="9">
        <v>0.39100000000000001</v>
      </c>
      <c r="E21" s="9">
        <v>0.56279999999999997</v>
      </c>
    </row>
    <row r="22" spans="1:12" x14ac:dyDescent="0.25">
      <c r="A22" t="s">
        <v>521</v>
      </c>
      <c r="B22">
        <v>60</v>
      </c>
      <c r="C22" s="9">
        <v>0.46150000000000002</v>
      </c>
      <c r="D22" s="9">
        <v>0.37590000000000001</v>
      </c>
      <c r="E22" s="9">
        <v>0.54720000000000002</v>
      </c>
    </row>
    <row r="24" spans="1:12" x14ac:dyDescent="0.25">
      <c r="A24" t="s">
        <v>522</v>
      </c>
    </row>
    <row r="25" spans="1:12" x14ac:dyDescent="0.25">
      <c r="A25" s="21" t="s">
        <v>225</v>
      </c>
      <c r="B25" s="21" t="s">
        <v>228</v>
      </c>
      <c r="C25" s="21" t="s">
        <v>188</v>
      </c>
      <c r="D25" s="21" t="s">
        <v>231</v>
      </c>
      <c r="E25" s="21" t="s">
        <v>232</v>
      </c>
      <c r="F25" s="21" t="s">
        <v>523</v>
      </c>
      <c r="G25" s="21"/>
      <c r="H25" s="21"/>
      <c r="I25" s="21"/>
      <c r="J25" s="21"/>
      <c r="K25" s="21"/>
      <c r="L25" s="21"/>
    </row>
    <row r="26" spans="1:12" x14ac:dyDescent="0.25">
      <c r="A26" t="s">
        <v>19</v>
      </c>
      <c r="B26">
        <v>75</v>
      </c>
      <c r="C26" s="9">
        <v>0.57689999999999997</v>
      </c>
      <c r="D26" s="9">
        <v>0.49199999999999999</v>
      </c>
      <c r="E26" s="9">
        <v>0.66190000000000004</v>
      </c>
      <c r="F26">
        <v>55.58</v>
      </c>
    </row>
    <row r="27" spans="1:12" x14ac:dyDescent="0.25">
      <c r="A27" t="s">
        <v>40</v>
      </c>
      <c r="B27">
        <v>31</v>
      </c>
      <c r="C27" s="9">
        <v>0.23849999999999999</v>
      </c>
      <c r="D27" s="9">
        <v>0.16520000000000001</v>
      </c>
      <c r="E27" s="9">
        <v>0.31169999999999998</v>
      </c>
      <c r="F27">
        <v>7.0000000000000007E-2</v>
      </c>
    </row>
    <row r="28" spans="1:12" x14ac:dyDescent="0.25">
      <c r="A28" t="s">
        <v>28</v>
      </c>
      <c r="B28">
        <v>19</v>
      </c>
      <c r="C28" s="9">
        <v>0.1462</v>
      </c>
      <c r="D28" s="9">
        <v>8.5400000000000004E-2</v>
      </c>
      <c r="E28" s="9">
        <v>0.2069</v>
      </c>
      <c r="F28">
        <v>5.61</v>
      </c>
    </row>
    <row r="29" spans="1:12" x14ac:dyDescent="0.25">
      <c r="A29" t="s">
        <v>144</v>
      </c>
      <c r="B29">
        <v>5</v>
      </c>
      <c r="C29" s="9">
        <v>3.85E-2</v>
      </c>
      <c r="D29" s="9">
        <v>5.4000000000000003E-3</v>
      </c>
      <c r="E29" s="9">
        <v>7.1499999999999994E-2</v>
      </c>
      <c r="F29">
        <v>23.27</v>
      </c>
    </row>
    <row r="30" spans="1:12" x14ac:dyDescent="0.25">
      <c r="A30" t="s">
        <v>202</v>
      </c>
      <c r="B30">
        <v>130</v>
      </c>
      <c r="C30" s="9">
        <v>1</v>
      </c>
    </row>
    <row r="32" spans="1:12" x14ac:dyDescent="0.25">
      <c r="A32" t="s">
        <v>524</v>
      </c>
      <c r="B32">
        <v>84.52</v>
      </c>
      <c r="C32" t="s">
        <v>525</v>
      </c>
      <c r="D32" t="s">
        <v>526</v>
      </c>
      <c r="E32" t="s">
        <v>384</v>
      </c>
    </row>
    <row r="34" spans="1:12" x14ac:dyDescent="0.25">
      <c r="A34" t="s">
        <v>527</v>
      </c>
    </row>
    <row r="35" spans="1:12" x14ac:dyDescent="0.25">
      <c r="A35" t="s">
        <v>528</v>
      </c>
      <c r="B35">
        <v>35</v>
      </c>
      <c r="C35" s="9">
        <v>0.26919999999999999</v>
      </c>
      <c r="D35" s="9">
        <v>0.19309999999999999</v>
      </c>
      <c r="E35" s="9">
        <v>0.34539999999999998</v>
      </c>
    </row>
    <row r="36" spans="1:12" x14ac:dyDescent="0.25">
      <c r="A36" t="s">
        <v>529</v>
      </c>
      <c r="B36">
        <v>95</v>
      </c>
      <c r="C36" s="9">
        <v>0.73080000000000001</v>
      </c>
      <c r="D36" s="9">
        <v>0.65459999999999996</v>
      </c>
      <c r="E36" s="9">
        <v>0.80689999999999995</v>
      </c>
    </row>
    <row r="39" spans="1:12" x14ac:dyDescent="0.25">
      <c r="A39" t="s">
        <v>511</v>
      </c>
    </row>
    <row r="40" spans="1:12" ht="18" x14ac:dyDescent="0.3">
      <c r="A40" s="298" t="s">
        <v>530</v>
      </c>
      <c r="B40" s="298"/>
      <c r="C40" s="298"/>
      <c r="D40" s="298"/>
      <c r="E40" s="298"/>
      <c r="F40" s="298"/>
      <c r="G40" s="298"/>
      <c r="H40" s="298"/>
      <c r="I40" s="298"/>
      <c r="J40" s="298"/>
      <c r="K40" s="298"/>
      <c r="L40" s="298"/>
    </row>
    <row r="41" spans="1:12" x14ac:dyDescent="0.25">
      <c r="A41" t="s">
        <v>511</v>
      </c>
    </row>
    <row r="43" spans="1:12" x14ac:dyDescent="0.25">
      <c r="A43" t="s">
        <v>531</v>
      </c>
    </row>
    <row r="44" spans="1:12" x14ac:dyDescent="0.25">
      <c r="A44" t="s">
        <v>532</v>
      </c>
    </row>
    <row r="45" spans="1:12" ht="16.5" x14ac:dyDescent="0.3">
      <c r="A45" s="34"/>
      <c r="B45" s="34"/>
      <c r="C45" s="34"/>
      <c r="D45" s="34"/>
      <c r="E45" s="34"/>
      <c r="F45" s="34"/>
      <c r="G45" s="34"/>
      <c r="H45" s="34"/>
      <c r="I45" s="34"/>
      <c r="J45" s="34"/>
      <c r="K45" s="34"/>
      <c r="L45" s="34"/>
    </row>
    <row r="46" spans="1:12" x14ac:dyDescent="0.25">
      <c r="A46" s="42" t="s">
        <v>226</v>
      </c>
      <c r="B46" s="41" t="s">
        <v>235</v>
      </c>
      <c r="C46" s="41" t="s">
        <v>236</v>
      </c>
      <c r="D46" s="41" t="s">
        <v>393</v>
      </c>
      <c r="E46" s="41" t="s">
        <v>241</v>
      </c>
      <c r="F46" s="41" t="s">
        <v>230</v>
      </c>
      <c r="G46" s="41" t="s">
        <v>231</v>
      </c>
      <c r="H46" s="41" t="s">
        <v>232</v>
      </c>
      <c r="I46" s="45" t="s">
        <v>259</v>
      </c>
      <c r="J46" s="21"/>
      <c r="K46" s="21"/>
      <c r="L46" s="21"/>
    </row>
    <row r="47" spans="1:12" x14ac:dyDescent="0.25">
      <c r="A47" s="43" t="s">
        <v>237</v>
      </c>
      <c r="B47">
        <v>0.31</v>
      </c>
      <c r="C47">
        <v>0.45</v>
      </c>
      <c r="D47">
        <v>0.68920000000000003</v>
      </c>
      <c r="E47">
        <v>0.49070000000000003</v>
      </c>
      <c r="F47">
        <v>1.3635999999999999</v>
      </c>
      <c r="G47">
        <v>0.5645</v>
      </c>
      <c r="H47">
        <v>3.2942</v>
      </c>
      <c r="I47" s="46" t="s">
        <v>533</v>
      </c>
    </row>
    <row r="48" spans="1:12" x14ac:dyDescent="0.25">
      <c r="A48" s="43" t="s">
        <v>377</v>
      </c>
      <c r="B48">
        <v>-2.5000000000000001E-2</v>
      </c>
      <c r="C48">
        <v>8.0000000000000002E-3</v>
      </c>
      <c r="D48">
        <v>-3.125</v>
      </c>
      <c r="E48">
        <v>1.8E-3</v>
      </c>
      <c r="F48">
        <v>0.97529999999999994</v>
      </c>
      <c r="G48">
        <v>0.96009999999999995</v>
      </c>
      <c r="H48">
        <v>0.99070000000000003</v>
      </c>
      <c r="I48" s="46" t="s">
        <v>534</v>
      </c>
    </row>
    <row r="49" spans="1:12" x14ac:dyDescent="0.25">
      <c r="A49" s="43" t="s">
        <v>394</v>
      </c>
      <c r="B49">
        <v>0.04</v>
      </c>
      <c r="C49">
        <v>0.38</v>
      </c>
      <c r="D49">
        <v>0.104</v>
      </c>
      <c r="E49">
        <v>0.91710000000000003</v>
      </c>
      <c r="F49">
        <v>1.0403</v>
      </c>
      <c r="G49">
        <v>0.49399999999999999</v>
      </c>
      <c r="H49">
        <v>2.1909000000000001</v>
      </c>
      <c r="I49" s="46" t="s">
        <v>533</v>
      </c>
    </row>
    <row r="50" spans="1:12" x14ac:dyDescent="0.25">
      <c r="A50" s="43" t="s">
        <v>240</v>
      </c>
      <c r="B50">
        <v>4.7240000000000002</v>
      </c>
      <c r="C50">
        <v>0.52</v>
      </c>
      <c r="D50">
        <v>9.0853999999999999</v>
      </c>
      <c r="E50" t="s">
        <v>526</v>
      </c>
      <c r="F50">
        <v>112.66670000000001</v>
      </c>
      <c r="G50">
        <v>40.659500000000001</v>
      </c>
      <c r="H50">
        <v>312.1968</v>
      </c>
      <c r="I50" s="46" t="s">
        <v>535</v>
      </c>
    </row>
    <row r="51" spans="1:12" x14ac:dyDescent="0.25">
      <c r="A51" s="43" t="s">
        <v>536</v>
      </c>
      <c r="B51">
        <v>0.185</v>
      </c>
      <c r="C51">
        <v>0.41</v>
      </c>
      <c r="D51">
        <v>0.45119999999999999</v>
      </c>
      <c r="E51">
        <v>0.65180000000000005</v>
      </c>
      <c r="F51">
        <v>1.2033</v>
      </c>
      <c r="G51">
        <v>0.53849999999999998</v>
      </c>
      <c r="H51">
        <v>2.6878000000000002</v>
      </c>
      <c r="I51" s="46" t="s">
        <v>533</v>
      </c>
    </row>
    <row r="52" spans="1:12" x14ac:dyDescent="0.25">
      <c r="A52" s="43" t="s">
        <v>378</v>
      </c>
      <c r="B52">
        <v>1.2E-2</v>
      </c>
      <c r="C52">
        <v>5.0000000000000001E-3</v>
      </c>
      <c r="D52">
        <v>2.4</v>
      </c>
      <c r="E52">
        <v>1.6400000000000001E-2</v>
      </c>
      <c r="F52">
        <v>1.0121</v>
      </c>
      <c r="G52">
        <v>1.0022</v>
      </c>
      <c r="H52">
        <v>1.022</v>
      </c>
      <c r="I52" s="46" t="s">
        <v>537</v>
      </c>
    </row>
    <row r="53" spans="1:12" x14ac:dyDescent="0.25">
      <c r="A53" s="43"/>
      <c r="I53" s="46"/>
    </row>
    <row r="54" spans="1:12" x14ac:dyDescent="0.25">
      <c r="A54" s="44" t="s">
        <v>395</v>
      </c>
      <c r="B54" s="40"/>
      <c r="C54" s="40"/>
      <c r="D54" s="40"/>
      <c r="E54" s="40"/>
      <c r="F54" s="40"/>
      <c r="G54" s="40"/>
      <c r="H54" s="40"/>
      <c r="I54" s="47"/>
    </row>
    <row r="55" spans="1:12" x14ac:dyDescent="0.25">
      <c r="A55" s="28" t="s">
        <v>260</v>
      </c>
      <c r="B55" s="28" t="s">
        <v>181</v>
      </c>
      <c r="C55" s="28" t="s">
        <v>243</v>
      </c>
    </row>
    <row r="56" spans="1:12" x14ac:dyDescent="0.25">
      <c r="A56" t="s">
        <v>396</v>
      </c>
      <c r="B56">
        <v>0.42149999999999999</v>
      </c>
      <c r="C56" t="s">
        <v>538</v>
      </c>
    </row>
    <row r="57" spans="1:12" x14ac:dyDescent="0.25">
      <c r="A57" t="s">
        <v>245</v>
      </c>
      <c r="B57">
        <v>0.94199999999999995</v>
      </c>
      <c r="C57" t="s">
        <v>420</v>
      </c>
    </row>
    <row r="58" spans="1:12" x14ac:dyDescent="0.25">
      <c r="A58" t="s">
        <v>246</v>
      </c>
      <c r="B58" s="9">
        <v>0.9</v>
      </c>
      <c r="C58" t="s">
        <v>539</v>
      </c>
    </row>
    <row r="59" spans="1:12" x14ac:dyDescent="0.25">
      <c r="A59" t="s">
        <v>397</v>
      </c>
      <c r="B59" s="9">
        <v>0.86670000000000003</v>
      </c>
      <c r="C59" t="s">
        <v>540</v>
      </c>
    </row>
    <row r="60" spans="1:12" x14ac:dyDescent="0.25">
      <c r="A60" t="s">
        <v>398</v>
      </c>
      <c r="B60" s="9">
        <v>0.94550000000000001</v>
      </c>
      <c r="C60" t="s">
        <v>541</v>
      </c>
    </row>
    <row r="63" spans="1:12" x14ac:dyDescent="0.25">
      <c r="A63" t="s">
        <v>511</v>
      </c>
    </row>
    <row r="64" spans="1:12" ht="18" x14ac:dyDescent="0.3">
      <c r="A64" s="298" t="s">
        <v>542</v>
      </c>
      <c r="B64" s="298"/>
      <c r="C64" s="298"/>
      <c r="D64" s="298"/>
      <c r="E64" s="298"/>
      <c r="F64" s="298"/>
      <c r="G64" s="298"/>
      <c r="H64" s="298"/>
      <c r="I64" s="298"/>
      <c r="J64" s="298"/>
      <c r="K64" s="298"/>
      <c r="L64" s="298"/>
    </row>
    <row r="65" spans="1:12" x14ac:dyDescent="0.25">
      <c r="A65" t="s">
        <v>511</v>
      </c>
    </row>
    <row r="66" spans="1:12" x14ac:dyDescent="0.25">
      <c r="A66" s="21"/>
      <c r="B66" s="21"/>
      <c r="C66" s="21"/>
      <c r="D66" s="21"/>
      <c r="E66" s="21"/>
      <c r="F66" s="21"/>
      <c r="G66" s="21"/>
      <c r="H66" s="21"/>
      <c r="I66" s="21"/>
      <c r="J66" s="21"/>
      <c r="K66" s="21"/>
      <c r="L66" s="21"/>
    </row>
    <row r="67" spans="1:12" x14ac:dyDescent="0.25">
      <c r="A67" t="s">
        <v>543</v>
      </c>
    </row>
    <row r="68" spans="1:12" ht="16.5" x14ac:dyDescent="0.3">
      <c r="A68" s="34"/>
      <c r="B68" s="34"/>
      <c r="C68" s="34"/>
      <c r="D68" s="34"/>
      <c r="E68" s="34"/>
      <c r="F68" s="34"/>
      <c r="G68" s="34"/>
      <c r="H68" s="34"/>
      <c r="I68" s="34"/>
      <c r="J68" s="34"/>
      <c r="K68" s="34"/>
      <c r="L68" s="34"/>
    </row>
    <row r="69" spans="1:12" x14ac:dyDescent="0.25">
      <c r="A69" s="49" t="s">
        <v>226</v>
      </c>
      <c r="B69" s="48" t="s">
        <v>235</v>
      </c>
      <c r="C69" s="48" t="s">
        <v>236</v>
      </c>
      <c r="D69" s="48" t="s">
        <v>393</v>
      </c>
      <c r="E69" s="48" t="s">
        <v>241</v>
      </c>
      <c r="F69" s="48" t="s">
        <v>230</v>
      </c>
      <c r="G69" s="48" t="s">
        <v>231</v>
      </c>
      <c r="H69" s="48" t="s">
        <v>232</v>
      </c>
      <c r="I69" s="51" t="s">
        <v>259</v>
      </c>
    </row>
    <row r="70" spans="1:12" x14ac:dyDescent="0.25">
      <c r="A70" s="43" t="s">
        <v>237</v>
      </c>
      <c r="B70">
        <v>-1.1611</v>
      </c>
      <c r="C70">
        <v>0.48</v>
      </c>
      <c r="D70">
        <v>-2.419</v>
      </c>
      <c r="E70">
        <v>1.5599999999999999E-2</v>
      </c>
      <c r="F70">
        <v>0.31309999999999999</v>
      </c>
      <c r="G70">
        <v>0.1222</v>
      </c>
      <c r="H70">
        <v>0.80230000000000001</v>
      </c>
      <c r="I70" s="46" t="s">
        <v>537</v>
      </c>
    </row>
    <row r="71" spans="1:12" x14ac:dyDescent="0.25">
      <c r="A71" s="43" t="s">
        <v>377</v>
      </c>
      <c r="B71">
        <v>4.2000000000000003E-2</v>
      </c>
      <c r="C71">
        <v>1.2E-2</v>
      </c>
      <c r="D71">
        <v>3.5</v>
      </c>
      <c r="E71">
        <v>5.0000000000000001E-4</v>
      </c>
      <c r="F71">
        <v>1.0428999999999999</v>
      </c>
      <c r="G71">
        <v>1.0186999999999999</v>
      </c>
      <c r="H71">
        <v>1.0677000000000001</v>
      </c>
      <c r="I71" s="46" t="s">
        <v>535</v>
      </c>
    </row>
    <row r="72" spans="1:12" x14ac:dyDescent="0.25">
      <c r="A72" s="43" t="s">
        <v>394</v>
      </c>
      <c r="B72">
        <v>0.60029999999999994</v>
      </c>
      <c r="C72">
        <v>0.42</v>
      </c>
      <c r="D72">
        <v>1.4293</v>
      </c>
      <c r="E72">
        <v>0.15290000000000001</v>
      </c>
      <c r="F72">
        <v>1.8226</v>
      </c>
      <c r="G72">
        <v>0.80020000000000002</v>
      </c>
      <c r="H72">
        <v>4.1516000000000002</v>
      </c>
      <c r="I72" s="46" t="s">
        <v>533</v>
      </c>
    </row>
    <row r="73" spans="1:12" x14ac:dyDescent="0.25">
      <c r="A73" s="43" t="s">
        <v>240</v>
      </c>
      <c r="B73">
        <v>-3.3673000000000002</v>
      </c>
      <c r="C73">
        <v>0.65</v>
      </c>
      <c r="D73">
        <v>-5.1805000000000003</v>
      </c>
      <c r="E73" t="s">
        <v>526</v>
      </c>
      <c r="F73">
        <v>3.4500000000000003E-2</v>
      </c>
      <c r="G73">
        <v>9.5999999999999992E-3</v>
      </c>
      <c r="H73">
        <v>0.12330000000000001</v>
      </c>
      <c r="I73" s="46" t="s">
        <v>535</v>
      </c>
    </row>
    <row r="74" spans="1:12" x14ac:dyDescent="0.25">
      <c r="A74" s="50" t="s">
        <v>536</v>
      </c>
      <c r="B74" s="28">
        <v>-0.215</v>
      </c>
      <c r="C74" s="28">
        <v>0.43</v>
      </c>
      <c r="D74">
        <v>-0.5</v>
      </c>
      <c r="E74">
        <v>0.61709999999999998</v>
      </c>
      <c r="F74">
        <v>0.80649999999999999</v>
      </c>
      <c r="G74">
        <v>0.34720000000000001</v>
      </c>
      <c r="H74">
        <v>1.8737999999999999</v>
      </c>
      <c r="I74" s="46" t="s">
        <v>533</v>
      </c>
    </row>
    <row r="75" spans="1:12" x14ac:dyDescent="0.25">
      <c r="A75" s="44" t="s">
        <v>378</v>
      </c>
      <c r="B75" s="40">
        <v>8.0000000000000002E-3</v>
      </c>
      <c r="C75" s="40">
        <v>6.0000000000000001E-3</v>
      </c>
      <c r="D75" s="40">
        <v>1.3332999999999999</v>
      </c>
      <c r="E75" s="40">
        <v>0.18240000000000001</v>
      </c>
      <c r="F75" s="40">
        <v>1.008</v>
      </c>
      <c r="G75" s="40">
        <v>0.99619999999999997</v>
      </c>
      <c r="H75" s="40">
        <v>1.02</v>
      </c>
      <c r="I75" s="47" t="s">
        <v>533</v>
      </c>
    </row>
    <row r="77" spans="1:12" x14ac:dyDescent="0.25">
      <c r="A77" t="s">
        <v>403</v>
      </c>
    </row>
    <row r="78" spans="1:12" x14ac:dyDescent="0.25">
      <c r="A78" t="s">
        <v>260</v>
      </c>
      <c r="B78" t="s">
        <v>181</v>
      </c>
      <c r="C78" t="s">
        <v>243</v>
      </c>
    </row>
    <row r="79" spans="1:12" x14ac:dyDescent="0.25">
      <c r="A79" t="s">
        <v>396</v>
      </c>
      <c r="B79">
        <v>0.20749999999999999</v>
      </c>
      <c r="C79" t="s">
        <v>544</v>
      </c>
    </row>
    <row r="80" spans="1:12" x14ac:dyDescent="0.25">
      <c r="A80" t="s">
        <v>245</v>
      </c>
      <c r="B80">
        <v>0.82450000000000001</v>
      </c>
      <c r="C80" t="s">
        <v>420</v>
      </c>
    </row>
    <row r="81" spans="1:12" x14ac:dyDescent="0.25">
      <c r="A81" t="s">
        <v>246</v>
      </c>
      <c r="B81" s="9">
        <v>0.82310000000000005</v>
      </c>
      <c r="C81" t="s">
        <v>421</v>
      </c>
    </row>
    <row r="82" spans="1:12" x14ac:dyDescent="0.25">
      <c r="A82" t="s">
        <v>397</v>
      </c>
      <c r="B82" s="9">
        <v>0.6452</v>
      </c>
      <c r="C82" t="s">
        <v>545</v>
      </c>
    </row>
    <row r="83" spans="1:12" x14ac:dyDescent="0.25">
      <c r="A83" t="s">
        <v>398</v>
      </c>
      <c r="B83" s="9">
        <v>0.87880000000000003</v>
      </c>
      <c r="C83" t="s">
        <v>546</v>
      </c>
    </row>
    <row r="86" spans="1:12" x14ac:dyDescent="0.25">
      <c r="A86" t="s">
        <v>511</v>
      </c>
    </row>
    <row r="87" spans="1:12" ht="18" x14ac:dyDescent="0.3">
      <c r="A87" s="298" t="s">
        <v>547</v>
      </c>
      <c r="B87" s="298"/>
      <c r="C87" s="298"/>
      <c r="D87" s="298"/>
      <c r="E87" s="298"/>
      <c r="F87" s="298"/>
      <c r="G87" s="298"/>
      <c r="H87" s="298"/>
      <c r="I87" s="298"/>
      <c r="J87" s="298"/>
      <c r="K87" s="298"/>
      <c r="L87" s="298"/>
    </row>
    <row r="88" spans="1:12" x14ac:dyDescent="0.25">
      <c r="A88" t="s">
        <v>511</v>
      </c>
    </row>
    <row r="89" spans="1:12" x14ac:dyDescent="0.25">
      <c r="A89" s="21"/>
      <c r="B89" s="21"/>
      <c r="C89" s="21"/>
      <c r="D89" s="21"/>
      <c r="E89" s="21"/>
      <c r="F89" s="21"/>
      <c r="G89" s="21"/>
      <c r="H89" s="21"/>
      <c r="I89" s="21"/>
      <c r="J89" s="21"/>
      <c r="K89" s="21"/>
      <c r="L89" s="21"/>
    </row>
    <row r="90" spans="1:12" x14ac:dyDescent="0.25">
      <c r="A90" t="s">
        <v>548</v>
      </c>
    </row>
    <row r="91" spans="1:12" ht="16.5" x14ac:dyDescent="0.3">
      <c r="A91" s="34"/>
      <c r="B91" s="34"/>
      <c r="C91" s="34"/>
      <c r="D91" s="34"/>
      <c r="E91" s="34"/>
      <c r="F91" s="34"/>
      <c r="G91" s="34"/>
      <c r="H91" s="34"/>
      <c r="I91" s="34"/>
      <c r="J91" s="34"/>
      <c r="K91" s="34"/>
      <c r="L91" s="34"/>
    </row>
    <row r="92" spans="1:12" x14ac:dyDescent="0.25">
      <c r="A92" s="49" t="s">
        <v>226</v>
      </c>
      <c r="B92" s="48" t="s">
        <v>235</v>
      </c>
      <c r="C92" s="48" t="s">
        <v>236</v>
      </c>
      <c r="D92" s="48" t="s">
        <v>393</v>
      </c>
      <c r="E92" s="48" t="s">
        <v>241</v>
      </c>
      <c r="F92" s="48" t="s">
        <v>230</v>
      </c>
      <c r="G92" s="48" t="s">
        <v>231</v>
      </c>
      <c r="H92" s="48" t="s">
        <v>232</v>
      </c>
      <c r="I92" s="51" t="s">
        <v>259</v>
      </c>
    </row>
    <row r="93" spans="1:12" x14ac:dyDescent="0.25">
      <c r="A93" s="43" t="s">
        <v>237</v>
      </c>
      <c r="B93">
        <v>-1.7650999999999999</v>
      </c>
      <c r="C93">
        <v>0.55000000000000004</v>
      </c>
      <c r="D93">
        <v>-3.2092999999999998</v>
      </c>
      <c r="E93">
        <v>1.2999999999999999E-3</v>
      </c>
      <c r="F93">
        <v>0.17119999999999999</v>
      </c>
      <c r="G93">
        <v>5.8200000000000002E-2</v>
      </c>
      <c r="H93">
        <v>0.503</v>
      </c>
      <c r="I93" s="46" t="s">
        <v>534</v>
      </c>
    </row>
    <row r="94" spans="1:12" x14ac:dyDescent="0.25">
      <c r="A94" s="43" t="s">
        <v>377</v>
      </c>
      <c r="B94">
        <v>-6.5000000000000002E-2</v>
      </c>
      <c r="C94">
        <v>1.7999999999999999E-2</v>
      </c>
      <c r="D94">
        <v>-3.6111</v>
      </c>
      <c r="E94">
        <v>2.9999999999999997E-4</v>
      </c>
      <c r="F94">
        <v>0.93710000000000004</v>
      </c>
      <c r="G94">
        <v>0.90459999999999996</v>
      </c>
      <c r="H94">
        <v>0.97070000000000001</v>
      </c>
      <c r="I94" s="46" t="s">
        <v>535</v>
      </c>
    </row>
    <row r="95" spans="1:12" x14ac:dyDescent="0.25">
      <c r="A95" s="50" t="s">
        <v>407</v>
      </c>
      <c r="B95" s="28">
        <v>0.95950000000000002</v>
      </c>
      <c r="C95" s="28">
        <v>0.48</v>
      </c>
      <c r="D95">
        <v>1.9990000000000001</v>
      </c>
      <c r="E95">
        <v>4.5600000000000002E-2</v>
      </c>
      <c r="F95">
        <v>2.6103999999999998</v>
      </c>
      <c r="G95">
        <v>1.0188999999999999</v>
      </c>
      <c r="H95">
        <v>6.6879</v>
      </c>
      <c r="I95" s="46" t="s">
        <v>537</v>
      </c>
    </row>
    <row r="96" spans="1:12" x14ac:dyDescent="0.25">
      <c r="A96" s="43" t="s">
        <v>240</v>
      </c>
      <c r="B96">
        <v>-3.3109000000000002</v>
      </c>
      <c r="C96">
        <v>0.72</v>
      </c>
      <c r="D96">
        <v>-4.5983999999999998</v>
      </c>
      <c r="E96" t="s">
        <v>526</v>
      </c>
      <c r="F96">
        <v>3.6499999999999998E-2</v>
      </c>
      <c r="G96">
        <v>8.8999999999999999E-3</v>
      </c>
      <c r="H96">
        <v>0.14960000000000001</v>
      </c>
      <c r="I96" s="46" t="s">
        <v>535</v>
      </c>
    </row>
    <row r="97" spans="1:12" x14ac:dyDescent="0.25">
      <c r="A97" s="43" t="s">
        <v>536</v>
      </c>
      <c r="B97">
        <v>0.32</v>
      </c>
      <c r="C97">
        <v>0.45</v>
      </c>
      <c r="D97">
        <v>0.71109999999999995</v>
      </c>
      <c r="E97">
        <v>0.47699999999999998</v>
      </c>
      <c r="F97">
        <v>1.3771</v>
      </c>
      <c r="G97">
        <v>0.57030000000000003</v>
      </c>
      <c r="H97">
        <v>3.3258999999999999</v>
      </c>
      <c r="I97" s="46" t="s">
        <v>533</v>
      </c>
    </row>
    <row r="98" spans="1:12" x14ac:dyDescent="0.25">
      <c r="A98" s="44" t="s">
        <v>378</v>
      </c>
      <c r="B98" s="40">
        <v>-1.4999999999999999E-2</v>
      </c>
      <c r="C98" s="40">
        <v>8.0000000000000002E-3</v>
      </c>
      <c r="D98" s="40">
        <v>-1.875</v>
      </c>
      <c r="E98" s="40">
        <v>6.08E-2</v>
      </c>
      <c r="F98" s="40">
        <v>0.98509999999999998</v>
      </c>
      <c r="G98" s="40">
        <v>0.9698</v>
      </c>
      <c r="H98" s="40">
        <v>1.0006999999999999</v>
      </c>
      <c r="I98" s="47" t="s">
        <v>533</v>
      </c>
    </row>
    <row r="100" spans="1:12" x14ac:dyDescent="0.25">
      <c r="A100" t="s">
        <v>408</v>
      </c>
    </row>
    <row r="101" spans="1:12" x14ac:dyDescent="0.25">
      <c r="A101" t="s">
        <v>260</v>
      </c>
      <c r="B101" t="s">
        <v>181</v>
      </c>
      <c r="C101" t="s">
        <v>243</v>
      </c>
    </row>
    <row r="102" spans="1:12" x14ac:dyDescent="0.25">
      <c r="A102" t="s">
        <v>396</v>
      </c>
      <c r="B102">
        <v>0.39989999999999998</v>
      </c>
      <c r="C102" t="s">
        <v>544</v>
      </c>
    </row>
    <row r="103" spans="1:12" x14ac:dyDescent="0.25">
      <c r="A103" t="s">
        <v>245</v>
      </c>
      <c r="B103">
        <v>0.87560000000000004</v>
      </c>
      <c r="C103" t="s">
        <v>420</v>
      </c>
    </row>
    <row r="104" spans="1:12" x14ac:dyDescent="0.25">
      <c r="A104" t="s">
        <v>246</v>
      </c>
      <c r="B104" s="9">
        <v>0.89229999999999998</v>
      </c>
      <c r="C104" t="s">
        <v>539</v>
      </c>
    </row>
    <row r="105" spans="1:12" x14ac:dyDescent="0.25">
      <c r="A105" t="s">
        <v>397</v>
      </c>
      <c r="B105" s="9">
        <v>0.52629999999999999</v>
      </c>
      <c r="C105" t="s">
        <v>549</v>
      </c>
    </row>
    <row r="106" spans="1:12" x14ac:dyDescent="0.25">
      <c r="A106" t="s">
        <v>398</v>
      </c>
      <c r="B106" s="9">
        <v>0.95499999999999996</v>
      </c>
      <c r="C106" t="s">
        <v>550</v>
      </c>
    </row>
    <row r="109" spans="1:12" x14ac:dyDescent="0.25">
      <c r="A109" t="s">
        <v>511</v>
      </c>
    </row>
    <row r="110" spans="1:12" ht="18" x14ac:dyDescent="0.3">
      <c r="A110" s="298" t="s">
        <v>551</v>
      </c>
      <c r="B110" s="298"/>
      <c r="C110" s="298"/>
      <c r="D110" s="298"/>
      <c r="E110" s="298"/>
      <c r="F110" s="298"/>
      <c r="G110" s="298"/>
      <c r="H110" s="298"/>
      <c r="I110" s="298"/>
      <c r="J110" s="298"/>
      <c r="K110" s="298"/>
      <c r="L110" s="298"/>
    </row>
    <row r="111" spans="1:12" x14ac:dyDescent="0.25">
      <c r="A111" t="s">
        <v>511</v>
      </c>
    </row>
    <row r="112" spans="1:12" x14ac:dyDescent="0.25">
      <c r="A112" s="21"/>
      <c r="B112" s="21"/>
      <c r="C112" s="21"/>
      <c r="D112" s="21"/>
      <c r="E112" s="21"/>
      <c r="F112" s="21"/>
      <c r="G112" s="21"/>
      <c r="H112" s="21"/>
      <c r="I112" s="21"/>
      <c r="J112" s="21"/>
      <c r="K112" s="21"/>
      <c r="L112" s="21"/>
    </row>
    <row r="113" spans="1:12" x14ac:dyDescent="0.25">
      <c r="A113" t="s">
        <v>552</v>
      </c>
    </row>
    <row r="114" spans="1:12" ht="16.5" x14ac:dyDescent="0.3">
      <c r="A114" s="34" t="s">
        <v>553</v>
      </c>
      <c r="B114" s="34"/>
      <c r="C114" s="34"/>
      <c r="D114" s="34"/>
      <c r="E114" s="34"/>
      <c r="F114" s="34"/>
      <c r="G114" s="34"/>
      <c r="H114" s="34"/>
      <c r="I114" s="34"/>
      <c r="J114" s="34"/>
      <c r="K114" s="34"/>
      <c r="L114" s="34"/>
    </row>
    <row r="115" spans="1:12" x14ac:dyDescent="0.25">
      <c r="A115" s="49"/>
      <c r="B115" s="48"/>
      <c r="C115" s="48"/>
      <c r="D115" s="48"/>
      <c r="E115" s="48"/>
      <c r="F115" s="48"/>
      <c r="G115" s="48"/>
      <c r="H115" s="48"/>
      <c r="I115" s="51"/>
    </row>
    <row r="116" spans="1:12" x14ac:dyDescent="0.25">
      <c r="A116" s="43" t="s">
        <v>226</v>
      </c>
      <c r="B116" t="s">
        <v>235</v>
      </c>
      <c r="C116" t="s">
        <v>236</v>
      </c>
      <c r="D116" t="s">
        <v>393</v>
      </c>
      <c r="E116" t="s">
        <v>241</v>
      </c>
      <c r="F116" t="s">
        <v>230</v>
      </c>
      <c r="G116" t="s">
        <v>231</v>
      </c>
      <c r="H116" t="s">
        <v>232</v>
      </c>
      <c r="I116" s="46" t="s">
        <v>259</v>
      </c>
    </row>
    <row r="117" spans="1:12" x14ac:dyDescent="0.25">
      <c r="A117" s="43" t="s">
        <v>237</v>
      </c>
      <c r="B117">
        <v>-3.2189000000000001</v>
      </c>
      <c r="C117">
        <v>0.85</v>
      </c>
      <c r="D117">
        <v>-3.7869000000000002</v>
      </c>
      <c r="E117">
        <v>2.0000000000000001E-4</v>
      </c>
      <c r="F117">
        <v>0.04</v>
      </c>
      <c r="G117">
        <v>7.6E-3</v>
      </c>
      <c r="H117">
        <v>0.21160000000000001</v>
      </c>
      <c r="I117" s="46" t="s">
        <v>535</v>
      </c>
    </row>
    <row r="118" spans="1:12" x14ac:dyDescent="0.25">
      <c r="A118" s="50" t="s">
        <v>377</v>
      </c>
      <c r="B118" s="28">
        <v>5.0000000000000001E-3</v>
      </c>
      <c r="C118" s="28">
        <v>2.1999999999999999E-2</v>
      </c>
      <c r="D118">
        <v>0.2273</v>
      </c>
      <c r="E118">
        <v>0.82020000000000004</v>
      </c>
      <c r="F118">
        <v>1.0049999999999999</v>
      </c>
      <c r="G118">
        <v>0.96260000000000001</v>
      </c>
      <c r="H118">
        <v>1.0492999999999999</v>
      </c>
      <c r="I118" s="46" t="s">
        <v>533</v>
      </c>
    </row>
    <row r="119" spans="1:12" x14ac:dyDescent="0.25">
      <c r="A119" s="43" t="s">
        <v>394</v>
      </c>
      <c r="B119">
        <v>0.1318</v>
      </c>
      <c r="C119">
        <v>0.65</v>
      </c>
      <c r="D119">
        <v>0.20269999999999999</v>
      </c>
      <c r="E119">
        <v>0.83940000000000003</v>
      </c>
      <c r="F119">
        <v>1.1408</v>
      </c>
      <c r="G119">
        <v>0.31909999999999999</v>
      </c>
      <c r="H119">
        <v>4.0787000000000004</v>
      </c>
      <c r="I119" s="46" t="s">
        <v>533</v>
      </c>
    </row>
    <row r="120" spans="1:12" x14ac:dyDescent="0.25">
      <c r="A120" s="43" t="s">
        <v>240</v>
      </c>
      <c r="B120">
        <v>-2.5743999999999998</v>
      </c>
      <c r="C120">
        <v>0.95</v>
      </c>
      <c r="D120">
        <v>-2.7098</v>
      </c>
      <c r="E120">
        <v>6.7000000000000002E-3</v>
      </c>
      <c r="F120">
        <v>7.6200000000000004E-2</v>
      </c>
      <c r="G120">
        <v>1.18E-2</v>
      </c>
      <c r="H120">
        <v>0.49049999999999999</v>
      </c>
      <c r="I120" s="46" t="s">
        <v>534</v>
      </c>
    </row>
    <row r="121" spans="1:12" x14ac:dyDescent="0.25">
      <c r="A121" s="44" t="s">
        <v>536</v>
      </c>
      <c r="B121" s="40">
        <v>0.45</v>
      </c>
      <c r="C121" s="40">
        <v>0.68</v>
      </c>
      <c r="D121" s="40">
        <v>0.66180000000000005</v>
      </c>
      <c r="E121" s="40">
        <v>0.5081</v>
      </c>
      <c r="F121" s="40">
        <v>1.5683</v>
      </c>
      <c r="G121" s="40">
        <v>0.41360000000000002</v>
      </c>
      <c r="H121" s="40">
        <v>5.9478</v>
      </c>
      <c r="I121" s="47" t="s">
        <v>533</v>
      </c>
    </row>
    <row r="122" spans="1:12" x14ac:dyDescent="0.25">
      <c r="A122" t="s">
        <v>378</v>
      </c>
      <c r="B122">
        <v>1.7999999999999999E-2</v>
      </c>
      <c r="C122">
        <v>1.2E-2</v>
      </c>
      <c r="D122">
        <v>1.5</v>
      </c>
      <c r="E122">
        <v>0.1336</v>
      </c>
      <c r="F122">
        <v>1.0182</v>
      </c>
      <c r="G122">
        <v>0.99450000000000005</v>
      </c>
      <c r="H122">
        <v>1.0424</v>
      </c>
      <c r="I122" t="s">
        <v>533</v>
      </c>
    </row>
    <row r="124" spans="1:12" x14ac:dyDescent="0.25">
      <c r="A124" t="s">
        <v>412</v>
      </c>
    </row>
    <row r="125" spans="1:12" x14ac:dyDescent="0.25">
      <c r="A125" t="s">
        <v>260</v>
      </c>
      <c r="B125" t="s">
        <v>181</v>
      </c>
      <c r="C125" t="s">
        <v>243</v>
      </c>
    </row>
    <row r="126" spans="1:12" x14ac:dyDescent="0.25">
      <c r="A126" t="s">
        <v>396</v>
      </c>
      <c r="B126">
        <v>0.12479999999999999</v>
      </c>
      <c r="C126" t="s">
        <v>554</v>
      </c>
    </row>
    <row r="127" spans="1:12" x14ac:dyDescent="0.25">
      <c r="A127" t="s">
        <v>245</v>
      </c>
      <c r="B127">
        <v>0.68500000000000005</v>
      </c>
      <c r="C127" t="s">
        <v>555</v>
      </c>
    </row>
    <row r="128" spans="1:12" x14ac:dyDescent="0.25">
      <c r="A128" t="s">
        <v>246</v>
      </c>
      <c r="B128" s="9">
        <v>0.96150000000000002</v>
      </c>
      <c r="C128" t="s">
        <v>556</v>
      </c>
    </row>
    <row r="129" spans="1:12" x14ac:dyDescent="0.25">
      <c r="A129" t="s">
        <v>397</v>
      </c>
      <c r="B129" s="9">
        <v>0.2</v>
      </c>
      <c r="C129" t="s">
        <v>557</v>
      </c>
    </row>
    <row r="130" spans="1:12" x14ac:dyDescent="0.25">
      <c r="A130" t="s">
        <v>398</v>
      </c>
      <c r="B130" s="9">
        <v>0.99199999999999999</v>
      </c>
      <c r="C130" t="s">
        <v>558</v>
      </c>
    </row>
    <row r="133" spans="1:12" x14ac:dyDescent="0.25">
      <c r="A133" t="s">
        <v>511</v>
      </c>
    </row>
    <row r="134" spans="1:12" ht="20.25" x14ac:dyDescent="0.35">
      <c r="A134" s="299" t="s">
        <v>559</v>
      </c>
      <c r="B134" s="299"/>
      <c r="C134" s="299"/>
      <c r="D134" s="299"/>
      <c r="E134" s="299"/>
      <c r="F134" s="299"/>
      <c r="G134" s="299"/>
      <c r="H134" s="299"/>
      <c r="I134" s="299"/>
      <c r="J134" s="299"/>
      <c r="K134" s="299"/>
      <c r="L134" s="299"/>
    </row>
    <row r="135" spans="1:12" x14ac:dyDescent="0.25">
      <c r="A135" t="s">
        <v>511</v>
      </c>
    </row>
    <row r="137" spans="1:12" x14ac:dyDescent="0.25">
      <c r="A137" t="s">
        <v>560</v>
      </c>
    </row>
    <row r="138" spans="1:12" x14ac:dyDescent="0.25">
      <c r="A138" t="s">
        <v>561</v>
      </c>
    </row>
    <row r="139" spans="1:12" ht="16.5" x14ac:dyDescent="0.3">
      <c r="A139" s="34"/>
      <c r="B139" s="34"/>
      <c r="C139" s="34"/>
      <c r="D139" s="34"/>
      <c r="E139" s="34"/>
      <c r="F139" s="34"/>
      <c r="G139" s="34"/>
      <c r="H139" s="34"/>
      <c r="I139" s="34"/>
      <c r="J139" s="34"/>
      <c r="K139" s="34"/>
      <c r="L139" s="34"/>
    </row>
    <row r="140" spans="1:12" x14ac:dyDescent="0.25">
      <c r="A140" s="52" t="s">
        <v>226</v>
      </c>
      <c r="B140" s="53" t="s">
        <v>235</v>
      </c>
      <c r="C140" s="53" t="s">
        <v>236</v>
      </c>
      <c r="D140" s="53" t="s">
        <v>393</v>
      </c>
      <c r="E140" s="53" t="s">
        <v>241</v>
      </c>
      <c r="F140" s="53" t="s">
        <v>230</v>
      </c>
      <c r="G140" s="53" t="s">
        <v>231</v>
      </c>
      <c r="H140" s="53" t="s">
        <v>232</v>
      </c>
      <c r="I140" s="54" t="s">
        <v>259</v>
      </c>
      <c r="J140" s="21"/>
      <c r="K140" s="21"/>
      <c r="L140" s="21"/>
    </row>
    <row r="141" spans="1:12" x14ac:dyDescent="0.25">
      <c r="A141" s="55" t="s">
        <v>237</v>
      </c>
      <c r="B141" s="56">
        <v>-2.85</v>
      </c>
      <c r="C141" s="56">
        <v>0.72</v>
      </c>
      <c r="D141" s="56">
        <v>-3.9582999999999999</v>
      </c>
      <c r="E141" s="56" t="s">
        <v>526</v>
      </c>
      <c r="F141" s="56">
        <v>5.7799999999999997E-2</v>
      </c>
      <c r="G141" s="56">
        <v>1.41E-2</v>
      </c>
      <c r="H141" s="56">
        <v>0.23719999999999999</v>
      </c>
      <c r="I141" s="57" t="s">
        <v>535</v>
      </c>
    </row>
    <row r="142" spans="1:12" x14ac:dyDescent="0.25">
      <c r="A142" s="55" t="s">
        <v>377</v>
      </c>
      <c r="B142" s="56">
        <v>-2.5000000000000001E-2</v>
      </c>
      <c r="C142" s="56">
        <v>8.0000000000000002E-3</v>
      </c>
      <c r="D142" s="56">
        <v>-3.125</v>
      </c>
      <c r="E142" s="56">
        <v>1.8E-3</v>
      </c>
      <c r="F142" s="56">
        <v>0.97529999999999994</v>
      </c>
      <c r="G142" s="56">
        <v>0.96009999999999995</v>
      </c>
      <c r="H142" s="56">
        <v>0.99070000000000003</v>
      </c>
      <c r="I142" s="57" t="s">
        <v>534</v>
      </c>
    </row>
    <row r="143" spans="1:12" x14ac:dyDescent="0.25">
      <c r="A143" s="55" t="s">
        <v>394</v>
      </c>
      <c r="B143" s="56">
        <v>0.46</v>
      </c>
      <c r="C143" s="56">
        <v>0.39</v>
      </c>
      <c r="D143" s="56">
        <v>1.1795</v>
      </c>
      <c r="E143" s="56">
        <v>0.2382</v>
      </c>
      <c r="F143" s="56">
        <v>1.5841000000000001</v>
      </c>
      <c r="G143" s="56">
        <v>0.73760000000000003</v>
      </c>
      <c r="H143" s="56">
        <v>3.4020999999999999</v>
      </c>
      <c r="I143" s="57" t="s">
        <v>533</v>
      </c>
    </row>
    <row r="144" spans="1:12" x14ac:dyDescent="0.25">
      <c r="A144" s="55" t="s">
        <v>240</v>
      </c>
      <c r="B144" s="56">
        <v>2.86</v>
      </c>
      <c r="C144" s="56">
        <v>0.64</v>
      </c>
      <c r="D144" s="56">
        <v>4.4687999999999999</v>
      </c>
      <c r="E144" s="56" t="s">
        <v>526</v>
      </c>
      <c r="F144" s="56">
        <v>17.461500000000001</v>
      </c>
      <c r="G144" s="56">
        <v>4.9808000000000003</v>
      </c>
      <c r="H144" s="56">
        <v>61.215499999999999</v>
      </c>
      <c r="I144" s="57" t="s">
        <v>535</v>
      </c>
    </row>
    <row r="145" spans="1:9" x14ac:dyDescent="0.25">
      <c r="A145" s="55" t="s">
        <v>536</v>
      </c>
      <c r="B145" s="56">
        <v>0.31</v>
      </c>
      <c r="C145" s="56">
        <v>0.42</v>
      </c>
      <c r="D145" s="56">
        <v>0.73809999999999998</v>
      </c>
      <c r="E145" s="56">
        <v>0.46050000000000002</v>
      </c>
      <c r="F145" s="56">
        <v>1.3633999999999999</v>
      </c>
      <c r="G145" s="56">
        <v>0.59860000000000002</v>
      </c>
      <c r="H145" s="56">
        <v>3.1055999999999999</v>
      </c>
      <c r="I145" s="57" t="s">
        <v>533</v>
      </c>
    </row>
    <row r="146" spans="1:9" x14ac:dyDescent="0.25">
      <c r="A146" s="55" t="s">
        <v>378</v>
      </c>
      <c r="B146" s="56">
        <v>1.7999999999999999E-2</v>
      </c>
      <c r="C146" s="56">
        <v>6.0000000000000001E-3</v>
      </c>
      <c r="D146" s="56">
        <v>3</v>
      </c>
      <c r="E146" s="56">
        <v>2.7000000000000001E-3</v>
      </c>
      <c r="F146" s="56">
        <v>1.0182</v>
      </c>
      <c r="G146" s="56">
        <v>1.0063</v>
      </c>
      <c r="H146" s="56">
        <v>1.0302</v>
      </c>
      <c r="I146" s="57" t="s">
        <v>534</v>
      </c>
    </row>
    <row r="147" spans="1:9" x14ac:dyDescent="0.25">
      <c r="A147" s="55"/>
      <c r="B147" s="56"/>
      <c r="C147" s="56"/>
      <c r="D147" s="56"/>
      <c r="E147" s="56"/>
      <c r="F147" s="56"/>
      <c r="G147" s="56"/>
      <c r="H147" s="56"/>
      <c r="I147" s="57"/>
    </row>
    <row r="148" spans="1:9" x14ac:dyDescent="0.25">
      <c r="A148" s="58" t="s">
        <v>562</v>
      </c>
      <c r="B148" s="59"/>
      <c r="C148" s="59"/>
      <c r="D148" s="60"/>
      <c r="E148" s="60"/>
      <c r="F148" s="60"/>
      <c r="G148" s="60"/>
      <c r="H148" s="60"/>
      <c r="I148" s="61"/>
    </row>
    <row r="149" spans="1:9" x14ac:dyDescent="0.25">
      <c r="A149" t="s">
        <v>260</v>
      </c>
      <c r="B149" t="s">
        <v>181</v>
      </c>
      <c r="C149" t="s">
        <v>243</v>
      </c>
    </row>
    <row r="150" spans="1:9" x14ac:dyDescent="0.25">
      <c r="A150" t="s">
        <v>396</v>
      </c>
      <c r="B150">
        <v>0.318</v>
      </c>
      <c r="C150" t="s">
        <v>563</v>
      </c>
    </row>
    <row r="151" spans="1:9" x14ac:dyDescent="0.25">
      <c r="A151" t="s">
        <v>245</v>
      </c>
      <c r="B151">
        <v>0.82299999999999995</v>
      </c>
      <c r="C151" t="s">
        <v>261</v>
      </c>
    </row>
    <row r="152" spans="1:9" x14ac:dyDescent="0.25">
      <c r="A152" t="s">
        <v>246</v>
      </c>
      <c r="B152" s="9">
        <v>0.78500000000000003</v>
      </c>
      <c r="C152" t="s">
        <v>262</v>
      </c>
    </row>
    <row r="153" spans="1:9" x14ac:dyDescent="0.25">
      <c r="A153" t="s">
        <v>397</v>
      </c>
      <c r="B153" s="9">
        <v>0.7429</v>
      </c>
      <c r="C153" t="s">
        <v>564</v>
      </c>
    </row>
    <row r="154" spans="1:9" x14ac:dyDescent="0.25">
      <c r="A154" t="s">
        <v>398</v>
      </c>
      <c r="B154" s="9">
        <v>0.8</v>
      </c>
      <c r="C154" t="s">
        <v>565</v>
      </c>
    </row>
    <row r="155" spans="1:9" x14ac:dyDescent="0.25">
      <c r="A155" t="s">
        <v>424</v>
      </c>
      <c r="B155">
        <v>-52.8</v>
      </c>
      <c r="C155" t="s">
        <v>425</v>
      </c>
    </row>
    <row r="157" spans="1:9" x14ac:dyDescent="0.25">
      <c r="A157" t="s">
        <v>566</v>
      </c>
    </row>
    <row r="158" spans="1:9" x14ac:dyDescent="0.25">
      <c r="A158" t="s">
        <v>567</v>
      </c>
    </row>
    <row r="159" spans="1:9" x14ac:dyDescent="0.25">
      <c r="A159" t="s">
        <v>568</v>
      </c>
    </row>
    <row r="163" spans="1:12" x14ac:dyDescent="0.25">
      <c r="A163" t="s">
        <v>511</v>
      </c>
    </row>
    <row r="164" spans="1:12" ht="18" x14ac:dyDescent="0.3">
      <c r="A164" s="298" t="s">
        <v>569</v>
      </c>
      <c r="B164" s="298"/>
      <c r="C164" s="298"/>
      <c r="D164" s="298"/>
      <c r="E164" s="298"/>
      <c r="F164" s="298"/>
      <c r="G164" s="298"/>
      <c r="H164" s="298"/>
      <c r="I164" s="298"/>
      <c r="J164" s="298"/>
      <c r="K164" s="298"/>
      <c r="L164" s="298"/>
    </row>
    <row r="165" spans="1:12" x14ac:dyDescent="0.25">
      <c r="A165" t="s">
        <v>511</v>
      </c>
    </row>
    <row r="167" spans="1:12" x14ac:dyDescent="0.25">
      <c r="A167" s="35" t="s">
        <v>427</v>
      </c>
      <c r="B167" s="35" t="s">
        <v>570</v>
      </c>
      <c r="C167" s="35" t="s">
        <v>571</v>
      </c>
      <c r="D167" s="35" t="s">
        <v>404</v>
      </c>
      <c r="E167" s="35" t="s">
        <v>245</v>
      </c>
      <c r="F167" s="35" t="s">
        <v>246</v>
      </c>
      <c r="G167" s="35" t="s">
        <v>397</v>
      </c>
      <c r="H167" s="35" t="s">
        <v>398</v>
      </c>
      <c r="I167" s="35" t="s">
        <v>572</v>
      </c>
      <c r="J167" s="35" t="s">
        <v>573</v>
      </c>
      <c r="K167" s="35" t="s">
        <v>574</v>
      </c>
    </row>
    <row r="168" spans="1:12" x14ac:dyDescent="0.25">
      <c r="A168" s="21" t="s">
        <v>19</v>
      </c>
      <c r="B168" s="21">
        <v>75</v>
      </c>
      <c r="C168" s="33">
        <v>0.57689999999999997</v>
      </c>
      <c r="D168" s="21">
        <v>0.42149999999999999</v>
      </c>
      <c r="E168" s="21">
        <v>0.94199999999999995</v>
      </c>
      <c r="F168" s="33">
        <v>0.9</v>
      </c>
      <c r="G168" s="33">
        <v>0.86670000000000003</v>
      </c>
      <c r="H168" s="33">
        <v>0.94550000000000001</v>
      </c>
      <c r="I168" s="21" t="s">
        <v>240</v>
      </c>
      <c r="J168" s="21">
        <v>112.67</v>
      </c>
      <c r="K168" s="21" t="s">
        <v>575</v>
      </c>
      <c r="L168" s="21"/>
    </row>
    <row r="169" spans="1:12" x14ac:dyDescent="0.25">
      <c r="A169" t="s">
        <v>40</v>
      </c>
      <c r="B169">
        <v>31</v>
      </c>
      <c r="C169" s="9">
        <v>0.23849999999999999</v>
      </c>
      <c r="D169">
        <v>0.20749999999999999</v>
      </c>
      <c r="E169">
        <v>0.82450000000000001</v>
      </c>
      <c r="F169" s="9">
        <v>0.82310000000000005</v>
      </c>
      <c r="G169" s="9">
        <v>0.6452</v>
      </c>
      <c r="H169" s="9">
        <v>0.87880000000000003</v>
      </c>
      <c r="I169" t="s">
        <v>377</v>
      </c>
      <c r="J169">
        <v>1.04</v>
      </c>
      <c r="K169" t="s">
        <v>576</v>
      </c>
    </row>
    <row r="170" spans="1:12" x14ac:dyDescent="0.25">
      <c r="A170" t="s">
        <v>28</v>
      </c>
      <c r="B170">
        <v>19</v>
      </c>
      <c r="C170" s="9">
        <v>0.1462</v>
      </c>
      <c r="D170">
        <v>0.39989999999999998</v>
      </c>
      <c r="E170">
        <v>0.87560000000000004</v>
      </c>
      <c r="F170" s="9">
        <v>0.89229999999999998</v>
      </c>
      <c r="G170" s="9">
        <v>0.52629999999999999</v>
      </c>
      <c r="H170" s="9">
        <v>0.95499999999999996</v>
      </c>
      <c r="I170" t="s">
        <v>377</v>
      </c>
      <c r="J170">
        <v>0.94</v>
      </c>
      <c r="K170" t="s">
        <v>575</v>
      </c>
    </row>
    <row r="171" spans="1:12" x14ac:dyDescent="0.25">
      <c r="A171" t="s">
        <v>144</v>
      </c>
      <c r="B171">
        <v>5</v>
      </c>
      <c r="C171" s="9">
        <v>3.85E-2</v>
      </c>
      <c r="D171">
        <v>0.12479999999999999</v>
      </c>
      <c r="E171">
        <v>0.68500000000000005</v>
      </c>
      <c r="F171" s="9">
        <v>0.96150000000000002</v>
      </c>
      <c r="G171" s="9">
        <v>0.2</v>
      </c>
      <c r="H171" s="9">
        <v>0.99199999999999999</v>
      </c>
      <c r="I171" t="s">
        <v>240</v>
      </c>
      <c r="J171">
        <v>0.08</v>
      </c>
      <c r="K171" t="s">
        <v>577</v>
      </c>
    </row>
    <row r="172" spans="1:12" x14ac:dyDescent="0.25">
      <c r="A172" s="37" t="s">
        <v>434</v>
      </c>
      <c r="B172" s="37">
        <v>35</v>
      </c>
      <c r="C172" s="38">
        <v>0.26919999999999999</v>
      </c>
      <c r="D172" s="37">
        <v>0.318</v>
      </c>
      <c r="E172" s="37">
        <v>0.82299999999999995</v>
      </c>
      <c r="F172" s="38">
        <v>0.78500000000000003</v>
      </c>
      <c r="G172" s="38">
        <v>0.7429</v>
      </c>
      <c r="H172" s="38">
        <v>0.8</v>
      </c>
      <c r="I172" s="37" t="s">
        <v>240</v>
      </c>
      <c r="J172" s="37">
        <v>17.46</v>
      </c>
      <c r="K172" s="37" t="s">
        <v>578</v>
      </c>
    </row>
    <row r="175" spans="1:12" x14ac:dyDescent="0.25">
      <c r="A175" s="28" t="s">
        <v>579</v>
      </c>
      <c r="B175" s="28"/>
      <c r="C175" s="28"/>
    </row>
    <row r="177" spans="1:12" x14ac:dyDescent="0.25">
      <c r="A177" t="s">
        <v>260</v>
      </c>
      <c r="B177" t="s">
        <v>580</v>
      </c>
      <c r="C177" t="s">
        <v>581</v>
      </c>
      <c r="D177" t="s">
        <v>582</v>
      </c>
      <c r="E177" t="s">
        <v>583</v>
      </c>
    </row>
    <row r="178" spans="1:12" x14ac:dyDescent="0.25">
      <c r="A178" t="s">
        <v>245</v>
      </c>
      <c r="B178" t="s">
        <v>584</v>
      </c>
      <c r="C178" t="s">
        <v>585</v>
      </c>
      <c r="D178" t="s">
        <v>586</v>
      </c>
      <c r="E178" t="s">
        <v>587</v>
      </c>
    </row>
    <row r="179" spans="1:12" x14ac:dyDescent="0.25">
      <c r="A179" t="s">
        <v>396</v>
      </c>
      <c r="B179" t="s">
        <v>588</v>
      </c>
      <c r="C179" t="s">
        <v>589</v>
      </c>
      <c r="D179" t="s">
        <v>590</v>
      </c>
      <c r="E179" t="s">
        <v>591</v>
      </c>
    </row>
    <row r="180" spans="1:12" x14ac:dyDescent="0.25">
      <c r="A180" t="s">
        <v>246</v>
      </c>
      <c r="B180" t="s">
        <v>592</v>
      </c>
      <c r="C180" t="s">
        <v>593</v>
      </c>
      <c r="D180" t="s">
        <v>594</v>
      </c>
      <c r="E180" t="s">
        <v>595</v>
      </c>
    </row>
    <row r="183" spans="1:12" x14ac:dyDescent="0.25">
      <c r="A183" t="s">
        <v>511</v>
      </c>
    </row>
    <row r="184" spans="1:12" ht="18" x14ac:dyDescent="0.3">
      <c r="A184" s="298" t="s">
        <v>596</v>
      </c>
      <c r="B184" s="298"/>
      <c r="C184" s="298"/>
      <c r="D184" s="298"/>
      <c r="E184" s="298"/>
      <c r="F184" s="298"/>
      <c r="G184" s="298"/>
      <c r="H184" s="298"/>
      <c r="I184" s="298"/>
      <c r="J184" s="298"/>
      <c r="K184" s="298"/>
      <c r="L184" s="298"/>
    </row>
    <row r="185" spans="1:12" x14ac:dyDescent="0.25">
      <c r="A185" t="s">
        <v>511</v>
      </c>
    </row>
    <row r="187" spans="1:12" x14ac:dyDescent="0.25">
      <c r="A187" s="39" t="s">
        <v>225</v>
      </c>
      <c r="B187" s="39" t="s">
        <v>239</v>
      </c>
      <c r="C187" s="39" t="s">
        <v>230</v>
      </c>
      <c r="D187" s="39" t="s">
        <v>263</v>
      </c>
      <c r="E187" s="39" t="s">
        <v>241</v>
      </c>
      <c r="F187" s="39" t="s">
        <v>597</v>
      </c>
      <c r="G187" s="39" t="s">
        <v>598</v>
      </c>
      <c r="H187" s="21"/>
      <c r="I187" s="21"/>
      <c r="J187" s="21"/>
      <c r="K187" s="21"/>
      <c r="L187" s="21"/>
    </row>
    <row r="189" spans="1:12" x14ac:dyDescent="0.25">
      <c r="A189" t="s">
        <v>599</v>
      </c>
    </row>
    <row r="190" spans="1:12" x14ac:dyDescent="0.25">
      <c r="A190" t="s">
        <v>19</v>
      </c>
      <c r="B190" t="s">
        <v>240</v>
      </c>
      <c r="C190">
        <v>112.67</v>
      </c>
      <c r="D190" t="s">
        <v>600</v>
      </c>
      <c r="E190" t="s">
        <v>526</v>
      </c>
      <c r="F190" t="s">
        <v>601</v>
      </c>
      <c r="G190" t="s">
        <v>602</v>
      </c>
    </row>
    <row r="191" spans="1:12" x14ac:dyDescent="0.25">
      <c r="A191" t="s">
        <v>19</v>
      </c>
      <c r="B191" t="s">
        <v>377</v>
      </c>
      <c r="C191">
        <v>0.97529999999999994</v>
      </c>
      <c r="D191" t="s">
        <v>603</v>
      </c>
      <c r="E191">
        <v>1.8E-3</v>
      </c>
      <c r="F191" t="s">
        <v>604</v>
      </c>
      <c r="G191" t="s">
        <v>442</v>
      </c>
    </row>
    <row r="192" spans="1:12" x14ac:dyDescent="0.25">
      <c r="A192" t="s">
        <v>19</v>
      </c>
      <c r="B192" t="s">
        <v>247</v>
      </c>
      <c r="C192">
        <v>1.0121</v>
      </c>
      <c r="D192" t="s">
        <v>605</v>
      </c>
      <c r="E192">
        <v>1.6400000000000001E-2</v>
      </c>
      <c r="F192" t="s">
        <v>606</v>
      </c>
      <c r="G192" t="s">
        <v>607</v>
      </c>
    </row>
    <row r="194" spans="1:7" x14ac:dyDescent="0.25">
      <c r="A194" t="s">
        <v>608</v>
      </c>
    </row>
    <row r="195" spans="1:7" x14ac:dyDescent="0.25">
      <c r="A195" t="s">
        <v>40</v>
      </c>
      <c r="B195" t="s">
        <v>377</v>
      </c>
      <c r="C195">
        <v>1.0428999999999999</v>
      </c>
      <c r="D195" t="s">
        <v>609</v>
      </c>
      <c r="E195">
        <v>5.0000000000000001E-4</v>
      </c>
      <c r="F195" t="s">
        <v>610</v>
      </c>
      <c r="G195" t="s">
        <v>611</v>
      </c>
    </row>
    <row r="196" spans="1:7" x14ac:dyDescent="0.25">
      <c r="A196" t="s">
        <v>40</v>
      </c>
      <c r="B196" t="s">
        <v>240</v>
      </c>
      <c r="C196">
        <v>3.4500000000000003E-2</v>
      </c>
      <c r="D196" t="s">
        <v>612</v>
      </c>
      <c r="E196" t="s">
        <v>526</v>
      </c>
      <c r="F196" t="s">
        <v>613</v>
      </c>
      <c r="G196" t="s">
        <v>614</v>
      </c>
    </row>
    <row r="198" spans="1:7" x14ac:dyDescent="0.25">
      <c r="A198" t="s">
        <v>615</v>
      </c>
    </row>
    <row r="199" spans="1:7" x14ac:dyDescent="0.25">
      <c r="A199" t="s">
        <v>28</v>
      </c>
      <c r="B199" t="s">
        <v>377</v>
      </c>
      <c r="C199">
        <v>0.93710000000000004</v>
      </c>
      <c r="D199" t="s">
        <v>616</v>
      </c>
      <c r="E199">
        <v>2.9999999999999997E-4</v>
      </c>
      <c r="F199" t="s">
        <v>617</v>
      </c>
      <c r="G199" t="s">
        <v>618</v>
      </c>
    </row>
    <row r="200" spans="1:7" x14ac:dyDescent="0.25">
      <c r="A200" t="s">
        <v>28</v>
      </c>
      <c r="B200" t="s">
        <v>619</v>
      </c>
      <c r="C200">
        <v>2.6103999999999998</v>
      </c>
      <c r="D200" t="s">
        <v>620</v>
      </c>
      <c r="E200">
        <v>4.5600000000000002E-2</v>
      </c>
      <c r="F200" t="s">
        <v>610</v>
      </c>
      <c r="G200" t="s">
        <v>621</v>
      </c>
    </row>
    <row r="201" spans="1:7" x14ac:dyDescent="0.25">
      <c r="A201" t="s">
        <v>28</v>
      </c>
      <c r="B201" t="s">
        <v>240</v>
      </c>
      <c r="C201">
        <v>3.6499999999999998E-2</v>
      </c>
      <c r="D201" t="s">
        <v>622</v>
      </c>
      <c r="E201" t="s">
        <v>526</v>
      </c>
      <c r="F201" t="s">
        <v>613</v>
      </c>
      <c r="G201" t="s">
        <v>623</v>
      </c>
    </row>
    <row r="203" spans="1:7" x14ac:dyDescent="0.25">
      <c r="A203" t="s">
        <v>624</v>
      </c>
    </row>
    <row r="204" spans="1:7" x14ac:dyDescent="0.25">
      <c r="A204" t="s">
        <v>144</v>
      </c>
      <c r="B204" t="s">
        <v>240</v>
      </c>
      <c r="C204">
        <v>7.6200000000000004E-2</v>
      </c>
      <c r="D204" t="s">
        <v>625</v>
      </c>
      <c r="E204">
        <v>6.7000000000000002E-3</v>
      </c>
      <c r="F204" t="s">
        <v>617</v>
      </c>
      <c r="G204" t="s">
        <v>626</v>
      </c>
    </row>
    <row r="206" spans="1:7" x14ac:dyDescent="0.25">
      <c r="A206" t="s">
        <v>627</v>
      </c>
    </row>
    <row r="207" spans="1:7" x14ac:dyDescent="0.25">
      <c r="A207" t="s">
        <v>227</v>
      </c>
      <c r="B207" t="s">
        <v>240</v>
      </c>
      <c r="C207">
        <v>17.46</v>
      </c>
      <c r="D207" t="s">
        <v>628</v>
      </c>
      <c r="E207" t="s">
        <v>526</v>
      </c>
      <c r="F207" t="s">
        <v>601</v>
      </c>
      <c r="G207" t="s">
        <v>266</v>
      </c>
    </row>
    <row r="208" spans="1:7" x14ac:dyDescent="0.25">
      <c r="A208" t="s">
        <v>227</v>
      </c>
      <c r="B208" t="s">
        <v>377</v>
      </c>
      <c r="C208">
        <v>0.97529999999999994</v>
      </c>
      <c r="D208" t="s">
        <v>603</v>
      </c>
      <c r="E208">
        <v>1.8E-3</v>
      </c>
      <c r="F208" t="s">
        <v>604</v>
      </c>
      <c r="G208" t="s">
        <v>629</v>
      </c>
    </row>
    <row r="209" spans="1:12" x14ac:dyDescent="0.25">
      <c r="A209" t="s">
        <v>227</v>
      </c>
      <c r="B209" t="s">
        <v>247</v>
      </c>
      <c r="C209">
        <v>1.0182</v>
      </c>
      <c r="D209" t="s">
        <v>630</v>
      </c>
      <c r="E209">
        <v>2.7000000000000001E-3</v>
      </c>
      <c r="F209" t="s">
        <v>606</v>
      </c>
      <c r="G209" t="s">
        <v>631</v>
      </c>
    </row>
    <row r="212" spans="1:12" x14ac:dyDescent="0.25">
      <c r="A212" t="s">
        <v>511</v>
      </c>
    </row>
    <row r="213" spans="1:12" ht="18" x14ac:dyDescent="0.3">
      <c r="A213" s="298" t="s">
        <v>632</v>
      </c>
      <c r="B213" s="298"/>
      <c r="C213" s="298"/>
      <c r="D213" s="298"/>
      <c r="E213" s="298"/>
      <c r="F213" s="298"/>
      <c r="G213" s="298"/>
      <c r="H213" s="298"/>
      <c r="I213" s="298"/>
      <c r="J213" s="298"/>
      <c r="K213" s="298"/>
      <c r="L213" s="298"/>
    </row>
    <row r="214" spans="1:12" x14ac:dyDescent="0.25">
      <c r="A214" t="s">
        <v>511</v>
      </c>
    </row>
    <row r="216" spans="1:12" x14ac:dyDescent="0.25">
      <c r="A216" t="s">
        <v>633</v>
      </c>
    </row>
    <row r="217" spans="1:12" ht="17.25" x14ac:dyDescent="0.3">
      <c r="A217" s="297"/>
      <c r="B217" s="297"/>
      <c r="C217" s="297"/>
      <c r="D217" s="297"/>
      <c r="E217" s="297"/>
      <c r="F217" s="297"/>
      <c r="G217" s="297"/>
      <c r="H217" s="297"/>
      <c r="I217" s="297"/>
      <c r="J217" s="297"/>
      <c r="K217" s="297"/>
      <c r="L217" s="297"/>
    </row>
    <row r="218" spans="1:12" x14ac:dyDescent="0.25">
      <c r="A218" t="s">
        <v>634</v>
      </c>
    </row>
    <row r="219" spans="1:12" x14ac:dyDescent="0.25">
      <c r="A219" t="s">
        <v>635</v>
      </c>
    </row>
    <row r="220" spans="1:12" x14ac:dyDescent="0.25">
      <c r="A220" t="s">
        <v>636</v>
      </c>
    </row>
    <row r="221" spans="1:12" x14ac:dyDescent="0.25">
      <c r="A221" t="s">
        <v>637</v>
      </c>
    </row>
    <row r="222" spans="1:12" x14ac:dyDescent="0.25">
      <c r="A222" t="s">
        <v>638</v>
      </c>
    </row>
    <row r="224" spans="1:12" x14ac:dyDescent="0.25">
      <c r="A224" t="s">
        <v>639</v>
      </c>
    </row>
    <row r="225" spans="1:1" x14ac:dyDescent="0.25">
      <c r="A225" t="s">
        <v>640</v>
      </c>
    </row>
    <row r="226" spans="1:1" x14ac:dyDescent="0.25">
      <c r="A226" t="s">
        <v>641</v>
      </c>
    </row>
    <row r="227" spans="1:1" x14ac:dyDescent="0.25">
      <c r="A227" t="s">
        <v>642</v>
      </c>
    </row>
    <row r="228" spans="1:1" x14ac:dyDescent="0.25">
      <c r="A228" t="s">
        <v>643</v>
      </c>
    </row>
    <row r="230" spans="1:1" x14ac:dyDescent="0.25">
      <c r="A230" t="s">
        <v>644</v>
      </c>
    </row>
    <row r="231" spans="1:1" x14ac:dyDescent="0.25">
      <c r="A231" t="s">
        <v>645</v>
      </c>
    </row>
    <row r="232" spans="1:1" x14ac:dyDescent="0.25">
      <c r="A232" t="s">
        <v>646</v>
      </c>
    </row>
    <row r="233" spans="1:1" x14ac:dyDescent="0.25">
      <c r="A233" t="s">
        <v>647</v>
      </c>
    </row>
    <row r="235" spans="1:1" x14ac:dyDescent="0.25">
      <c r="A235" t="s">
        <v>648</v>
      </c>
    </row>
    <row r="236" spans="1:1" x14ac:dyDescent="0.25">
      <c r="A236" t="s">
        <v>649</v>
      </c>
    </row>
    <row r="237" spans="1:1" x14ac:dyDescent="0.25">
      <c r="A237" t="s">
        <v>650</v>
      </c>
    </row>
    <row r="238" spans="1:1" x14ac:dyDescent="0.25">
      <c r="A238" t="s">
        <v>651</v>
      </c>
    </row>
    <row r="240" spans="1:1" x14ac:dyDescent="0.25">
      <c r="A240" t="s">
        <v>652</v>
      </c>
    </row>
    <row r="241" spans="1:1" x14ac:dyDescent="0.25">
      <c r="A241" t="s">
        <v>653</v>
      </c>
    </row>
    <row r="242" spans="1:1" x14ac:dyDescent="0.25">
      <c r="A242" t="s">
        <v>654</v>
      </c>
    </row>
    <row r="245" spans="1:1" x14ac:dyDescent="0.25">
      <c r="A245" t="s">
        <v>655</v>
      </c>
    </row>
    <row r="247" spans="1:1" x14ac:dyDescent="0.25">
      <c r="A247" t="s">
        <v>656</v>
      </c>
    </row>
    <row r="248" spans="1:1" x14ac:dyDescent="0.25">
      <c r="A248" t="s">
        <v>657</v>
      </c>
    </row>
    <row r="249" spans="1:1" x14ac:dyDescent="0.25">
      <c r="A249" t="s">
        <v>658</v>
      </c>
    </row>
    <row r="250" spans="1:1" x14ac:dyDescent="0.25">
      <c r="A250" t="s">
        <v>659</v>
      </c>
    </row>
    <row r="251" spans="1:1" x14ac:dyDescent="0.25">
      <c r="A251" t="s">
        <v>660</v>
      </c>
    </row>
    <row r="253" spans="1:1" x14ac:dyDescent="0.25">
      <c r="A253" t="s">
        <v>661</v>
      </c>
    </row>
    <row r="254" spans="1:1" x14ac:dyDescent="0.25">
      <c r="A254" t="s">
        <v>662</v>
      </c>
    </row>
    <row r="255" spans="1:1" x14ac:dyDescent="0.25">
      <c r="A255" t="s">
        <v>663</v>
      </c>
    </row>
    <row r="256" spans="1:1" x14ac:dyDescent="0.25">
      <c r="A256" t="s">
        <v>664</v>
      </c>
    </row>
    <row r="258" spans="1:1" x14ac:dyDescent="0.25">
      <c r="A258" t="s">
        <v>665</v>
      </c>
    </row>
    <row r="261" spans="1:1" x14ac:dyDescent="0.25">
      <c r="A261" t="s">
        <v>511</v>
      </c>
    </row>
    <row r="262" spans="1:1" x14ac:dyDescent="0.25">
      <c r="A262" t="s">
        <v>417</v>
      </c>
    </row>
    <row r="263" spans="1:1" x14ac:dyDescent="0.25">
      <c r="A263" t="s">
        <v>666</v>
      </c>
    </row>
    <row r="264" spans="1:1" x14ac:dyDescent="0.25">
      <c r="A264" t="s">
        <v>511</v>
      </c>
    </row>
  </sheetData>
  <mergeCells count="13">
    <mergeCell ref="A64:L64"/>
    <mergeCell ref="A1:L1"/>
    <mergeCell ref="A2:L2"/>
    <mergeCell ref="A3:L3"/>
    <mergeCell ref="A6:L6"/>
    <mergeCell ref="A40:L40"/>
    <mergeCell ref="A217:L217"/>
    <mergeCell ref="A87:L87"/>
    <mergeCell ref="A110:L110"/>
    <mergeCell ref="A134:L134"/>
    <mergeCell ref="A164:L164"/>
    <mergeCell ref="A184:L184"/>
    <mergeCell ref="A213:L2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7F57-FBF9-402A-9EFB-E4E3601FA69F}">
  <dimension ref="A1:T405"/>
  <sheetViews>
    <sheetView tabSelected="1" topLeftCell="A52" workbookViewId="0">
      <selection activeCell="D62" sqref="D62"/>
    </sheetView>
  </sheetViews>
  <sheetFormatPr defaultRowHeight="14.25" x14ac:dyDescent="0.25"/>
  <cols>
    <col min="1" max="1" width="27.5" customWidth="1"/>
    <col min="2" max="2" width="15.625" bestFit="1" customWidth="1"/>
    <col min="3" max="3" width="46.5" bestFit="1" customWidth="1"/>
    <col min="4" max="4" width="57.75" bestFit="1" customWidth="1"/>
    <col min="5" max="5" width="9.5" bestFit="1" customWidth="1"/>
    <col min="6" max="6" width="9.375" bestFit="1" customWidth="1"/>
    <col min="14" max="18" width="8.875" style="62"/>
  </cols>
  <sheetData>
    <row r="1" spans="1:20" ht="21.75" x14ac:dyDescent="0.35">
      <c r="A1" s="302" t="s">
        <v>715</v>
      </c>
      <c r="B1" s="302"/>
      <c r="C1" s="302"/>
      <c r="D1" s="302"/>
      <c r="E1" s="302"/>
      <c r="F1" s="302"/>
      <c r="G1" s="302"/>
      <c r="H1" s="302"/>
      <c r="I1" s="302"/>
      <c r="N1"/>
      <c r="O1"/>
      <c r="P1" s="303" t="s">
        <v>1023</v>
      </c>
      <c r="Q1" s="303"/>
      <c r="R1" s="303"/>
      <c r="S1" s="303"/>
      <c r="T1" s="303"/>
    </row>
    <row r="2" spans="1:20" ht="17.25" x14ac:dyDescent="0.3">
      <c r="A2" s="63" t="s">
        <v>716</v>
      </c>
      <c r="N2"/>
      <c r="O2"/>
      <c r="P2"/>
      <c r="Q2"/>
      <c r="R2"/>
    </row>
    <row r="3" spans="1:20" x14ac:dyDescent="0.25">
      <c r="A3" s="64" t="s">
        <v>717</v>
      </c>
      <c r="N3"/>
      <c r="O3"/>
      <c r="P3" s="7" t="s">
        <v>1024</v>
      </c>
      <c r="Q3"/>
      <c r="R3"/>
    </row>
    <row r="4" spans="1:20" x14ac:dyDescent="0.25">
      <c r="N4"/>
      <c r="O4"/>
      <c r="P4" t="s">
        <v>705</v>
      </c>
      <c r="Q4" t="s">
        <v>706</v>
      </c>
      <c r="R4" t="s">
        <v>707</v>
      </c>
    </row>
    <row r="5" spans="1:20" x14ac:dyDescent="0.25">
      <c r="A5" t="s">
        <v>718</v>
      </c>
      <c r="N5"/>
      <c r="O5"/>
      <c r="P5">
        <v>2</v>
      </c>
      <c r="Q5">
        <v>312.8</v>
      </c>
      <c r="R5">
        <v>0.38900000000000001</v>
      </c>
    </row>
    <row r="6" spans="1:20" x14ac:dyDescent="0.25">
      <c r="A6" s="65" t="s">
        <v>719</v>
      </c>
      <c r="N6"/>
      <c r="O6"/>
      <c r="P6">
        <v>3</v>
      </c>
      <c r="Q6">
        <v>218.4</v>
      </c>
      <c r="R6">
        <v>0.45200000000000001</v>
      </c>
    </row>
    <row r="7" spans="1:20" x14ac:dyDescent="0.25">
      <c r="A7" t="s">
        <v>718</v>
      </c>
      <c r="N7"/>
      <c r="O7"/>
      <c r="P7">
        <v>4</v>
      </c>
      <c r="Q7">
        <v>165.7</v>
      </c>
      <c r="R7">
        <v>0.53800000000000003</v>
      </c>
    </row>
    <row r="8" spans="1:20" x14ac:dyDescent="0.25">
      <c r="N8"/>
      <c r="O8"/>
      <c r="P8">
        <v>5</v>
      </c>
      <c r="Q8">
        <v>138.19999999999999</v>
      </c>
      <c r="R8">
        <v>0.51200000000000001</v>
      </c>
    </row>
    <row r="9" spans="1:20" x14ac:dyDescent="0.25">
      <c r="A9" s="66" t="s">
        <v>720</v>
      </c>
      <c r="B9" s="66" t="s">
        <v>721</v>
      </c>
      <c r="C9" s="66" t="s">
        <v>258</v>
      </c>
      <c r="D9" s="66" t="s">
        <v>667</v>
      </c>
      <c r="E9" s="66" t="s">
        <v>668</v>
      </c>
      <c r="N9"/>
      <c r="O9"/>
      <c r="P9">
        <v>6</v>
      </c>
      <c r="Q9">
        <v>121.5</v>
      </c>
      <c r="R9">
        <v>0.47799999999999998</v>
      </c>
    </row>
    <row r="10" spans="1:20" x14ac:dyDescent="0.25">
      <c r="A10">
        <v>1</v>
      </c>
      <c r="B10" t="s">
        <v>4</v>
      </c>
      <c r="C10" t="s">
        <v>669</v>
      </c>
      <c r="D10" t="s">
        <v>722</v>
      </c>
      <c r="E10" t="s">
        <v>723</v>
      </c>
      <c r="N10"/>
      <c r="O10"/>
      <c r="P10">
        <v>7</v>
      </c>
      <c r="Q10">
        <v>108.9</v>
      </c>
      <c r="R10">
        <v>0.44500000000000001</v>
      </c>
    </row>
    <row r="11" spans="1:20" x14ac:dyDescent="0.25">
      <c r="A11">
        <v>2</v>
      </c>
      <c r="B11" t="s">
        <v>5</v>
      </c>
      <c r="C11" t="s">
        <v>669</v>
      </c>
      <c r="D11" t="s">
        <v>722</v>
      </c>
      <c r="E11" t="s">
        <v>724</v>
      </c>
      <c r="N11"/>
      <c r="O11"/>
      <c r="P11">
        <v>8</v>
      </c>
      <c r="Q11">
        <v>99.8</v>
      </c>
      <c r="R11">
        <v>0.41199999999999998</v>
      </c>
    </row>
    <row r="12" spans="1:20" x14ac:dyDescent="0.25">
      <c r="A12">
        <v>3</v>
      </c>
      <c r="B12" t="s">
        <v>6</v>
      </c>
      <c r="C12" t="s">
        <v>725</v>
      </c>
      <c r="D12" t="s">
        <v>726</v>
      </c>
      <c r="E12" t="s">
        <v>727</v>
      </c>
      <c r="N12"/>
      <c r="O12"/>
      <c r="P12"/>
      <c r="Q12"/>
      <c r="R12"/>
    </row>
    <row r="13" spans="1:20" x14ac:dyDescent="0.25">
      <c r="A13">
        <v>4</v>
      </c>
      <c r="B13" t="s">
        <v>7</v>
      </c>
      <c r="C13" t="s">
        <v>670</v>
      </c>
      <c r="D13" t="s">
        <v>728</v>
      </c>
      <c r="E13" t="s">
        <v>729</v>
      </c>
      <c r="N13"/>
      <c r="O13"/>
      <c r="P13" s="7" t="s">
        <v>708</v>
      </c>
      <c r="Q13"/>
      <c r="R13"/>
    </row>
    <row r="14" spans="1:20" x14ac:dyDescent="0.25">
      <c r="A14">
        <v>5</v>
      </c>
      <c r="B14" t="s">
        <v>730</v>
      </c>
      <c r="C14" t="s">
        <v>731</v>
      </c>
      <c r="D14" t="s">
        <v>732</v>
      </c>
      <c r="E14" t="s">
        <v>733</v>
      </c>
      <c r="N14"/>
      <c r="O14"/>
      <c r="P14" t="s">
        <v>675</v>
      </c>
      <c r="Q14" t="s">
        <v>228</v>
      </c>
      <c r="R14" t="s">
        <v>268</v>
      </c>
    </row>
    <row r="15" spans="1:20" x14ac:dyDescent="0.25">
      <c r="A15">
        <v>6</v>
      </c>
      <c r="B15" t="s">
        <v>695</v>
      </c>
      <c r="C15" t="s">
        <v>669</v>
      </c>
      <c r="D15" t="s">
        <v>734</v>
      </c>
      <c r="E15" t="s">
        <v>735</v>
      </c>
      <c r="N15"/>
      <c r="O15"/>
      <c r="P15" t="s">
        <v>1025</v>
      </c>
      <c r="Q15">
        <v>38</v>
      </c>
      <c r="R15">
        <v>29.2</v>
      </c>
    </row>
    <row r="16" spans="1:20" x14ac:dyDescent="0.25">
      <c r="A16">
        <v>7</v>
      </c>
      <c r="B16" t="s">
        <v>240</v>
      </c>
      <c r="C16" t="s">
        <v>725</v>
      </c>
      <c r="D16" t="s">
        <v>736</v>
      </c>
      <c r="E16" t="s">
        <v>737</v>
      </c>
      <c r="N16"/>
      <c r="O16"/>
      <c r="P16" t="s">
        <v>1026</v>
      </c>
      <c r="Q16">
        <v>32</v>
      </c>
      <c r="R16">
        <v>24.6</v>
      </c>
    </row>
    <row r="17" spans="1:20" x14ac:dyDescent="0.25">
      <c r="A17">
        <v>8</v>
      </c>
      <c r="B17" t="s">
        <v>738</v>
      </c>
      <c r="C17" t="s">
        <v>739</v>
      </c>
      <c r="D17" t="s">
        <v>740</v>
      </c>
      <c r="E17" t="s">
        <v>741</v>
      </c>
      <c r="N17"/>
      <c r="O17"/>
      <c r="P17" t="s">
        <v>1027</v>
      </c>
      <c r="Q17">
        <v>35</v>
      </c>
      <c r="R17">
        <v>26.9</v>
      </c>
    </row>
    <row r="18" spans="1:20" x14ac:dyDescent="0.25">
      <c r="A18">
        <v>9</v>
      </c>
      <c r="B18" t="s">
        <v>12</v>
      </c>
      <c r="C18" t="s">
        <v>742</v>
      </c>
      <c r="D18" t="s">
        <v>743</v>
      </c>
      <c r="E18" t="s">
        <v>744</v>
      </c>
      <c r="N18"/>
      <c r="O18"/>
      <c r="P18" t="s">
        <v>1028</v>
      </c>
      <c r="Q18">
        <v>25</v>
      </c>
      <c r="R18">
        <v>19.2</v>
      </c>
    </row>
    <row r="19" spans="1:20" x14ac:dyDescent="0.25">
      <c r="A19">
        <v>10</v>
      </c>
      <c r="B19" t="s">
        <v>247</v>
      </c>
      <c r="C19" t="s">
        <v>669</v>
      </c>
      <c r="D19" t="s">
        <v>722</v>
      </c>
      <c r="E19" t="s">
        <v>745</v>
      </c>
      <c r="N19"/>
      <c r="O19"/>
      <c r="P19"/>
      <c r="Q19"/>
      <c r="R19"/>
    </row>
    <row r="20" spans="1:20" x14ac:dyDescent="0.25">
      <c r="A20">
        <v>11</v>
      </c>
      <c r="B20" t="s">
        <v>14</v>
      </c>
      <c r="C20" t="s">
        <v>746</v>
      </c>
      <c r="D20" t="s">
        <v>747</v>
      </c>
      <c r="E20" t="s">
        <v>748</v>
      </c>
      <c r="N20"/>
      <c r="O20"/>
      <c r="P20" s="7" t="s">
        <v>1029</v>
      </c>
      <c r="Q20"/>
      <c r="R20"/>
    </row>
    <row r="21" spans="1:20" x14ac:dyDescent="0.25">
      <c r="A21">
        <v>12</v>
      </c>
      <c r="B21" t="s">
        <v>671</v>
      </c>
      <c r="C21" t="s">
        <v>670</v>
      </c>
      <c r="D21" t="s">
        <v>749</v>
      </c>
      <c r="E21" t="s">
        <v>750</v>
      </c>
      <c r="N21"/>
      <c r="O21"/>
      <c r="P21" t="s">
        <v>226</v>
      </c>
      <c r="Q21" t="s">
        <v>709</v>
      </c>
      <c r="R21" t="s">
        <v>710</v>
      </c>
      <c r="S21" t="s">
        <v>711</v>
      </c>
      <c r="T21" t="s">
        <v>712</v>
      </c>
    </row>
    <row r="22" spans="1:20" x14ac:dyDescent="0.25">
      <c r="A22">
        <v>13</v>
      </c>
      <c r="B22" t="s">
        <v>17</v>
      </c>
      <c r="C22" t="s">
        <v>670</v>
      </c>
      <c r="D22" t="s">
        <v>751</v>
      </c>
      <c r="E22" t="s">
        <v>752</v>
      </c>
      <c r="N22"/>
      <c r="O22"/>
      <c r="P22" t="s">
        <v>377</v>
      </c>
      <c r="Q22">
        <v>22.4</v>
      </c>
      <c r="R22">
        <v>61.8</v>
      </c>
      <c r="S22">
        <v>38.700000000000003</v>
      </c>
      <c r="T22">
        <v>7.2</v>
      </c>
    </row>
    <row r="23" spans="1:20" x14ac:dyDescent="0.25">
      <c r="A23">
        <v>14</v>
      </c>
      <c r="B23" t="s">
        <v>18</v>
      </c>
      <c r="C23" t="s">
        <v>670</v>
      </c>
      <c r="D23" t="s">
        <v>753</v>
      </c>
      <c r="E23" t="s">
        <v>754</v>
      </c>
      <c r="N23"/>
      <c r="O23"/>
      <c r="P23" t="s">
        <v>1030</v>
      </c>
      <c r="Q23">
        <v>48.2</v>
      </c>
      <c r="R23">
        <v>16.8</v>
      </c>
      <c r="S23">
        <v>11.9</v>
      </c>
      <c r="T23">
        <v>18.399999999999999</v>
      </c>
    </row>
    <row r="24" spans="1:20" x14ac:dyDescent="0.25">
      <c r="A24">
        <v>15</v>
      </c>
      <c r="B24" t="s">
        <v>19</v>
      </c>
      <c r="C24" t="s">
        <v>670</v>
      </c>
      <c r="D24" t="s">
        <v>755</v>
      </c>
      <c r="E24" t="s">
        <v>756</v>
      </c>
      <c r="N24"/>
      <c r="O24"/>
      <c r="P24" t="s">
        <v>713</v>
      </c>
      <c r="Q24">
        <v>97.4</v>
      </c>
      <c r="R24">
        <v>9.4</v>
      </c>
      <c r="S24">
        <v>74.3</v>
      </c>
      <c r="T24">
        <v>12</v>
      </c>
    </row>
    <row r="25" spans="1:20" x14ac:dyDescent="0.25">
      <c r="A25">
        <v>16</v>
      </c>
      <c r="B25" t="s">
        <v>144</v>
      </c>
      <c r="C25" t="s">
        <v>670</v>
      </c>
      <c r="D25" t="s">
        <v>757</v>
      </c>
      <c r="E25" t="s">
        <v>758</v>
      </c>
      <c r="N25"/>
      <c r="O25"/>
      <c r="P25" t="s">
        <v>1031</v>
      </c>
      <c r="Q25">
        <v>84.2</v>
      </c>
      <c r="R25">
        <v>28.1</v>
      </c>
      <c r="S25">
        <v>17.100000000000001</v>
      </c>
      <c r="T25">
        <v>56</v>
      </c>
    </row>
    <row r="26" spans="1:20" x14ac:dyDescent="0.25">
      <c r="N26"/>
      <c r="O26"/>
      <c r="P26" t="s">
        <v>819</v>
      </c>
      <c r="Q26">
        <v>52.6</v>
      </c>
      <c r="R26">
        <v>3.1</v>
      </c>
      <c r="S26">
        <v>2.9</v>
      </c>
      <c r="T26">
        <v>8</v>
      </c>
    </row>
    <row r="27" spans="1:20" x14ac:dyDescent="0.25">
      <c r="A27" s="67" t="s">
        <v>759</v>
      </c>
      <c r="N27"/>
      <c r="O27"/>
      <c r="P27" t="s">
        <v>1032</v>
      </c>
      <c r="Q27">
        <v>9.8000000000000007</v>
      </c>
      <c r="R27">
        <v>198.5</v>
      </c>
      <c r="S27">
        <v>267.3</v>
      </c>
      <c r="T27">
        <v>24.6</v>
      </c>
    </row>
    <row r="28" spans="1:20" x14ac:dyDescent="0.25">
      <c r="A28">
        <v>17</v>
      </c>
      <c r="B28" t="s">
        <v>760</v>
      </c>
      <c r="C28" t="s">
        <v>725</v>
      </c>
      <c r="D28" t="s">
        <v>761</v>
      </c>
      <c r="E28" t="s">
        <v>762</v>
      </c>
      <c r="N28"/>
      <c r="O28"/>
      <c r="P28"/>
      <c r="Q28"/>
      <c r="R28"/>
    </row>
    <row r="29" spans="1:20" x14ac:dyDescent="0.25">
      <c r="A29">
        <v>18</v>
      </c>
      <c r="B29" t="s">
        <v>763</v>
      </c>
      <c r="C29" t="s">
        <v>725</v>
      </c>
      <c r="D29" t="s">
        <v>761</v>
      </c>
      <c r="E29" t="s">
        <v>762</v>
      </c>
      <c r="N29"/>
      <c r="O29"/>
      <c r="P29" s="7" t="s">
        <v>1033</v>
      </c>
      <c r="Q29"/>
      <c r="R29"/>
    </row>
    <row r="30" spans="1:20" x14ac:dyDescent="0.25">
      <c r="A30">
        <v>19</v>
      </c>
      <c r="B30" t="s">
        <v>764</v>
      </c>
      <c r="C30" t="s">
        <v>725</v>
      </c>
      <c r="D30" t="s">
        <v>761</v>
      </c>
      <c r="E30" t="s">
        <v>762</v>
      </c>
      <c r="N30"/>
      <c r="O30"/>
      <c r="P30" t="s">
        <v>225</v>
      </c>
      <c r="Q30" t="s">
        <v>709</v>
      </c>
      <c r="R30" t="s">
        <v>710</v>
      </c>
      <c r="S30" t="s">
        <v>711</v>
      </c>
      <c r="T30" t="s">
        <v>712</v>
      </c>
    </row>
    <row r="31" spans="1:20" x14ac:dyDescent="0.25">
      <c r="A31">
        <v>20</v>
      </c>
      <c r="B31" t="s">
        <v>270</v>
      </c>
      <c r="C31" t="s">
        <v>765</v>
      </c>
      <c r="D31" t="s">
        <v>766</v>
      </c>
      <c r="E31" t="s">
        <v>767</v>
      </c>
      <c r="N31"/>
      <c r="O31"/>
      <c r="P31" t="s">
        <v>19</v>
      </c>
      <c r="Q31">
        <v>36</v>
      </c>
      <c r="R31">
        <v>2</v>
      </c>
      <c r="S31">
        <v>32</v>
      </c>
      <c r="T31">
        <v>6</v>
      </c>
    </row>
    <row r="32" spans="1:20" x14ac:dyDescent="0.25">
      <c r="A32">
        <v>21</v>
      </c>
      <c r="B32" t="s">
        <v>768</v>
      </c>
      <c r="C32" t="s">
        <v>769</v>
      </c>
      <c r="D32" t="s">
        <v>770</v>
      </c>
      <c r="E32" t="s">
        <v>200</v>
      </c>
      <c r="N32"/>
      <c r="O32"/>
      <c r="P32" t="s">
        <v>40</v>
      </c>
      <c r="Q32">
        <v>1</v>
      </c>
      <c r="R32">
        <v>28</v>
      </c>
      <c r="S32">
        <v>1</v>
      </c>
      <c r="T32">
        <v>0</v>
      </c>
    </row>
    <row r="33" spans="1:20" x14ac:dyDescent="0.25">
      <c r="A33">
        <v>22</v>
      </c>
      <c r="B33" t="s">
        <v>771</v>
      </c>
      <c r="C33" t="s">
        <v>765</v>
      </c>
      <c r="D33" t="s">
        <v>772</v>
      </c>
      <c r="E33" t="s">
        <v>773</v>
      </c>
      <c r="N33"/>
      <c r="O33"/>
      <c r="P33" t="s">
        <v>28</v>
      </c>
      <c r="Q33">
        <v>0</v>
      </c>
      <c r="R33">
        <v>1</v>
      </c>
      <c r="S33">
        <v>1</v>
      </c>
      <c r="T33">
        <v>17</v>
      </c>
    </row>
    <row r="34" spans="1:20" x14ac:dyDescent="0.25">
      <c r="A34">
        <v>23</v>
      </c>
      <c r="B34" t="s">
        <v>774</v>
      </c>
      <c r="C34" t="s">
        <v>669</v>
      </c>
      <c r="D34" t="s">
        <v>775</v>
      </c>
      <c r="E34" t="s">
        <v>776</v>
      </c>
      <c r="N34"/>
      <c r="O34"/>
      <c r="P34" t="s">
        <v>144</v>
      </c>
      <c r="Q34">
        <v>1</v>
      </c>
      <c r="R34">
        <v>1</v>
      </c>
      <c r="S34">
        <v>1</v>
      </c>
      <c r="T34">
        <v>2</v>
      </c>
    </row>
    <row r="35" spans="1:20" x14ac:dyDescent="0.25">
      <c r="A35">
        <v>24</v>
      </c>
      <c r="B35" t="s">
        <v>777</v>
      </c>
      <c r="C35" t="s">
        <v>725</v>
      </c>
      <c r="D35" t="s">
        <v>778</v>
      </c>
      <c r="E35" t="s">
        <v>779</v>
      </c>
      <c r="N35"/>
      <c r="O35"/>
      <c r="P35"/>
      <c r="Q35"/>
      <c r="R35"/>
    </row>
    <row r="36" spans="1:20" x14ac:dyDescent="0.25">
      <c r="A36">
        <v>25</v>
      </c>
      <c r="B36" t="s">
        <v>780</v>
      </c>
      <c r="C36" t="s">
        <v>725</v>
      </c>
      <c r="D36" t="s">
        <v>778</v>
      </c>
      <c r="E36" t="s">
        <v>781</v>
      </c>
      <c r="N36"/>
      <c r="O36"/>
      <c r="P36" s="7" t="s">
        <v>1034</v>
      </c>
      <c r="Q36"/>
      <c r="R36"/>
    </row>
    <row r="37" spans="1:20" x14ac:dyDescent="0.25">
      <c r="A37">
        <v>26</v>
      </c>
      <c r="B37" t="s">
        <v>782</v>
      </c>
      <c r="C37" t="s">
        <v>725</v>
      </c>
      <c r="D37" t="s">
        <v>778</v>
      </c>
      <c r="E37" t="s">
        <v>783</v>
      </c>
      <c r="N37"/>
      <c r="O37"/>
      <c r="P37" t="s">
        <v>1035</v>
      </c>
      <c r="Q37" t="s">
        <v>709</v>
      </c>
      <c r="R37" t="s">
        <v>710</v>
      </c>
      <c r="S37" t="s">
        <v>711</v>
      </c>
      <c r="T37" t="s">
        <v>712</v>
      </c>
    </row>
    <row r="38" spans="1:20" x14ac:dyDescent="0.25">
      <c r="A38">
        <v>27</v>
      </c>
      <c r="B38" t="s">
        <v>784</v>
      </c>
      <c r="C38" t="s">
        <v>725</v>
      </c>
      <c r="D38" t="s">
        <v>778</v>
      </c>
      <c r="E38" t="s">
        <v>785</v>
      </c>
      <c r="N38"/>
      <c r="O38"/>
      <c r="P38" t="s">
        <v>777</v>
      </c>
      <c r="Q38">
        <v>68.400000000000006</v>
      </c>
      <c r="R38">
        <v>6.3</v>
      </c>
      <c r="S38">
        <v>45.7</v>
      </c>
      <c r="T38">
        <v>8</v>
      </c>
    </row>
    <row r="39" spans="1:20" x14ac:dyDescent="0.25">
      <c r="N39"/>
      <c r="O39"/>
      <c r="P39" t="s">
        <v>780</v>
      </c>
      <c r="Q39">
        <v>42.1</v>
      </c>
      <c r="R39">
        <v>3.1</v>
      </c>
      <c r="S39">
        <v>17.100000000000001</v>
      </c>
      <c r="T39">
        <v>0</v>
      </c>
    </row>
    <row r="40" spans="1:20" x14ac:dyDescent="0.25">
      <c r="A40" s="68" t="s">
        <v>786</v>
      </c>
      <c r="N40"/>
      <c r="O40"/>
      <c r="P40" t="s">
        <v>782</v>
      </c>
      <c r="Q40">
        <v>34.200000000000003</v>
      </c>
      <c r="R40">
        <v>0</v>
      </c>
      <c r="S40">
        <v>8.6</v>
      </c>
      <c r="T40">
        <v>4</v>
      </c>
    </row>
    <row r="41" spans="1:20" x14ac:dyDescent="0.25">
      <c r="N41"/>
      <c r="O41"/>
      <c r="P41" t="s">
        <v>784</v>
      </c>
      <c r="Q41">
        <v>18.399999999999999</v>
      </c>
      <c r="R41">
        <v>0</v>
      </c>
      <c r="S41">
        <v>2.9</v>
      </c>
      <c r="T41">
        <v>0</v>
      </c>
    </row>
    <row r="42" spans="1:20" x14ac:dyDescent="0.25">
      <c r="N42"/>
      <c r="O42"/>
      <c r="P42"/>
      <c r="Q42"/>
      <c r="R42"/>
    </row>
    <row r="43" spans="1:20" x14ac:dyDescent="0.25">
      <c r="A43" t="s">
        <v>718</v>
      </c>
      <c r="N43"/>
      <c r="O43"/>
      <c r="P43" s="7" t="s">
        <v>1036</v>
      </c>
      <c r="Q43"/>
      <c r="R43"/>
    </row>
    <row r="44" spans="1:20" x14ac:dyDescent="0.25">
      <c r="A44" s="65" t="s">
        <v>787</v>
      </c>
      <c r="N44"/>
      <c r="O44"/>
      <c r="P44" t="s">
        <v>675</v>
      </c>
      <c r="Q44" t="s">
        <v>714</v>
      </c>
      <c r="R44"/>
    </row>
    <row r="45" spans="1:20" x14ac:dyDescent="0.25">
      <c r="A45" t="s">
        <v>718</v>
      </c>
      <c r="N45"/>
      <c r="O45"/>
      <c r="P45" t="s">
        <v>677</v>
      </c>
      <c r="Q45">
        <v>0.624</v>
      </c>
      <c r="R45"/>
    </row>
    <row r="46" spans="1:20" x14ac:dyDescent="0.25">
      <c r="N46"/>
      <c r="O46"/>
      <c r="P46" t="s">
        <v>678</v>
      </c>
      <c r="Q46">
        <v>0.57199999999999995</v>
      </c>
      <c r="R46"/>
    </row>
    <row r="47" spans="1:20" x14ac:dyDescent="0.25">
      <c r="A47" s="15" t="s">
        <v>788</v>
      </c>
      <c r="N47"/>
      <c r="O47"/>
      <c r="P47" t="s">
        <v>679</v>
      </c>
      <c r="Q47">
        <v>0.48499999999999999</v>
      </c>
      <c r="R47"/>
    </row>
    <row r="48" spans="1:20" x14ac:dyDescent="0.25">
      <c r="N48"/>
      <c r="O48"/>
      <c r="P48" t="s">
        <v>680</v>
      </c>
      <c r="Q48">
        <v>0.51200000000000001</v>
      </c>
      <c r="R48"/>
    </row>
    <row r="49" spans="1:18" x14ac:dyDescent="0.25">
      <c r="A49" s="66" t="s">
        <v>705</v>
      </c>
      <c r="B49" s="66" t="s">
        <v>672</v>
      </c>
      <c r="C49" s="66" t="s">
        <v>789</v>
      </c>
      <c r="D49" s="66" t="s">
        <v>707</v>
      </c>
      <c r="E49" s="66" t="s">
        <v>790</v>
      </c>
      <c r="F49" s="66" t="s">
        <v>791</v>
      </c>
      <c r="N49"/>
      <c r="O49"/>
      <c r="P49"/>
      <c r="Q49"/>
      <c r="R49"/>
    </row>
    <row r="50" spans="1:18" x14ac:dyDescent="0.25">
      <c r="A50">
        <v>2</v>
      </c>
      <c r="B50">
        <v>312.8</v>
      </c>
      <c r="C50" t="s">
        <v>238</v>
      </c>
      <c r="D50">
        <v>0.38900000000000001</v>
      </c>
      <c r="E50">
        <v>68.5</v>
      </c>
      <c r="F50">
        <v>1.1200000000000001</v>
      </c>
      <c r="N50"/>
      <c r="O50"/>
      <c r="P50"/>
      <c r="Q50"/>
      <c r="R50"/>
    </row>
    <row r="51" spans="1:18" x14ac:dyDescent="0.25">
      <c r="A51">
        <v>3</v>
      </c>
      <c r="B51">
        <v>218.4</v>
      </c>
      <c r="C51" s="9">
        <v>-0.30199999999999999</v>
      </c>
      <c r="D51">
        <v>0.45200000000000001</v>
      </c>
      <c r="E51">
        <v>82.3</v>
      </c>
      <c r="F51">
        <v>0.95</v>
      </c>
      <c r="N51"/>
      <c r="O51"/>
      <c r="P51"/>
      <c r="Q51"/>
      <c r="R51"/>
    </row>
    <row r="52" spans="1:18" x14ac:dyDescent="0.25">
      <c r="A52" s="71">
        <v>4</v>
      </c>
      <c r="B52" s="71">
        <v>165.7</v>
      </c>
      <c r="C52" s="72">
        <v>-0.24099999999999999</v>
      </c>
      <c r="D52" s="71">
        <v>0.53800000000000003</v>
      </c>
      <c r="E52" s="71">
        <v>98.7</v>
      </c>
      <c r="F52" s="71">
        <v>0.72</v>
      </c>
      <c r="N52"/>
      <c r="O52"/>
      <c r="P52"/>
      <c r="Q52"/>
      <c r="R52"/>
    </row>
    <row r="53" spans="1:18" x14ac:dyDescent="0.25">
      <c r="A53">
        <v>5</v>
      </c>
      <c r="B53">
        <v>138.19999999999999</v>
      </c>
      <c r="C53" s="9">
        <v>-0.16600000000000001</v>
      </c>
      <c r="D53">
        <v>0.51200000000000001</v>
      </c>
      <c r="E53">
        <v>95.4</v>
      </c>
      <c r="F53">
        <v>0.78</v>
      </c>
      <c r="N53"/>
      <c r="O53"/>
      <c r="P53"/>
      <c r="Q53"/>
      <c r="R53"/>
    </row>
    <row r="54" spans="1:18" x14ac:dyDescent="0.25">
      <c r="A54">
        <v>6</v>
      </c>
      <c r="B54">
        <v>121.5</v>
      </c>
      <c r="C54" s="9">
        <v>-0.121</v>
      </c>
      <c r="D54">
        <v>0.47799999999999998</v>
      </c>
      <c r="E54">
        <v>89.2</v>
      </c>
      <c r="F54">
        <v>0.85</v>
      </c>
      <c r="N54"/>
      <c r="O54"/>
      <c r="P54"/>
      <c r="Q54"/>
      <c r="R54"/>
    </row>
    <row r="55" spans="1:18" x14ac:dyDescent="0.25">
      <c r="A55">
        <v>7</v>
      </c>
      <c r="B55">
        <v>108.9</v>
      </c>
      <c r="C55" s="9">
        <v>-0.104</v>
      </c>
      <c r="D55">
        <v>0.44500000000000001</v>
      </c>
      <c r="E55">
        <v>84.1</v>
      </c>
      <c r="F55">
        <v>0.91</v>
      </c>
      <c r="N55"/>
      <c r="O55"/>
      <c r="P55"/>
      <c r="Q55"/>
      <c r="R55"/>
    </row>
    <row r="56" spans="1:18" x14ac:dyDescent="0.25">
      <c r="A56">
        <v>8</v>
      </c>
      <c r="B56">
        <v>99.8</v>
      </c>
      <c r="C56" s="9">
        <v>-8.4000000000000005E-2</v>
      </c>
      <c r="D56">
        <v>0.41199999999999998</v>
      </c>
      <c r="E56">
        <v>78.599999999999994</v>
      </c>
      <c r="F56">
        <v>0.98</v>
      </c>
      <c r="N56"/>
      <c r="O56"/>
      <c r="P56"/>
      <c r="Q56"/>
      <c r="R56"/>
    </row>
    <row r="57" spans="1:18" x14ac:dyDescent="0.25">
      <c r="N57"/>
      <c r="O57"/>
      <c r="P57"/>
      <c r="Q57"/>
      <c r="R57"/>
    </row>
    <row r="58" spans="1:18" ht="17.25" x14ac:dyDescent="0.3">
      <c r="A58" s="308" t="s">
        <v>792</v>
      </c>
      <c r="B58" s="308"/>
      <c r="N58"/>
      <c r="O58"/>
      <c r="P58"/>
      <c r="Q58"/>
      <c r="R58"/>
    </row>
    <row r="59" spans="1:18" x14ac:dyDescent="0.25">
      <c r="A59" s="309" t="s">
        <v>793</v>
      </c>
      <c r="B59" s="309"/>
      <c r="C59" s="309"/>
      <c r="N59"/>
      <c r="O59"/>
      <c r="P59"/>
      <c r="Q59"/>
      <c r="R59"/>
    </row>
    <row r="60" spans="1:18" x14ac:dyDescent="0.25">
      <c r="N60"/>
      <c r="O60"/>
      <c r="P60"/>
      <c r="Q60"/>
      <c r="R60"/>
    </row>
    <row r="61" spans="1:18" x14ac:dyDescent="0.25">
      <c r="N61"/>
      <c r="O61"/>
      <c r="P61"/>
      <c r="Q61"/>
      <c r="R61"/>
    </row>
    <row r="62" spans="1:18" x14ac:dyDescent="0.25">
      <c r="A62" t="s">
        <v>718</v>
      </c>
      <c r="N62"/>
      <c r="O62"/>
      <c r="P62"/>
      <c r="Q62"/>
      <c r="R62"/>
    </row>
    <row r="63" spans="1:18" x14ac:dyDescent="0.25">
      <c r="A63" s="310" t="s">
        <v>794</v>
      </c>
      <c r="B63" s="310"/>
      <c r="C63" s="310"/>
      <c r="N63"/>
      <c r="O63"/>
      <c r="P63"/>
      <c r="Q63"/>
      <c r="R63"/>
    </row>
    <row r="64" spans="1:18" x14ac:dyDescent="0.25">
      <c r="A64" t="s">
        <v>718</v>
      </c>
      <c r="N64"/>
      <c r="O64"/>
      <c r="P64"/>
      <c r="Q64"/>
      <c r="R64"/>
    </row>
    <row r="65" spans="1:18" x14ac:dyDescent="0.25">
      <c r="N65"/>
      <c r="O65"/>
      <c r="P65"/>
      <c r="Q65"/>
      <c r="R65"/>
    </row>
    <row r="66" spans="1:18" x14ac:dyDescent="0.25">
      <c r="A66" s="7" t="s">
        <v>674</v>
      </c>
      <c r="N66"/>
      <c r="O66"/>
      <c r="P66"/>
      <c r="Q66"/>
      <c r="R66"/>
    </row>
    <row r="67" spans="1:18" x14ac:dyDescent="0.25">
      <c r="N67"/>
      <c r="O67"/>
      <c r="P67"/>
      <c r="Q67"/>
      <c r="R67"/>
    </row>
    <row r="68" spans="1:18" x14ac:dyDescent="0.25">
      <c r="A68" s="66" t="s">
        <v>675</v>
      </c>
      <c r="B68" s="66" t="s">
        <v>228</v>
      </c>
      <c r="C68" s="66" t="s">
        <v>268</v>
      </c>
      <c r="D68" s="66" t="s">
        <v>676</v>
      </c>
      <c r="E68" s="66" t="s">
        <v>795</v>
      </c>
      <c r="N68"/>
      <c r="O68"/>
      <c r="P68"/>
      <c r="Q68"/>
      <c r="R68"/>
    </row>
    <row r="69" spans="1:18" x14ac:dyDescent="0.25">
      <c r="A69" s="73" t="s">
        <v>796</v>
      </c>
      <c r="B69" s="73">
        <v>38</v>
      </c>
      <c r="C69" s="74">
        <v>0.29199999999999998</v>
      </c>
      <c r="D69" s="73" t="s">
        <v>797</v>
      </c>
      <c r="E69" s="73" t="s">
        <v>798</v>
      </c>
      <c r="N69"/>
      <c r="O69"/>
      <c r="P69"/>
      <c r="Q69"/>
      <c r="R69"/>
    </row>
    <row r="70" spans="1:18" x14ac:dyDescent="0.25">
      <c r="A70" s="75" t="s">
        <v>799</v>
      </c>
      <c r="B70" s="75">
        <v>32</v>
      </c>
      <c r="C70" s="76">
        <v>0.246</v>
      </c>
      <c r="D70" s="75" t="s">
        <v>800</v>
      </c>
      <c r="E70" s="75" t="s">
        <v>801</v>
      </c>
      <c r="N70"/>
      <c r="O70"/>
      <c r="P70"/>
      <c r="Q70"/>
      <c r="R70"/>
    </row>
    <row r="71" spans="1:18" x14ac:dyDescent="0.25">
      <c r="A71" s="69" t="s">
        <v>802</v>
      </c>
      <c r="B71" s="69">
        <v>35</v>
      </c>
      <c r="C71" s="70">
        <v>0.26900000000000002</v>
      </c>
      <c r="D71" s="69" t="s">
        <v>803</v>
      </c>
      <c r="E71" s="69" t="s">
        <v>269</v>
      </c>
      <c r="N71"/>
      <c r="O71"/>
      <c r="P71"/>
      <c r="Q71"/>
      <c r="R71"/>
    </row>
    <row r="72" spans="1:18" x14ac:dyDescent="0.25">
      <c r="A72" s="77" t="s">
        <v>804</v>
      </c>
      <c r="B72" s="77">
        <v>25</v>
      </c>
      <c r="C72" s="78">
        <v>0.192</v>
      </c>
      <c r="D72" s="77" t="s">
        <v>805</v>
      </c>
      <c r="E72" s="77" t="s">
        <v>801</v>
      </c>
      <c r="N72"/>
      <c r="O72"/>
      <c r="P72"/>
      <c r="Q72"/>
      <c r="R72"/>
    </row>
    <row r="73" spans="1:18" x14ac:dyDescent="0.25">
      <c r="A73" s="7" t="s">
        <v>202</v>
      </c>
      <c r="B73" s="7">
        <v>130</v>
      </c>
      <c r="C73" s="80">
        <v>1</v>
      </c>
      <c r="D73" s="7"/>
      <c r="E73" s="7"/>
      <c r="N73"/>
      <c r="O73"/>
      <c r="P73"/>
      <c r="Q73"/>
      <c r="R73"/>
    </row>
    <row r="74" spans="1:18" x14ac:dyDescent="0.25">
      <c r="N74"/>
      <c r="O74"/>
      <c r="P74"/>
      <c r="Q74"/>
      <c r="R74"/>
    </row>
    <row r="75" spans="1:18" x14ac:dyDescent="0.25">
      <c r="N75"/>
      <c r="O75"/>
      <c r="P75"/>
      <c r="Q75"/>
      <c r="R75"/>
    </row>
    <row r="76" spans="1:18" x14ac:dyDescent="0.25">
      <c r="A76" s="67" t="s">
        <v>806</v>
      </c>
      <c r="N76"/>
      <c r="O76"/>
      <c r="P76"/>
      <c r="Q76"/>
      <c r="R76"/>
    </row>
    <row r="77" spans="1:18" x14ac:dyDescent="0.25">
      <c r="N77"/>
      <c r="O77"/>
      <c r="P77"/>
      <c r="Q77"/>
      <c r="R77"/>
    </row>
    <row r="78" spans="1:18" x14ac:dyDescent="0.25">
      <c r="A78" s="66" t="s">
        <v>226</v>
      </c>
      <c r="B78" s="66" t="s">
        <v>807</v>
      </c>
      <c r="C78" s="66" t="s">
        <v>808</v>
      </c>
      <c r="D78" s="66" t="s">
        <v>809</v>
      </c>
      <c r="E78" s="66" t="s">
        <v>810</v>
      </c>
      <c r="F78" s="66" t="s">
        <v>681</v>
      </c>
      <c r="N78"/>
      <c r="O78"/>
      <c r="P78"/>
      <c r="Q78"/>
      <c r="R78"/>
    </row>
    <row r="79" spans="1:18" x14ac:dyDescent="0.25">
      <c r="A79" s="81" t="s">
        <v>811</v>
      </c>
      <c r="N79"/>
      <c r="O79"/>
      <c r="P79"/>
      <c r="Q79"/>
      <c r="R79"/>
    </row>
    <row r="80" spans="1:18" x14ac:dyDescent="0.25">
      <c r="A80" t="s">
        <v>253</v>
      </c>
      <c r="B80">
        <v>22.4</v>
      </c>
      <c r="C80">
        <v>61.8</v>
      </c>
      <c r="D80">
        <v>38.700000000000003</v>
      </c>
      <c r="E80">
        <v>7.2</v>
      </c>
      <c r="F80">
        <v>36.1</v>
      </c>
      <c r="N80"/>
      <c r="O80"/>
      <c r="P80"/>
      <c r="Q80"/>
      <c r="R80"/>
    </row>
    <row r="81" spans="1:18" x14ac:dyDescent="0.25">
      <c r="A81" t="s">
        <v>682</v>
      </c>
      <c r="B81" s="9">
        <v>0.47399999999999998</v>
      </c>
      <c r="C81" s="9">
        <v>0.71899999999999997</v>
      </c>
      <c r="D81" s="9">
        <v>0.54300000000000004</v>
      </c>
      <c r="E81" s="9">
        <v>0.44</v>
      </c>
      <c r="F81" s="9">
        <v>0.56899999999999995</v>
      </c>
      <c r="N81"/>
      <c r="O81"/>
      <c r="P81"/>
      <c r="Q81"/>
      <c r="R81"/>
    </row>
    <row r="82" spans="1:18" x14ac:dyDescent="0.25">
      <c r="A82" t="s">
        <v>812</v>
      </c>
      <c r="B82" s="9">
        <v>0.42099999999999999</v>
      </c>
      <c r="C82" s="9">
        <v>3.1E-2</v>
      </c>
      <c r="D82" s="9">
        <v>0.114</v>
      </c>
      <c r="E82" s="9">
        <v>0.88</v>
      </c>
      <c r="F82" s="9">
        <v>0.33100000000000002</v>
      </c>
      <c r="N82"/>
      <c r="O82"/>
      <c r="P82"/>
      <c r="Q82"/>
      <c r="R82"/>
    </row>
    <row r="83" spans="1:18" x14ac:dyDescent="0.25">
      <c r="A83" t="s">
        <v>813</v>
      </c>
      <c r="B83" s="9">
        <v>5.2999999999999999E-2</v>
      </c>
      <c r="C83" s="9">
        <v>0.65600000000000003</v>
      </c>
      <c r="D83" s="9">
        <v>0.17100000000000001</v>
      </c>
      <c r="E83" s="9">
        <v>0</v>
      </c>
      <c r="F83" s="9">
        <v>0.223</v>
      </c>
      <c r="N83"/>
      <c r="O83"/>
      <c r="P83"/>
      <c r="Q83"/>
      <c r="R83"/>
    </row>
    <row r="84" spans="1:18" x14ac:dyDescent="0.25">
      <c r="N84"/>
      <c r="O84"/>
      <c r="P84"/>
      <c r="Q84"/>
      <c r="R84"/>
    </row>
    <row r="85" spans="1:18" x14ac:dyDescent="0.25">
      <c r="A85" s="82" t="s">
        <v>814</v>
      </c>
      <c r="N85"/>
      <c r="O85"/>
      <c r="P85"/>
      <c r="Q85"/>
      <c r="R85"/>
    </row>
    <row r="86" spans="1:18" x14ac:dyDescent="0.25">
      <c r="A86" t="s">
        <v>683</v>
      </c>
      <c r="B86" s="9">
        <v>0.97399999999999998</v>
      </c>
      <c r="C86" s="9">
        <v>9.4E-2</v>
      </c>
      <c r="D86" s="9">
        <v>0.74299999999999999</v>
      </c>
      <c r="E86" s="9">
        <v>0.12</v>
      </c>
      <c r="F86" s="9">
        <v>0.52300000000000002</v>
      </c>
      <c r="N86"/>
      <c r="O86"/>
      <c r="P86"/>
      <c r="Q86"/>
      <c r="R86"/>
    </row>
    <row r="87" spans="1:18" x14ac:dyDescent="0.25">
      <c r="A87" t="s">
        <v>378</v>
      </c>
      <c r="B87" s="9">
        <v>48.2</v>
      </c>
      <c r="C87" s="9">
        <v>16.8</v>
      </c>
      <c r="D87" s="9">
        <v>11.9</v>
      </c>
      <c r="E87" s="9">
        <v>18.399999999999999</v>
      </c>
      <c r="F87" s="9">
        <v>24.9</v>
      </c>
      <c r="N87"/>
      <c r="O87"/>
      <c r="P87"/>
      <c r="Q87"/>
      <c r="R87"/>
    </row>
    <row r="88" spans="1:18" x14ac:dyDescent="0.25">
      <c r="A88" t="s">
        <v>815</v>
      </c>
      <c r="B88" s="9">
        <v>0.84199999999999997</v>
      </c>
      <c r="C88" s="9">
        <v>0.28100000000000003</v>
      </c>
      <c r="D88" s="9">
        <v>0.17100000000000001</v>
      </c>
      <c r="E88" s="9">
        <v>0.56000000000000005</v>
      </c>
      <c r="F88" s="9">
        <v>0.46200000000000002</v>
      </c>
      <c r="N88"/>
      <c r="O88"/>
      <c r="P88"/>
      <c r="Q88"/>
      <c r="R88"/>
    </row>
    <row r="89" spans="1:18" x14ac:dyDescent="0.25">
      <c r="A89" t="s">
        <v>816</v>
      </c>
      <c r="B89" s="9">
        <v>0.13200000000000001</v>
      </c>
      <c r="C89" s="9">
        <v>0.68799999999999994</v>
      </c>
      <c r="D89" s="9">
        <v>0.82899999999999996</v>
      </c>
      <c r="E89" s="9">
        <v>0.36</v>
      </c>
      <c r="F89" s="9">
        <v>0.51500000000000001</v>
      </c>
      <c r="N89"/>
      <c r="O89"/>
      <c r="P89"/>
      <c r="Q89"/>
      <c r="R89"/>
    </row>
    <row r="90" spans="1:18" x14ac:dyDescent="0.25">
      <c r="A90" t="s">
        <v>379</v>
      </c>
      <c r="B90" s="9">
        <v>9.8000000000000007</v>
      </c>
      <c r="C90" s="9">
        <v>198.5</v>
      </c>
      <c r="D90" s="9">
        <v>267.3</v>
      </c>
      <c r="E90" s="9">
        <v>24.6</v>
      </c>
      <c r="F90" s="9">
        <v>141.30000000000001</v>
      </c>
      <c r="N90"/>
      <c r="O90"/>
      <c r="P90"/>
      <c r="Q90"/>
      <c r="R90"/>
    </row>
    <row r="91" spans="1:18" x14ac:dyDescent="0.25">
      <c r="N91"/>
      <c r="O91"/>
      <c r="P91"/>
      <c r="Q91"/>
      <c r="R91"/>
    </row>
    <row r="92" spans="1:18" x14ac:dyDescent="0.25">
      <c r="A92" s="68" t="s">
        <v>192</v>
      </c>
      <c r="N92"/>
      <c r="O92"/>
      <c r="P92"/>
      <c r="Q92"/>
      <c r="R92"/>
    </row>
    <row r="93" spans="1:18" x14ac:dyDescent="0.25">
      <c r="A93" t="s">
        <v>817</v>
      </c>
      <c r="B93" s="9">
        <v>0.316</v>
      </c>
      <c r="C93" s="9">
        <v>0.78100000000000003</v>
      </c>
      <c r="D93" s="9">
        <v>0.74299999999999999</v>
      </c>
      <c r="E93" s="9">
        <v>0.28000000000000003</v>
      </c>
      <c r="F93" s="9">
        <v>0.54600000000000004</v>
      </c>
      <c r="N93"/>
      <c r="O93"/>
      <c r="P93"/>
      <c r="Q93"/>
      <c r="R93"/>
    </row>
    <row r="94" spans="1:18" x14ac:dyDescent="0.25">
      <c r="A94" t="s">
        <v>818</v>
      </c>
      <c r="B94" s="9">
        <v>0.71099999999999997</v>
      </c>
      <c r="C94" s="9">
        <v>0.25</v>
      </c>
      <c r="D94" s="9">
        <v>0.22900000000000001</v>
      </c>
      <c r="E94" s="9">
        <v>0.6</v>
      </c>
      <c r="F94" s="9">
        <v>0.42299999999999999</v>
      </c>
      <c r="N94"/>
      <c r="O94"/>
      <c r="P94"/>
      <c r="Q94"/>
      <c r="R94"/>
    </row>
    <row r="95" spans="1:18" x14ac:dyDescent="0.25">
      <c r="A95" t="s">
        <v>819</v>
      </c>
      <c r="B95" s="9">
        <v>0.52600000000000002</v>
      </c>
      <c r="C95" s="9">
        <v>3.1E-2</v>
      </c>
      <c r="D95" s="9">
        <v>2.9000000000000001E-2</v>
      </c>
      <c r="E95" s="9">
        <v>0.08</v>
      </c>
      <c r="F95" s="9">
        <v>0.13800000000000001</v>
      </c>
      <c r="N95"/>
      <c r="O95"/>
      <c r="P95"/>
      <c r="Q95"/>
      <c r="R95"/>
    </row>
    <row r="96" spans="1:18" x14ac:dyDescent="0.25">
      <c r="N96"/>
      <c r="O96"/>
      <c r="P96"/>
      <c r="Q96"/>
      <c r="R96"/>
    </row>
    <row r="97" spans="1:18" x14ac:dyDescent="0.25">
      <c r="A97" s="83" t="s">
        <v>820</v>
      </c>
      <c r="N97"/>
      <c r="O97"/>
      <c r="P97"/>
      <c r="Q97"/>
      <c r="R97"/>
    </row>
    <row r="98" spans="1:18" x14ac:dyDescent="0.25">
      <c r="A98" t="s">
        <v>821</v>
      </c>
      <c r="B98" s="9">
        <v>0.68400000000000005</v>
      </c>
      <c r="C98" s="9">
        <v>6.3E-2</v>
      </c>
      <c r="D98" s="9">
        <v>0.45700000000000002</v>
      </c>
      <c r="E98" s="9">
        <v>0.08</v>
      </c>
      <c r="F98" s="9">
        <v>0.35399999999999998</v>
      </c>
      <c r="N98"/>
      <c r="O98"/>
      <c r="P98"/>
      <c r="Q98"/>
      <c r="R98"/>
    </row>
    <row r="99" spans="1:18" x14ac:dyDescent="0.25">
      <c r="A99" t="s">
        <v>822</v>
      </c>
      <c r="B99" s="9">
        <v>0.42099999999999999</v>
      </c>
      <c r="C99" s="9">
        <v>3.1E-2</v>
      </c>
      <c r="D99" s="9">
        <v>0.17100000000000001</v>
      </c>
      <c r="E99" s="9">
        <v>0</v>
      </c>
      <c r="F99" s="9">
        <v>0.17699999999999999</v>
      </c>
      <c r="N99"/>
      <c r="O99"/>
      <c r="P99"/>
      <c r="Q99"/>
      <c r="R99"/>
    </row>
    <row r="100" spans="1:18" x14ac:dyDescent="0.25">
      <c r="A100" t="s">
        <v>823</v>
      </c>
      <c r="B100" s="9">
        <v>0.34200000000000003</v>
      </c>
      <c r="C100" s="9">
        <v>0</v>
      </c>
      <c r="D100" s="9">
        <v>8.5999999999999993E-2</v>
      </c>
      <c r="E100" s="9">
        <v>0.04</v>
      </c>
      <c r="F100" s="9">
        <v>0.13100000000000001</v>
      </c>
      <c r="N100"/>
      <c r="O100"/>
      <c r="P100"/>
      <c r="Q100"/>
      <c r="R100"/>
    </row>
    <row r="101" spans="1:18" x14ac:dyDescent="0.25">
      <c r="A101" t="s">
        <v>824</v>
      </c>
      <c r="B101" s="9">
        <v>0.184</v>
      </c>
      <c r="C101" s="9">
        <v>0</v>
      </c>
      <c r="D101" s="9">
        <v>2.9000000000000001E-2</v>
      </c>
      <c r="E101" s="9">
        <v>0</v>
      </c>
      <c r="F101" s="9">
        <v>6.2E-2</v>
      </c>
      <c r="N101"/>
      <c r="O101"/>
      <c r="P101"/>
      <c r="Q101"/>
      <c r="R101"/>
    </row>
    <row r="102" spans="1:18" x14ac:dyDescent="0.25">
      <c r="A102" t="s">
        <v>825</v>
      </c>
      <c r="B102" s="9">
        <v>0.158</v>
      </c>
      <c r="C102" s="9">
        <v>3.1E-2</v>
      </c>
      <c r="D102" s="9">
        <v>0.114</v>
      </c>
      <c r="E102" s="9">
        <v>0</v>
      </c>
      <c r="F102" s="9">
        <v>8.5000000000000006E-2</v>
      </c>
      <c r="N102"/>
      <c r="O102"/>
      <c r="P102"/>
      <c r="Q102"/>
      <c r="R102"/>
    </row>
    <row r="103" spans="1:18" x14ac:dyDescent="0.25">
      <c r="A103" t="s">
        <v>826</v>
      </c>
      <c r="B103" s="9">
        <v>2.8</v>
      </c>
      <c r="C103" s="9">
        <v>0.2</v>
      </c>
      <c r="D103" s="9">
        <v>1.3</v>
      </c>
      <c r="E103" s="9">
        <v>0.1</v>
      </c>
      <c r="F103" s="9">
        <v>1.2</v>
      </c>
      <c r="N103"/>
      <c r="O103"/>
      <c r="P103"/>
      <c r="Q103"/>
      <c r="R103"/>
    </row>
    <row r="104" spans="1:18" x14ac:dyDescent="0.25">
      <c r="N104"/>
      <c r="O104"/>
      <c r="P104"/>
      <c r="Q104"/>
      <c r="R104"/>
    </row>
    <row r="105" spans="1:18" x14ac:dyDescent="0.25">
      <c r="A105" s="84" t="s">
        <v>827</v>
      </c>
      <c r="N105"/>
      <c r="O105"/>
      <c r="P105"/>
      <c r="Q105"/>
      <c r="R105"/>
    </row>
    <row r="106" spans="1:18" x14ac:dyDescent="0.25">
      <c r="A106" t="s">
        <v>828</v>
      </c>
      <c r="B106" s="9">
        <v>0.94699999999999995</v>
      </c>
      <c r="C106" s="9">
        <v>6.3E-2</v>
      </c>
      <c r="D106" s="9">
        <v>0.91400000000000003</v>
      </c>
      <c r="E106" s="9">
        <v>0.24</v>
      </c>
      <c r="F106" s="9">
        <v>0.57699999999999996</v>
      </c>
      <c r="N106"/>
      <c r="O106"/>
      <c r="P106"/>
      <c r="Q106"/>
      <c r="R106"/>
    </row>
    <row r="107" spans="1:18" x14ac:dyDescent="0.25">
      <c r="A107" t="s">
        <v>829</v>
      </c>
      <c r="B107" s="9">
        <v>2.5999999999999999E-2</v>
      </c>
      <c r="C107" s="9">
        <v>0.875</v>
      </c>
      <c r="D107" s="9">
        <v>2.9000000000000001E-2</v>
      </c>
      <c r="E107" s="9">
        <v>0</v>
      </c>
      <c r="F107" s="9">
        <v>0.23799999999999999</v>
      </c>
      <c r="N107"/>
      <c r="O107"/>
      <c r="P107"/>
      <c r="Q107"/>
      <c r="R107"/>
    </row>
    <row r="108" spans="1:18" x14ac:dyDescent="0.25">
      <c r="A108" t="s">
        <v>830</v>
      </c>
      <c r="B108" s="9">
        <v>0</v>
      </c>
      <c r="C108" s="9">
        <v>3.1E-2</v>
      </c>
      <c r="D108" s="9">
        <v>2.9000000000000001E-2</v>
      </c>
      <c r="E108" s="9">
        <v>0.68</v>
      </c>
      <c r="F108" s="9">
        <v>0.14599999999999999</v>
      </c>
      <c r="N108"/>
      <c r="O108"/>
      <c r="P108"/>
      <c r="Q108"/>
      <c r="R108"/>
    </row>
    <row r="109" spans="1:18" x14ac:dyDescent="0.25">
      <c r="A109" t="s">
        <v>831</v>
      </c>
      <c r="B109" s="9">
        <v>2.5999999999999999E-2</v>
      </c>
      <c r="C109" s="9">
        <v>3.1E-2</v>
      </c>
      <c r="D109" s="9">
        <v>2.9000000000000001E-2</v>
      </c>
      <c r="E109" s="9">
        <v>0.08</v>
      </c>
      <c r="F109" s="9">
        <v>3.7999999999999999E-2</v>
      </c>
      <c r="N109"/>
      <c r="O109"/>
      <c r="P109"/>
      <c r="Q109"/>
      <c r="R109"/>
    </row>
    <row r="110" spans="1:18" x14ac:dyDescent="0.25">
      <c r="N110"/>
      <c r="O110"/>
      <c r="P110"/>
      <c r="Q110"/>
      <c r="R110"/>
    </row>
    <row r="111" spans="1:18" x14ac:dyDescent="0.25">
      <c r="A111" s="85" t="s">
        <v>832</v>
      </c>
      <c r="N111"/>
      <c r="O111"/>
      <c r="P111"/>
      <c r="Q111"/>
      <c r="R111"/>
    </row>
    <row r="112" spans="1:18" x14ac:dyDescent="0.25">
      <c r="A112" t="s">
        <v>833</v>
      </c>
      <c r="B112" s="9">
        <v>0.44700000000000001</v>
      </c>
      <c r="C112" s="9">
        <v>0</v>
      </c>
      <c r="D112" s="9">
        <v>5.7000000000000002E-2</v>
      </c>
      <c r="E112" s="9">
        <v>0.04</v>
      </c>
      <c r="F112" s="9">
        <v>0.154</v>
      </c>
      <c r="N112"/>
      <c r="O112"/>
      <c r="P112"/>
      <c r="Q112"/>
      <c r="R112"/>
    </row>
    <row r="113" spans="1:18" x14ac:dyDescent="0.25">
      <c r="A113" t="s">
        <v>834</v>
      </c>
      <c r="B113" s="9">
        <v>0.316</v>
      </c>
      <c r="C113" s="9">
        <v>0</v>
      </c>
      <c r="D113" s="9">
        <v>0</v>
      </c>
      <c r="E113" s="9">
        <v>0</v>
      </c>
      <c r="F113" s="9">
        <v>0.115</v>
      </c>
      <c r="N113"/>
      <c r="O113"/>
      <c r="P113"/>
      <c r="Q113"/>
      <c r="R113"/>
    </row>
    <row r="114" spans="1:18" x14ac:dyDescent="0.25">
      <c r="A114" t="s">
        <v>835</v>
      </c>
      <c r="B114" s="9">
        <v>0.158</v>
      </c>
      <c r="C114" s="9">
        <v>0</v>
      </c>
      <c r="D114" s="9">
        <v>2.9000000000000001E-2</v>
      </c>
      <c r="E114" s="9">
        <v>0</v>
      </c>
      <c r="F114" s="9">
        <v>6.2E-2</v>
      </c>
      <c r="N114"/>
      <c r="O114"/>
      <c r="P114"/>
      <c r="Q114"/>
      <c r="R114"/>
    </row>
    <row r="115" spans="1:18" x14ac:dyDescent="0.25">
      <c r="A115" t="s">
        <v>836</v>
      </c>
      <c r="B115" s="9">
        <v>2.5999999999999999E-2</v>
      </c>
      <c r="C115" s="9">
        <v>6.3E-2</v>
      </c>
      <c r="D115" s="9">
        <v>0.8</v>
      </c>
      <c r="E115" s="9">
        <v>0.12</v>
      </c>
      <c r="F115" s="9">
        <v>0.192</v>
      </c>
      <c r="N115"/>
      <c r="O115"/>
      <c r="P115"/>
      <c r="Q115"/>
      <c r="R115"/>
    </row>
    <row r="116" spans="1:18" x14ac:dyDescent="0.25">
      <c r="A116" s="7" t="s">
        <v>837</v>
      </c>
      <c r="B116" s="32">
        <v>0.92100000000000004</v>
      </c>
      <c r="C116" s="32">
        <v>0</v>
      </c>
      <c r="D116" s="32">
        <v>8.5999999999999993E-2</v>
      </c>
      <c r="E116" s="32">
        <v>0.04</v>
      </c>
      <c r="F116" s="32">
        <v>0.26900000000000002</v>
      </c>
      <c r="N116"/>
      <c r="O116"/>
      <c r="P116"/>
      <c r="Q116"/>
      <c r="R116"/>
    </row>
    <row r="117" spans="1:18" x14ac:dyDescent="0.25">
      <c r="N117"/>
      <c r="O117"/>
      <c r="P117"/>
      <c r="Q117"/>
      <c r="R117"/>
    </row>
    <row r="118" spans="1:18" x14ac:dyDescent="0.25">
      <c r="A118" s="86" t="s">
        <v>838</v>
      </c>
      <c r="N118"/>
      <c r="O118"/>
      <c r="P118"/>
      <c r="Q118"/>
      <c r="R118"/>
    </row>
    <row r="119" spans="1:18" x14ac:dyDescent="0.25">
      <c r="A119" t="s">
        <v>839</v>
      </c>
      <c r="B119" s="9">
        <v>0</v>
      </c>
      <c r="C119" s="9">
        <v>0.46899999999999997</v>
      </c>
      <c r="D119" s="9">
        <v>0</v>
      </c>
      <c r="E119" s="9">
        <v>0</v>
      </c>
      <c r="F119" s="9">
        <v>0.115</v>
      </c>
      <c r="N119"/>
      <c r="O119"/>
      <c r="P119"/>
      <c r="Q119"/>
      <c r="R119"/>
    </row>
    <row r="120" spans="1:18" x14ac:dyDescent="0.25">
      <c r="A120" t="s">
        <v>840</v>
      </c>
      <c r="B120" s="9">
        <v>0</v>
      </c>
      <c r="C120" s="9">
        <v>0.219</v>
      </c>
      <c r="D120" s="9">
        <v>2.9000000000000001E-2</v>
      </c>
      <c r="E120" s="9">
        <v>0</v>
      </c>
      <c r="F120" s="9">
        <v>5.3999999999999999E-2</v>
      </c>
      <c r="N120"/>
      <c r="O120"/>
      <c r="P120"/>
      <c r="Q120"/>
      <c r="R120"/>
    </row>
    <row r="121" spans="1:18" x14ac:dyDescent="0.25">
      <c r="A121" t="s">
        <v>841</v>
      </c>
      <c r="B121" s="9">
        <v>2.5999999999999999E-2</v>
      </c>
      <c r="C121" s="9">
        <v>9.4E-2</v>
      </c>
      <c r="D121" s="9">
        <v>0</v>
      </c>
      <c r="E121" s="9">
        <v>0</v>
      </c>
      <c r="F121" s="9">
        <v>2.3E-2</v>
      </c>
      <c r="N121"/>
      <c r="O121"/>
      <c r="P121"/>
      <c r="Q121"/>
      <c r="R121"/>
    </row>
    <row r="122" spans="1:18" x14ac:dyDescent="0.25">
      <c r="A122" t="s">
        <v>842</v>
      </c>
      <c r="B122" s="9">
        <v>0</v>
      </c>
      <c r="C122" s="9">
        <v>6.3E-2</v>
      </c>
      <c r="D122" s="9">
        <v>0</v>
      </c>
      <c r="E122" s="9">
        <v>0</v>
      </c>
      <c r="F122" s="9">
        <v>8.0000000000000002E-3</v>
      </c>
      <c r="N122"/>
      <c r="O122"/>
      <c r="P122"/>
      <c r="Q122"/>
      <c r="R122"/>
    </row>
    <row r="123" spans="1:18" x14ac:dyDescent="0.25">
      <c r="A123" t="s">
        <v>843</v>
      </c>
      <c r="B123" s="9">
        <v>0</v>
      </c>
      <c r="C123" s="9">
        <v>3.1E-2</v>
      </c>
      <c r="D123" s="9">
        <v>0</v>
      </c>
      <c r="E123" s="9">
        <v>0</v>
      </c>
      <c r="F123" s="9">
        <v>8.0000000000000002E-3</v>
      </c>
      <c r="N123"/>
      <c r="O123"/>
      <c r="P123"/>
      <c r="Q123"/>
      <c r="R123"/>
    </row>
    <row r="124" spans="1:18" x14ac:dyDescent="0.25">
      <c r="N124"/>
      <c r="O124"/>
      <c r="P124"/>
      <c r="Q124"/>
      <c r="R124"/>
    </row>
    <row r="125" spans="1:18" x14ac:dyDescent="0.25">
      <c r="A125" s="87" t="s">
        <v>844</v>
      </c>
      <c r="N125"/>
      <c r="O125"/>
      <c r="P125"/>
      <c r="Q125"/>
      <c r="R125"/>
    </row>
    <row r="126" spans="1:18" x14ac:dyDescent="0.25">
      <c r="A126" t="s">
        <v>845</v>
      </c>
      <c r="B126" s="9">
        <v>0</v>
      </c>
      <c r="C126" s="9">
        <v>0</v>
      </c>
      <c r="D126" s="9">
        <v>0</v>
      </c>
      <c r="E126" s="9">
        <v>0.4</v>
      </c>
      <c r="F126" s="9">
        <v>7.6999999999999999E-2</v>
      </c>
      <c r="N126"/>
      <c r="O126"/>
      <c r="P126"/>
      <c r="Q126"/>
      <c r="R126"/>
    </row>
    <row r="127" spans="1:18" x14ac:dyDescent="0.25">
      <c r="A127" t="s">
        <v>846</v>
      </c>
      <c r="B127" s="9">
        <v>0</v>
      </c>
      <c r="C127" s="9">
        <v>0</v>
      </c>
      <c r="D127" s="9">
        <v>0</v>
      </c>
      <c r="E127" s="9">
        <v>0.12</v>
      </c>
      <c r="F127" s="9">
        <v>2.3E-2</v>
      </c>
      <c r="N127"/>
      <c r="O127"/>
      <c r="P127"/>
      <c r="Q127"/>
      <c r="R127"/>
    </row>
    <row r="128" spans="1:18" x14ac:dyDescent="0.25">
      <c r="A128" t="s">
        <v>847</v>
      </c>
      <c r="B128" s="9">
        <v>0</v>
      </c>
      <c r="C128" s="9">
        <v>3.1E-2</v>
      </c>
      <c r="D128" s="9">
        <v>0</v>
      </c>
      <c r="E128" s="9">
        <v>0.04</v>
      </c>
      <c r="F128" s="9">
        <v>1.4999999999999999E-2</v>
      </c>
      <c r="N128"/>
      <c r="O128"/>
      <c r="P128"/>
      <c r="Q128"/>
      <c r="R128"/>
    </row>
    <row r="129" spans="1:18" x14ac:dyDescent="0.25">
      <c r="N129"/>
      <c r="O129"/>
      <c r="P129"/>
      <c r="Q129"/>
      <c r="R129"/>
    </row>
    <row r="130" spans="1:18" x14ac:dyDescent="0.25">
      <c r="A130" s="88" t="s">
        <v>848</v>
      </c>
      <c r="N130"/>
      <c r="O130"/>
      <c r="P130"/>
      <c r="Q130"/>
      <c r="R130"/>
    </row>
    <row r="131" spans="1:18" x14ac:dyDescent="0.25">
      <c r="A131" t="s">
        <v>849</v>
      </c>
      <c r="B131" s="9">
        <v>0.42099999999999999</v>
      </c>
      <c r="C131" s="9">
        <v>0.156</v>
      </c>
      <c r="D131" s="9">
        <v>0.114</v>
      </c>
      <c r="E131" s="9">
        <v>0.88</v>
      </c>
      <c r="F131" s="9">
        <v>0.36899999999999999</v>
      </c>
      <c r="N131"/>
      <c r="O131"/>
      <c r="P131"/>
      <c r="Q131"/>
      <c r="R131"/>
    </row>
    <row r="132" spans="1:18" x14ac:dyDescent="0.25">
      <c r="A132" t="s">
        <v>850</v>
      </c>
      <c r="B132" s="9">
        <v>0.105</v>
      </c>
      <c r="C132" s="9">
        <v>0.313</v>
      </c>
      <c r="D132" s="9">
        <v>0.17100000000000001</v>
      </c>
      <c r="E132" s="9">
        <v>0</v>
      </c>
      <c r="F132" s="9">
        <v>0.154</v>
      </c>
      <c r="N132"/>
      <c r="O132"/>
      <c r="P132"/>
      <c r="Q132"/>
      <c r="R132"/>
    </row>
    <row r="133" spans="1:18" x14ac:dyDescent="0.25">
      <c r="A133" t="s">
        <v>851</v>
      </c>
      <c r="B133" s="9">
        <v>5.2999999999999999E-2</v>
      </c>
      <c r="C133" s="9">
        <v>0.219</v>
      </c>
      <c r="D133" s="9">
        <v>0.14299999999999999</v>
      </c>
      <c r="E133" s="9">
        <v>0</v>
      </c>
      <c r="F133" s="9">
        <v>0.108</v>
      </c>
      <c r="N133"/>
      <c r="O133"/>
      <c r="P133"/>
      <c r="Q133"/>
      <c r="R133"/>
    </row>
    <row r="134" spans="1:18" x14ac:dyDescent="0.25">
      <c r="A134" t="s">
        <v>852</v>
      </c>
      <c r="B134" s="9">
        <v>0.13200000000000001</v>
      </c>
      <c r="C134" s="9">
        <v>9.4E-2</v>
      </c>
      <c r="D134" s="9">
        <v>0.2</v>
      </c>
      <c r="E134" s="9">
        <v>0</v>
      </c>
      <c r="F134" s="9">
        <v>0.115</v>
      </c>
      <c r="N134"/>
      <c r="O134"/>
      <c r="P134"/>
      <c r="Q134"/>
      <c r="R134"/>
    </row>
    <row r="135" spans="1:18" x14ac:dyDescent="0.25">
      <c r="A135" t="s">
        <v>853</v>
      </c>
      <c r="B135" s="9">
        <v>0.21099999999999999</v>
      </c>
      <c r="C135" s="9">
        <v>3.1E-2</v>
      </c>
      <c r="D135" s="9">
        <v>0.14299999999999999</v>
      </c>
      <c r="E135" s="9">
        <v>0.08</v>
      </c>
      <c r="F135" s="9">
        <v>0.123</v>
      </c>
      <c r="N135"/>
      <c r="O135"/>
      <c r="P135"/>
      <c r="Q135"/>
      <c r="R135"/>
    </row>
    <row r="136" spans="1:18" x14ac:dyDescent="0.25">
      <c r="A136" t="s">
        <v>854</v>
      </c>
      <c r="B136" s="9">
        <v>7.9000000000000001E-2</v>
      </c>
      <c r="C136" s="9">
        <v>0.188</v>
      </c>
      <c r="D136" s="9">
        <v>0.22900000000000001</v>
      </c>
      <c r="E136" s="9">
        <v>0.04</v>
      </c>
      <c r="F136" s="9">
        <v>0.13100000000000001</v>
      </c>
      <c r="N136"/>
      <c r="O136"/>
      <c r="P136"/>
      <c r="Q136"/>
      <c r="R136"/>
    </row>
    <row r="137" spans="1:18" x14ac:dyDescent="0.25">
      <c r="N137"/>
      <c r="O137"/>
      <c r="P137"/>
      <c r="Q137"/>
      <c r="R137"/>
    </row>
    <row r="138" spans="1:18" x14ac:dyDescent="0.25">
      <c r="N138"/>
      <c r="O138"/>
      <c r="P138"/>
      <c r="Q138"/>
      <c r="R138"/>
    </row>
    <row r="139" spans="1:18" x14ac:dyDescent="0.25">
      <c r="A139" t="s">
        <v>718</v>
      </c>
      <c r="N139"/>
      <c r="O139"/>
      <c r="P139"/>
      <c r="Q139"/>
      <c r="R139"/>
    </row>
    <row r="140" spans="1:18" x14ac:dyDescent="0.25">
      <c r="A140" s="65" t="s">
        <v>855</v>
      </c>
      <c r="N140"/>
      <c r="O140"/>
      <c r="P140"/>
      <c r="Q140"/>
      <c r="R140"/>
    </row>
    <row r="141" spans="1:18" x14ac:dyDescent="0.25">
      <c r="A141" t="s">
        <v>718</v>
      </c>
      <c r="N141"/>
      <c r="O141"/>
      <c r="P141"/>
      <c r="Q141"/>
      <c r="R141"/>
    </row>
    <row r="142" spans="1:18" x14ac:dyDescent="0.25">
      <c r="N142"/>
      <c r="O142"/>
      <c r="P142"/>
      <c r="Q142"/>
      <c r="R142"/>
    </row>
    <row r="143" spans="1:18" ht="17.25" x14ac:dyDescent="0.3">
      <c r="A143" s="89" t="s">
        <v>856</v>
      </c>
      <c r="N143"/>
      <c r="O143"/>
      <c r="P143"/>
      <c r="Q143"/>
      <c r="R143"/>
    </row>
    <row r="144" spans="1:18" x14ac:dyDescent="0.25">
      <c r="N144"/>
      <c r="O144"/>
      <c r="P144"/>
      <c r="Q144"/>
      <c r="R144"/>
    </row>
    <row r="145" spans="1:18" x14ac:dyDescent="0.25">
      <c r="A145" s="7" t="s">
        <v>857</v>
      </c>
      <c r="N145"/>
      <c r="O145"/>
      <c r="P145"/>
      <c r="Q145"/>
      <c r="R145"/>
    </row>
    <row r="146" spans="1:18" x14ac:dyDescent="0.25">
      <c r="A146" t="s">
        <v>858</v>
      </c>
      <c r="N146"/>
      <c r="O146"/>
      <c r="P146"/>
      <c r="Q146"/>
      <c r="R146"/>
    </row>
    <row r="147" spans="1:18" x14ac:dyDescent="0.25">
      <c r="A147" t="s">
        <v>859</v>
      </c>
      <c r="N147"/>
      <c r="O147"/>
      <c r="P147"/>
      <c r="Q147"/>
      <c r="R147"/>
    </row>
    <row r="148" spans="1:18" x14ac:dyDescent="0.25">
      <c r="A148" t="s">
        <v>860</v>
      </c>
      <c r="N148"/>
      <c r="O148"/>
      <c r="P148"/>
      <c r="Q148"/>
      <c r="R148"/>
    </row>
    <row r="149" spans="1:18" x14ac:dyDescent="0.25">
      <c r="A149" t="s">
        <v>861</v>
      </c>
      <c r="N149"/>
      <c r="O149"/>
      <c r="P149"/>
      <c r="Q149"/>
      <c r="R149"/>
    </row>
    <row r="150" spans="1:18" x14ac:dyDescent="0.25">
      <c r="A150" t="s">
        <v>862</v>
      </c>
      <c r="N150"/>
      <c r="O150"/>
      <c r="P150"/>
      <c r="Q150"/>
      <c r="R150"/>
    </row>
    <row r="151" spans="1:18" x14ac:dyDescent="0.25">
      <c r="A151" t="s">
        <v>863</v>
      </c>
      <c r="N151"/>
      <c r="O151"/>
      <c r="P151"/>
      <c r="Q151"/>
      <c r="R151"/>
    </row>
    <row r="152" spans="1:18" x14ac:dyDescent="0.25">
      <c r="A152" t="s">
        <v>864</v>
      </c>
      <c r="N152"/>
      <c r="O152"/>
      <c r="P152"/>
      <c r="Q152"/>
      <c r="R152"/>
    </row>
    <row r="153" spans="1:18" x14ac:dyDescent="0.25">
      <c r="A153" t="s">
        <v>865</v>
      </c>
      <c r="N153"/>
      <c r="O153"/>
      <c r="P153"/>
      <c r="Q153"/>
      <c r="R153"/>
    </row>
    <row r="154" spans="1:18" x14ac:dyDescent="0.25">
      <c r="A154" t="s">
        <v>866</v>
      </c>
      <c r="N154"/>
      <c r="O154"/>
      <c r="P154"/>
      <c r="Q154"/>
      <c r="R154"/>
    </row>
    <row r="155" spans="1:18" x14ac:dyDescent="0.25">
      <c r="A155" s="90" t="s">
        <v>867</v>
      </c>
      <c r="N155"/>
      <c r="O155"/>
      <c r="P155"/>
      <c r="Q155"/>
      <c r="R155"/>
    </row>
    <row r="156" spans="1:18" x14ac:dyDescent="0.25">
      <c r="N156"/>
      <c r="O156"/>
      <c r="P156"/>
      <c r="Q156"/>
      <c r="R156"/>
    </row>
    <row r="157" spans="1:18" x14ac:dyDescent="0.25">
      <c r="A157" s="85" t="s">
        <v>868</v>
      </c>
      <c r="N157"/>
      <c r="O157"/>
      <c r="P157"/>
      <c r="Q157"/>
      <c r="R157"/>
    </row>
    <row r="158" spans="1:18" x14ac:dyDescent="0.25">
      <c r="N158"/>
      <c r="O158"/>
      <c r="P158"/>
      <c r="Q158"/>
      <c r="R158"/>
    </row>
    <row r="159" spans="1:18" x14ac:dyDescent="0.25">
      <c r="N159"/>
      <c r="O159"/>
      <c r="P159"/>
      <c r="Q159"/>
      <c r="R159"/>
    </row>
    <row r="160" spans="1:18" ht="17.25" x14ac:dyDescent="0.3">
      <c r="A160" s="91" t="s">
        <v>869</v>
      </c>
      <c r="N160"/>
      <c r="O160"/>
      <c r="P160"/>
      <c r="Q160"/>
      <c r="R160"/>
    </row>
    <row r="161" spans="1:18" x14ac:dyDescent="0.25">
      <c r="N161"/>
      <c r="O161"/>
      <c r="P161"/>
      <c r="Q161"/>
      <c r="R161"/>
    </row>
    <row r="162" spans="1:18" x14ac:dyDescent="0.25">
      <c r="A162" s="7" t="s">
        <v>857</v>
      </c>
      <c r="N162"/>
      <c r="O162"/>
      <c r="P162"/>
      <c r="Q162"/>
      <c r="R162"/>
    </row>
    <row r="163" spans="1:18" x14ac:dyDescent="0.25">
      <c r="A163" t="s">
        <v>870</v>
      </c>
      <c r="N163"/>
      <c r="O163"/>
      <c r="P163"/>
      <c r="Q163"/>
      <c r="R163"/>
    </row>
    <row r="164" spans="1:18" x14ac:dyDescent="0.25">
      <c r="A164" t="s">
        <v>871</v>
      </c>
      <c r="N164"/>
      <c r="O164"/>
      <c r="P164"/>
      <c r="Q164"/>
      <c r="R164"/>
    </row>
    <row r="165" spans="1:18" x14ac:dyDescent="0.25">
      <c r="A165" t="s">
        <v>872</v>
      </c>
      <c r="N165"/>
      <c r="O165"/>
      <c r="P165"/>
      <c r="Q165"/>
      <c r="R165"/>
    </row>
    <row r="166" spans="1:18" x14ac:dyDescent="0.25">
      <c r="A166" t="s">
        <v>873</v>
      </c>
      <c r="N166"/>
      <c r="O166"/>
      <c r="P166"/>
      <c r="Q166"/>
      <c r="R166"/>
    </row>
    <row r="167" spans="1:18" x14ac:dyDescent="0.25">
      <c r="A167" t="s">
        <v>874</v>
      </c>
      <c r="N167"/>
      <c r="O167"/>
      <c r="P167"/>
      <c r="Q167"/>
      <c r="R167"/>
    </row>
    <row r="168" spans="1:18" x14ac:dyDescent="0.25">
      <c r="A168" t="s">
        <v>875</v>
      </c>
      <c r="N168"/>
      <c r="O168"/>
      <c r="P168"/>
      <c r="Q168"/>
      <c r="R168"/>
    </row>
    <row r="169" spans="1:18" x14ac:dyDescent="0.25">
      <c r="A169" t="s">
        <v>876</v>
      </c>
      <c r="N169"/>
      <c r="O169"/>
      <c r="P169"/>
      <c r="Q169"/>
      <c r="R169"/>
    </row>
    <row r="170" spans="1:18" x14ac:dyDescent="0.25">
      <c r="A170" t="s">
        <v>877</v>
      </c>
      <c r="N170"/>
      <c r="O170"/>
      <c r="P170"/>
      <c r="Q170"/>
      <c r="R170"/>
    </row>
    <row r="171" spans="1:18" x14ac:dyDescent="0.25">
      <c r="A171" t="s">
        <v>878</v>
      </c>
      <c r="N171"/>
      <c r="O171"/>
      <c r="P171"/>
      <c r="Q171"/>
      <c r="R171"/>
    </row>
    <row r="172" spans="1:18" x14ac:dyDescent="0.25">
      <c r="N172"/>
      <c r="O172"/>
      <c r="P172"/>
      <c r="Q172"/>
      <c r="R172"/>
    </row>
    <row r="173" spans="1:18" x14ac:dyDescent="0.25">
      <c r="A173" s="82" t="s">
        <v>879</v>
      </c>
      <c r="N173"/>
      <c r="O173"/>
      <c r="P173"/>
      <c r="Q173"/>
      <c r="R173"/>
    </row>
    <row r="174" spans="1:18" x14ac:dyDescent="0.25">
      <c r="N174"/>
      <c r="O174"/>
      <c r="P174"/>
      <c r="Q174"/>
      <c r="R174"/>
    </row>
    <row r="175" spans="1:18" x14ac:dyDescent="0.25">
      <c r="N175"/>
      <c r="O175"/>
      <c r="P175"/>
      <c r="Q175"/>
      <c r="R175"/>
    </row>
    <row r="176" spans="1:18" ht="17.25" x14ac:dyDescent="0.3">
      <c r="A176" s="92" t="s">
        <v>880</v>
      </c>
      <c r="N176"/>
      <c r="O176"/>
      <c r="P176"/>
      <c r="Q176"/>
      <c r="R176"/>
    </row>
    <row r="177" spans="1:18" x14ac:dyDescent="0.25">
      <c r="N177"/>
      <c r="O177"/>
      <c r="P177"/>
      <c r="Q177"/>
      <c r="R177"/>
    </row>
    <row r="178" spans="1:18" x14ac:dyDescent="0.25">
      <c r="A178" s="7" t="s">
        <v>857</v>
      </c>
      <c r="N178"/>
      <c r="O178"/>
      <c r="P178"/>
      <c r="Q178"/>
      <c r="R178"/>
    </row>
    <row r="179" spans="1:18" x14ac:dyDescent="0.25">
      <c r="A179" t="s">
        <v>881</v>
      </c>
      <c r="N179"/>
      <c r="O179"/>
      <c r="P179"/>
      <c r="Q179"/>
      <c r="R179"/>
    </row>
    <row r="180" spans="1:18" x14ac:dyDescent="0.25">
      <c r="A180" t="s">
        <v>882</v>
      </c>
      <c r="N180"/>
      <c r="O180"/>
      <c r="P180"/>
      <c r="Q180"/>
      <c r="R180"/>
    </row>
    <row r="181" spans="1:18" x14ac:dyDescent="0.25">
      <c r="A181" t="s">
        <v>883</v>
      </c>
      <c r="N181"/>
      <c r="O181"/>
      <c r="P181"/>
      <c r="Q181"/>
      <c r="R181"/>
    </row>
    <row r="182" spans="1:18" x14ac:dyDescent="0.25">
      <c r="A182" t="s">
        <v>884</v>
      </c>
      <c r="N182"/>
      <c r="O182"/>
      <c r="P182"/>
      <c r="Q182"/>
      <c r="R182"/>
    </row>
    <row r="183" spans="1:18" x14ac:dyDescent="0.25">
      <c r="A183" t="s">
        <v>885</v>
      </c>
      <c r="N183"/>
      <c r="O183"/>
      <c r="P183"/>
      <c r="Q183"/>
      <c r="R183"/>
    </row>
    <row r="184" spans="1:18" x14ac:dyDescent="0.25">
      <c r="A184" t="s">
        <v>886</v>
      </c>
      <c r="N184"/>
      <c r="O184"/>
      <c r="P184"/>
      <c r="Q184"/>
      <c r="R184"/>
    </row>
    <row r="185" spans="1:18" x14ac:dyDescent="0.25">
      <c r="A185" t="s">
        <v>887</v>
      </c>
      <c r="N185"/>
      <c r="O185"/>
      <c r="P185"/>
      <c r="Q185"/>
      <c r="R185"/>
    </row>
    <row r="186" spans="1:18" x14ac:dyDescent="0.25">
      <c r="A186" t="s">
        <v>888</v>
      </c>
      <c r="N186"/>
      <c r="O186"/>
      <c r="P186"/>
      <c r="Q186"/>
      <c r="R186"/>
    </row>
    <row r="187" spans="1:18" x14ac:dyDescent="0.25">
      <c r="A187" t="s">
        <v>889</v>
      </c>
      <c r="N187"/>
      <c r="O187"/>
      <c r="P187"/>
      <c r="Q187"/>
      <c r="R187"/>
    </row>
    <row r="188" spans="1:18" x14ac:dyDescent="0.25">
      <c r="A188" t="s">
        <v>890</v>
      </c>
      <c r="N188"/>
      <c r="O188"/>
      <c r="P188"/>
      <c r="Q188"/>
      <c r="R188"/>
    </row>
    <row r="189" spans="1:18" x14ac:dyDescent="0.25">
      <c r="N189"/>
      <c r="O189"/>
      <c r="P189"/>
      <c r="Q189"/>
      <c r="R189"/>
    </row>
    <row r="190" spans="1:18" x14ac:dyDescent="0.25">
      <c r="A190" s="84" t="s">
        <v>891</v>
      </c>
      <c r="N190"/>
      <c r="O190"/>
      <c r="P190"/>
      <c r="Q190"/>
      <c r="R190"/>
    </row>
    <row r="191" spans="1:18" x14ac:dyDescent="0.25">
      <c r="N191"/>
      <c r="O191"/>
      <c r="P191"/>
      <c r="Q191"/>
      <c r="R191"/>
    </row>
    <row r="192" spans="1:18" x14ac:dyDescent="0.25">
      <c r="N192"/>
      <c r="O192"/>
      <c r="P192"/>
      <c r="Q192"/>
      <c r="R192"/>
    </row>
    <row r="193" spans="1:18" ht="17.25" x14ac:dyDescent="0.3">
      <c r="A193" s="93" t="s">
        <v>892</v>
      </c>
      <c r="N193"/>
      <c r="O193"/>
      <c r="P193"/>
      <c r="Q193"/>
      <c r="R193"/>
    </row>
    <row r="194" spans="1:18" x14ac:dyDescent="0.25">
      <c r="N194"/>
      <c r="O194"/>
      <c r="P194"/>
      <c r="Q194"/>
      <c r="R194"/>
    </row>
    <row r="195" spans="1:18" x14ac:dyDescent="0.25">
      <c r="A195" s="7" t="s">
        <v>857</v>
      </c>
      <c r="N195"/>
      <c r="O195"/>
      <c r="P195"/>
      <c r="Q195"/>
      <c r="R195"/>
    </row>
    <row r="196" spans="1:18" x14ac:dyDescent="0.25">
      <c r="A196" t="s">
        <v>893</v>
      </c>
      <c r="N196"/>
      <c r="O196"/>
      <c r="P196"/>
      <c r="Q196"/>
      <c r="R196"/>
    </row>
    <row r="197" spans="1:18" x14ac:dyDescent="0.25">
      <c r="A197" t="s">
        <v>684</v>
      </c>
      <c r="N197"/>
      <c r="O197"/>
      <c r="P197"/>
      <c r="Q197"/>
      <c r="R197"/>
    </row>
    <row r="198" spans="1:18" x14ac:dyDescent="0.25">
      <c r="A198" t="s">
        <v>894</v>
      </c>
      <c r="N198"/>
      <c r="O198"/>
      <c r="P198"/>
      <c r="Q198"/>
      <c r="R198"/>
    </row>
    <row r="199" spans="1:18" x14ac:dyDescent="0.25">
      <c r="A199" t="s">
        <v>895</v>
      </c>
      <c r="N199"/>
      <c r="O199"/>
      <c r="P199"/>
      <c r="Q199"/>
      <c r="R199"/>
    </row>
    <row r="200" spans="1:18" x14ac:dyDescent="0.25">
      <c r="A200" t="s">
        <v>896</v>
      </c>
      <c r="N200"/>
      <c r="O200"/>
      <c r="P200"/>
      <c r="Q200"/>
      <c r="R200"/>
    </row>
    <row r="201" spans="1:18" x14ac:dyDescent="0.25">
      <c r="A201" t="s">
        <v>897</v>
      </c>
      <c r="N201"/>
      <c r="O201"/>
      <c r="P201"/>
      <c r="Q201"/>
      <c r="R201"/>
    </row>
    <row r="202" spans="1:18" x14ac:dyDescent="0.25">
      <c r="A202" t="s">
        <v>898</v>
      </c>
      <c r="N202"/>
      <c r="O202"/>
      <c r="P202"/>
      <c r="Q202"/>
      <c r="R202"/>
    </row>
    <row r="203" spans="1:18" x14ac:dyDescent="0.25">
      <c r="A203" t="s">
        <v>899</v>
      </c>
      <c r="N203"/>
      <c r="O203"/>
      <c r="P203"/>
      <c r="Q203"/>
      <c r="R203"/>
    </row>
    <row r="204" spans="1:18" x14ac:dyDescent="0.25">
      <c r="A204" t="s">
        <v>900</v>
      </c>
      <c r="N204"/>
      <c r="O204"/>
      <c r="P204"/>
      <c r="Q204"/>
      <c r="R204"/>
    </row>
    <row r="205" spans="1:18" x14ac:dyDescent="0.25">
      <c r="N205"/>
      <c r="O205"/>
      <c r="P205"/>
      <c r="Q205"/>
      <c r="R205"/>
    </row>
    <row r="206" spans="1:18" x14ac:dyDescent="0.25">
      <c r="A206" s="87" t="s">
        <v>901</v>
      </c>
      <c r="N206"/>
      <c r="O206"/>
      <c r="P206"/>
      <c r="Q206"/>
      <c r="R206"/>
    </row>
    <row r="207" spans="1:18" x14ac:dyDescent="0.25">
      <c r="N207"/>
      <c r="O207"/>
      <c r="P207"/>
      <c r="Q207"/>
      <c r="R207"/>
    </row>
    <row r="208" spans="1:18" x14ac:dyDescent="0.25">
      <c r="N208"/>
      <c r="O208"/>
      <c r="P208"/>
      <c r="Q208"/>
      <c r="R208"/>
    </row>
    <row r="209" spans="1:18" x14ac:dyDescent="0.25">
      <c r="A209" t="s">
        <v>718</v>
      </c>
      <c r="N209"/>
      <c r="O209"/>
      <c r="P209"/>
      <c r="Q209"/>
      <c r="R209"/>
    </row>
    <row r="210" spans="1:18" x14ac:dyDescent="0.25">
      <c r="A210" s="65" t="s">
        <v>902</v>
      </c>
      <c r="N210"/>
      <c r="O210"/>
      <c r="P210"/>
      <c r="Q210"/>
      <c r="R210"/>
    </row>
    <row r="211" spans="1:18" x14ac:dyDescent="0.25">
      <c r="A211" t="s">
        <v>718</v>
      </c>
      <c r="N211"/>
      <c r="O211"/>
      <c r="P211"/>
      <c r="Q211"/>
      <c r="R211"/>
    </row>
    <row r="212" spans="1:18" x14ac:dyDescent="0.25">
      <c r="N212"/>
      <c r="O212"/>
      <c r="P212"/>
      <c r="Q212"/>
      <c r="R212"/>
    </row>
    <row r="213" spans="1:18" x14ac:dyDescent="0.25">
      <c r="A213" s="7" t="s">
        <v>685</v>
      </c>
      <c r="N213"/>
      <c r="O213"/>
      <c r="P213"/>
      <c r="Q213"/>
      <c r="R213"/>
    </row>
    <row r="214" spans="1:18" x14ac:dyDescent="0.25">
      <c r="N214"/>
      <c r="O214"/>
      <c r="P214"/>
      <c r="Q214"/>
      <c r="R214"/>
    </row>
    <row r="215" spans="1:18" x14ac:dyDescent="0.25">
      <c r="A215" s="66" t="s">
        <v>686</v>
      </c>
      <c r="B215" s="66" t="s">
        <v>181</v>
      </c>
      <c r="C215" s="66" t="s">
        <v>243</v>
      </c>
      <c r="D215" s="66" t="s">
        <v>903</v>
      </c>
      <c r="N215"/>
      <c r="O215"/>
      <c r="P215"/>
      <c r="Q215"/>
      <c r="R215"/>
    </row>
    <row r="216" spans="1:18" x14ac:dyDescent="0.25">
      <c r="A216" s="69" t="s">
        <v>687</v>
      </c>
      <c r="B216" s="69">
        <v>0.53800000000000003</v>
      </c>
      <c r="C216" s="69" t="s">
        <v>904</v>
      </c>
      <c r="D216" s="69" t="s">
        <v>688</v>
      </c>
      <c r="N216"/>
      <c r="O216"/>
      <c r="P216"/>
      <c r="Q216"/>
      <c r="R216"/>
    </row>
    <row r="217" spans="1:18" x14ac:dyDescent="0.25">
      <c r="A217" t="s">
        <v>905</v>
      </c>
      <c r="B217">
        <v>98.7</v>
      </c>
      <c r="C217" t="s">
        <v>906</v>
      </c>
      <c r="D217" t="s">
        <v>690</v>
      </c>
      <c r="N217"/>
      <c r="O217"/>
      <c r="P217"/>
      <c r="Q217"/>
      <c r="R217"/>
    </row>
    <row r="218" spans="1:18" x14ac:dyDescent="0.25">
      <c r="A218" s="69" t="s">
        <v>907</v>
      </c>
      <c r="B218" s="69">
        <v>0.72</v>
      </c>
      <c r="C218" s="69" t="s">
        <v>908</v>
      </c>
      <c r="D218" s="69" t="s">
        <v>691</v>
      </c>
      <c r="N218"/>
      <c r="O218"/>
      <c r="P218"/>
      <c r="Q218"/>
      <c r="R218"/>
    </row>
    <row r="219" spans="1:18" x14ac:dyDescent="0.25">
      <c r="A219" t="s">
        <v>672</v>
      </c>
      <c r="B219">
        <v>165.7</v>
      </c>
      <c r="C219" t="s">
        <v>909</v>
      </c>
      <c r="D219" t="s">
        <v>238</v>
      </c>
      <c r="N219"/>
      <c r="O219"/>
      <c r="P219"/>
      <c r="Q219"/>
      <c r="R219"/>
    </row>
    <row r="220" spans="1:18" x14ac:dyDescent="0.25">
      <c r="N220"/>
      <c r="O220"/>
      <c r="P220"/>
      <c r="Q220"/>
      <c r="R220"/>
    </row>
    <row r="221" spans="1:18" x14ac:dyDescent="0.25">
      <c r="N221"/>
      <c r="O221"/>
      <c r="P221"/>
      <c r="Q221"/>
      <c r="R221"/>
    </row>
    <row r="222" spans="1:18" x14ac:dyDescent="0.25">
      <c r="A222" s="7" t="s">
        <v>692</v>
      </c>
      <c r="N222"/>
      <c r="O222"/>
      <c r="P222"/>
      <c r="Q222"/>
      <c r="R222"/>
    </row>
    <row r="223" spans="1:18" x14ac:dyDescent="0.25">
      <c r="N223"/>
      <c r="O223"/>
      <c r="P223"/>
      <c r="Q223"/>
      <c r="R223"/>
    </row>
    <row r="224" spans="1:18" x14ac:dyDescent="0.25">
      <c r="A224" s="66" t="s">
        <v>675</v>
      </c>
      <c r="B224" s="66" t="s">
        <v>707</v>
      </c>
      <c r="C224" s="66" t="s">
        <v>574</v>
      </c>
      <c r="D224" s="66" t="s">
        <v>244</v>
      </c>
      <c r="N224"/>
      <c r="O224"/>
      <c r="P224"/>
      <c r="Q224"/>
      <c r="R224"/>
    </row>
    <row r="225" spans="1:18" x14ac:dyDescent="0.25">
      <c r="A225" t="s">
        <v>807</v>
      </c>
      <c r="B225">
        <v>0.624</v>
      </c>
      <c r="C225" t="s">
        <v>432</v>
      </c>
      <c r="D225" t="s">
        <v>910</v>
      </c>
      <c r="N225"/>
      <c r="O225"/>
      <c r="P225"/>
      <c r="Q225"/>
      <c r="R225"/>
    </row>
    <row r="226" spans="1:18" x14ac:dyDescent="0.25">
      <c r="A226" t="s">
        <v>808</v>
      </c>
      <c r="B226">
        <v>0.57199999999999995</v>
      </c>
      <c r="C226" t="s">
        <v>693</v>
      </c>
      <c r="D226" t="s">
        <v>911</v>
      </c>
      <c r="N226"/>
      <c r="O226"/>
      <c r="P226"/>
      <c r="Q226"/>
      <c r="R226"/>
    </row>
    <row r="227" spans="1:18" x14ac:dyDescent="0.25">
      <c r="A227" t="s">
        <v>809</v>
      </c>
      <c r="B227">
        <v>0.48499999999999999</v>
      </c>
      <c r="C227" t="s">
        <v>545</v>
      </c>
      <c r="D227" t="s">
        <v>912</v>
      </c>
      <c r="N227"/>
      <c r="O227"/>
      <c r="P227"/>
      <c r="Q227"/>
      <c r="R227"/>
    </row>
    <row r="228" spans="1:18" x14ac:dyDescent="0.25">
      <c r="A228" t="s">
        <v>810</v>
      </c>
      <c r="B228">
        <v>0.51200000000000001</v>
      </c>
      <c r="C228" t="s">
        <v>693</v>
      </c>
      <c r="D228" t="s">
        <v>913</v>
      </c>
      <c r="N228"/>
      <c r="O228"/>
      <c r="P228"/>
      <c r="Q228"/>
      <c r="R228"/>
    </row>
    <row r="229" spans="1:18" x14ac:dyDescent="0.25">
      <c r="N229"/>
      <c r="O229"/>
      <c r="P229"/>
      <c r="Q229"/>
      <c r="R229"/>
    </row>
    <row r="230" spans="1:18" x14ac:dyDescent="0.25">
      <c r="N230"/>
      <c r="O230"/>
      <c r="P230"/>
      <c r="Q230"/>
      <c r="R230"/>
    </row>
    <row r="231" spans="1:18" x14ac:dyDescent="0.25">
      <c r="A231" s="7" t="s">
        <v>914</v>
      </c>
      <c r="N231"/>
      <c r="O231"/>
      <c r="P231"/>
      <c r="Q231"/>
      <c r="R231"/>
    </row>
    <row r="232" spans="1:18" x14ac:dyDescent="0.25">
      <c r="N232"/>
      <c r="O232"/>
      <c r="P232"/>
      <c r="Q232"/>
      <c r="R232"/>
    </row>
    <row r="233" spans="1:18" x14ac:dyDescent="0.25">
      <c r="A233" s="66" t="s">
        <v>226</v>
      </c>
      <c r="B233" s="66" t="s">
        <v>694</v>
      </c>
      <c r="C233" s="66" t="s">
        <v>241</v>
      </c>
      <c r="D233" s="66" t="s">
        <v>259</v>
      </c>
      <c r="E233" s="66" t="s">
        <v>915</v>
      </c>
      <c r="N233"/>
      <c r="O233"/>
      <c r="P233"/>
      <c r="Q233"/>
      <c r="R233"/>
    </row>
    <row r="234" spans="1:18" x14ac:dyDescent="0.25">
      <c r="A234" t="s">
        <v>240</v>
      </c>
      <c r="B234">
        <v>89.45</v>
      </c>
      <c r="C234" t="s">
        <v>526</v>
      </c>
      <c r="D234" t="s">
        <v>535</v>
      </c>
      <c r="E234" t="s">
        <v>916</v>
      </c>
      <c r="N234"/>
      <c r="O234"/>
      <c r="P234"/>
      <c r="Q234"/>
      <c r="R234"/>
    </row>
    <row r="235" spans="1:18" x14ac:dyDescent="0.25">
      <c r="A235" t="s">
        <v>377</v>
      </c>
      <c r="B235">
        <v>52.18</v>
      </c>
      <c r="C235" t="s">
        <v>526</v>
      </c>
      <c r="D235" t="s">
        <v>535</v>
      </c>
      <c r="E235" t="s">
        <v>916</v>
      </c>
      <c r="N235"/>
      <c r="O235"/>
      <c r="P235"/>
      <c r="Q235"/>
      <c r="R235"/>
    </row>
    <row r="236" spans="1:18" x14ac:dyDescent="0.25">
      <c r="A236" t="s">
        <v>247</v>
      </c>
      <c r="B236">
        <v>34.67</v>
      </c>
      <c r="C236" t="s">
        <v>526</v>
      </c>
      <c r="D236" t="s">
        <v>535</v>
      </c>
      <c r="E236" t="s">
        <v>917</v>
      </c>
      <c r="N236"/>
      <c r="O236"/>
      <c r="P236"/>
      <c r="Q236"/>
      <c r="R236"/>
    </row>
    <row r="237" spans="1:18" x14ac:dyDescent="0.25">
      <c r="A237" t="s">
        <v>918</v>
      </c>
      <c r="B237">
        <v>28.92</v>
      </c>
      <c r="C237" t="s">
        <v>526</v>
      </c>
      <c r="D237" t="s">
        <v>535</v>
      </c>
      <c r="E237" t="s">
        <v>917</v>
      </c>
      <c r="N237"/>
      <c r="O237"/>
      <c r="P237"/>
      <c r="Q237"/>
      <c r="R237"/>
    </row>
    <row r="238" spans="1:18" x14ac:dyDescent="0.25">
      <c r="A238" t="s">
        <v>695</v>
      </c>
      <c r="B238">
        <v>18.34</v>
      </c>
      <c r="C238" t="s">
        <v>526</v>
      </c>
      <c r="D238" t="s">
        <v>535</v>
      </c>
      <c r="E238" t="s">
        <v>919</v>
      </c>
      <c r="N238"/>
      <c r="O238"/>
      <c r="P238"/>
      <c r="Q238"/>
      <c r="R238"/>
    </row>
    <row r="239" spans="1:18" x14ac:dyDescent="0.25">
      <c r="A239" t="s">
        <v>73</v>
      </c>
      <c r="B239">
        <v>24.56</v>
      </c>
      <c r="C239" t="s">
        <v>526</v>
      </c>
      <c r="D239" t="s">
        <v>535</v>
      </c>
      <c r="E239" t="s">
        <v>917</v>
      </c>
      <c r="N239"/>
      <c r="O239"/>
      <c r="P239"/>
      <c r="Q239"/>
      <c r="R239"/>
    </row>
    <row r="240" spans="1:18" x14ac:dyDescent="0.25">
      <c r="A240" t="s">
        <v>88</v>
      </c>
      <c r="B240">
        <v>19.87</v>
      </c>
      <c r="C240" t="s">
        <v>526</v>
      </c>
      <c r="D240" t="s">
        <v>535</v>
      </c>
      <c r="E240" t="s">
        <v>919</v>
      </c>
      <c r="N240"/>
      <c r="O240"/>
      <c r="P240"/>
      <c r="Q240"/>
      <c r="R240"/>
    </row>
    <row r="241" spans="1:18" x14ac:dyDescent="0.25">
      <c r="A241" t="s">
        <v>34</v>
      </c>
      <c r="B241">
        <v>21.45</v>
      </c>
      <c r="C241" t="s">
        <v>526</v>
      </c>
      <c r="D241" t="s">
        <v>535</v>
      </c>
      <c r="E241" t="s">
        <v>919</v>
      </c>
      <c r="N241"/>
      <c r="O241"/>
      <c r="P241"/>
      <c r="Q241"/>
      <c r="R241"/>
    </row>
    <row r="242" spans="1:18" x14ac:dyDescent="0.25">
      <c r="A242" t="s">
        <v>774</v>
      </c>
      <c r="B242">
        <v>45.23</v>
      </c>
      <c r="C242" t="s">
        <v>526</v>
      </c>
      <c r="D242" t="s">
        <v>535</v>
      </c>
      <c r="E242" t="s">
        <v>916</v>
      </c>
      <c r="N242"/>
      <c r="O242"/>
      <c r="P242"/>
      <c r="Q242"/>
      <c r="R242"/>
    </row>
    <row r="243" spans="1:18" x14ac:dyDescent="0.25">
      <c r="A243" t="s">
        <v>777</v>
      </c>
      <c r="B243">
        <v>32.18</v>
      </c>
      <c r="C243" t="s">
        <v>526</v>
      </c>
      <c r="D243" t="s">
        <v>535</v>
      </c>
      <c r="E243" t="s">
        <v>917</v>
      </c>
      <c r="N243"/>
      <c r="O243"/>
      <c r="P243"/>
      <c r="Q243"/>
      <c r="R243"/>
    </row>
    <row r="244" spans="1:18" x14ac:dyDescent="0.25">
      <c r="A244" t="s">
        <v>780</v>
      </c>
      <c r="B244">
        <v>18.940000000000001</v>
      </c>
      <c r="C244" t="s">
        <v>526</v>
      </c>
      <c r="D244" t="s">
        <v>535</v>
      </c>
      <c r="E244" t="s">
        <v>919</v>
      </c>
      <c r="N244"/>
      <c r="O244"/>
      <c r="P244"/>
      <c r="Q244"/>
      <c r="R244"/>
    </row>
    <row r="245" spans="1:18" x14ac:dyDescent="0.25">
      <c r="A245" t="s">
        <v>782</v>
      </c>
      <c r="B245">
        <v>15.67</v>
      </c>
      <c r="C245" t="s">
        <v>526</v>
      </c>
      <c r="D245" t="s">
        <v>535</v>
      </c>
      <c r="E245" t="s">
        <v>919</v>
      </c>
      <c r="N245"/>
      <c r="O245"/>
      <c r="P245"/>
      <c r="Q245"/>
      <c r="R245"/>
    </row>
    <row r="246" spans="1:18" x14ac:dyDescent="0.25">
      <c r="A246" t="s">
        <v>6</v>
      </c>
      <c r="B246">
        <v>4.12</v>
      </c>
      <c r="C246">
        <v>8.2000000000000007E-3</v>
      </c>
      <c r="D246" t="s">
        <v>534</v>
      </c>
      <c r="E246" t="s">
        <v>920</v>
      </c>
      <c r="N246"/>
      <c r="O246"/>
      <c r="P246"/>
      <c r="Q246"/>
      <c r="R246"/>
    </row>
    <row r="247" spans="1:18" x14ac:dyDescent="0.25">
      <c r="N247"/>
      <c r="O247"/>
      <c r="P247"/>
      <c r="Q247"/>
      <c r="R247"/>
    </row>
    <row r="248" spans="1:18" x14ac:dyDescent="0.25">
      <c r="A248" s="84" t="s">
        <v>921</v>
      </c>
      <c r="N248"/>
      <c r="O248"/>
      <c r="P248"/>
      <c r="Q248"/>
      <c r="R248"/>
    </row>
    <row r="249" spans="1:18" x14ac:dyDescent="0.25">
      <c r="N249"/>
      <c r="O249"/>
      <c r="P249"/>
      <c r="Q249"/>
      <c r="R249"/>
    </row>
    <row r="250" spans="1:18" x14ac:dyDescent="0.25">
      <c r="N250"/>
      <c r="O250"/>
      <c r="P250"/>
      <c r="Q250"/>
      <c r="R250"/>
    </row>
    <row r="251" spans="1:18" x14ac:dyDescent="0.25">
      <c r="A251" t="s">
        <v>718</v>
      </c>
      <c r="N251"/>
      <c r="O251"/>
      <c r="P251"/>
      <c r="Q251"/>
      <c r="R251"/>
    </row>
    <row r="252" spans="1:18" x14ac:dyDescent="0.25">
      <c r="A252" s="65" t="s">
        <v>922</v>
      </c>
      <c r="N252"/>
      <c r="O252"/>
      <c r="P252"/>
      <c r="Q252"/>
      <c r="R252"/>
    </row>
    <row r="253" spans="1:18" x14ac:dyDescent="0.25">
      <c r="A253" t="s">
        <v>718</v>
      </c>
      <c r="N253"/>
      <c r="O253"/>
      <c r="P253"/>
      <c r="Q253"/>
      <c r="R253"/>
    </row>
    <row r="254" spans="1:18" x14ac:dyDescent="0.25">
      <c r="N254"/>
      <c r="O254"/>
      <c r="P254"/>
      <c r="Q254"/>
      <c r="R254"/>
    </row>
    <row r="255" spans="1:18" x14ac:dyDescent="0.25">
      <c r="A255" s="7" t="s">
        <v>696</v>
      </c>
      <c r="N255"/>
      <c r="O255"/>
      <c r="P255"/>
      <c r="Q255"/>
      <c r="R255"/>
    </row>
    <row r="256" spans="1:18" x14ac:dyDescent="0.25">
      <c r="N256"/>
      <c r="O256"/>
      <c r="P256"/>
      <c r="Q256"/>
      <c r="R256"/>
    </row>
    <row r="257" spans="1:18" x14ac:dyDescent="0.25">
      <c r="A257" s="66" t="s">
        <v>697</v>
      </c>
      <c r="B257" s="66" t="s">
        <v>923</v>
      </c>
      <c r="C257" s="66" t="s">
        <v>924</v>
      </c>
      <c r="D257" s="66" t="s">
        <v>925</v>
      </c>
      <c r="N257"/>
      <c r="O257"/>
      <c r="P257"/>
      <c r="Q257"/>
      <c r="R257"/>
    </row>
    <row r="258" spans="1:18" x14ac:dyDescent="0.25">
      <c r="A258" t="s">
        <v>698</v>
      </c>
      <c r="B258" s="9">
        <v>0.28399999999999997</v>
      </c>
      <c r="C258" s="9">
        <v>0.28399999999999997</v>
      </c>
      <c r="D258" t="s">
        <v>926</v>
      </c>
      <c r="N258"/>
      <c r="O258"/>
      <c r="P258"/>
      <c r="Q258"/>
      <c r="R258"/>
    </row>
    <row r="259" spans="1:18" x14ac:dyDescent="0.25">
      <c r="A259" t="s">
        <v>699</v>
      </c>
      <c r="B259" s="9">
        <v>0.19600000000000001</v>
      </c>
      <c r="C259" s="9">
        <v>0.48</v>
      </c>
      <c r="D259" t="s">
        <v>927</v>
      </c>
      <c r="N259"/>
      <c r="O259"/>
      <c r="P259"/>
      <c r="Q259"/>
      <c r="R259"/>
    </row>
    <row r="260" spans="1:18" x14ac:dyDescent="0.25">
      <c r="A260" t="s">
        <v>700</v>
      </c>
      <c r="B260" s="9">
        <v>0.128</v>
      </c>
      <c r="C260" s="9">
        <v>0.60799999999999998</v>
      </c>
      <c r="D260" t="s">
        <v>928</v>
      </c>
      <c r="N260"/>
      <c r="O260"/>
      <c r="P260"/>
      <c r="Q260"/>
      <c r="R260"/>
    </row>
    <row r="261" spans="1:18" x14ac:dyDescent="0.25">
      <c r="A261" t="s">
        <v>701</v>
      </c>
      <c r="B261" s="9">
        <v>8.5000000000000006E-2</v>
      </c>
      <c r="C261" s="9">
        <v>0.69299999999999995</v>
      </c>
      <c r="D261" t="s">
        <v>929</v>
      </c>
      <c r="N261"/>
      <c r="O261"/>
      <c r="P261"/>
      <c r="Q261"/>
      <c r="R261"/>
    </row>
    <row r="262" spans="1:18" x14ac:dyDescent="0.25">
      <c r="A262" t="s">
        <v>702</v>
      </c>
      <c r="B262" s="9">
        <v>6.2E-2</v>
      </c>
      <c r="C262" s="9">
        <v>0.755</v>
      </c>
      <c r="D262" t="s">
        <v>930</v>
      </c>
      <c r="N262"/>
      <c r="O262"/>
      <c r="P262"/>
      <c r="Q262"/>
      <c r="R262"/>
    </row>
    <row r="263" spans="1:18" x14ac:dyDescent="0.25">
      <c r="A263" t="s">
        <v>931</v>
      </c>
      <c r="B263" s="9">
        <v>4.8000000000000001E-2</v>
      </c>
      <c r="C263" s="9">
        <v>0.80300000000000005</v>
      </c>
      <c r="D263" t="s">
        <v>932</v>
      </c>
      <c r="N263"/>
      <c r="O263"/>
      <c r="P263"/>
      <c r="Q263"/>
      <c r="R263"/>
    </row>
    <row r="264" spans="1:18" x14ac:dyDescent="0.25">
      <c r="N264"/>
      <c r="O264"/>
      <c r="P264"/>
      <c r="Q264"/>
      <c r="R264"/>
    </row>
    <row r="265" spans="1:18" x14ac:dyDescent="0.25">
      <c r="A265" s="7" t="s">
        <v>933</v>
      </c>
      <c r="N265"/>
      <c r="O265"/>
      <c r="P265"/>
      <c r="Q265"/>
      <c r="R265"/>
    </row>
    <row r="266" spans="1:18" x14ac:dyDescent="0.25">
      <c r="N266"/>
      <c r="O266"/>
      <c r="P266"/>
      <c r="Q266"/>
      <c r="R266"/>
    </row>
    <row r="267" spans="1:18" x14ac:dyDescent="0.25">
      <c r="N267"/>
      <c r="O267"/>
      <c r="P267"/>
      <c r="Q267"/>
      <c r="R267"/>
    </row>
    <row r="268" spans="1:18" x14ac:dyDescent="0.25">
      <c r="A268" s="7" t="s">
        <v>934</v>
      </c>
      <c r="N268"/>
      <c r="O268"/>
      <c r="P268"/>
      <c r="Q268"/>
      <c r="R268"/>
    </row>
    <row r="269" spans="1:18" x14ac:dyDescent="0.25">
      <c r="N269"/>
      <c r="O269"/>
      <c r="P269"/>
      <c r="Q269"/>
      <c r="R269"/>
    </row>
    <row r="270" spans="1:18" x14ac:dyDescent="0.25">
      <c r="A270" s="66" t="s">
        <v>675</v>
      </c>
      <c r="B270" s="66" t="s">
        <v>698</v>
      </c>
      <c r="C270" s="66" t="s">
        <v>699</v>
      </c>
      <c r="D270" s="66" t="s">
        <v>700</v>
      </c>
      <c r="E270" s="66" t="s">
        <v>243</v>
      </c>
      <c r="N270"/>
      <c r="O270"/>
      <c r="P270"/>
      <c r="Q270"/>
      <c r="R270"/>
    </row>
    <row r="271" spans="1:18" x14ac:dyDescent="0.25">
      <c r="A271" t="s">
        <v>807</v>
      </c>
      <c r="B271">
        <v>2.4500000000000002</v>
      </c>
      <c r="C271">
        <v>-1.1200000000000001</v>
      </c>
      <c r="D271">
        <v>1.85</v>
      </c>
      <c r="E271" t="s">
        <v>935</v>
      </c>
      <c r="N271"/>
      <c r="O271"/>
      <c r="P271"/>
      <c r="Q271"/>
      <c r="R271"/>
    </row>
    <row r="272" spans="1:18" x14ac:dyDescent="0.25">
      <c r="A272" t="s">
        <v>808</v>
      </c>
      <c r="B272">
        <v>-1.92</v>
      </c>
      <c r="C272">
        <v>1.78</v>
      </c>
      <c r="D272">
        <v>-0.45</v>
      </c>
      <c r="E272" t="s">
        <v>936</v>
      </c>
      <c r="N272"/>
      <c r="O272"/>
      <c r="P272"/>
      <c r="Q272"/>
      <c r="R272"/>
    </row>
    <row r="273" spans="1:18" x14ac:dyDescent="0.25">
      <c r="A273" t="s">
        <v>809</v>
      </c>
      <c r="B273">
        <v>1.1499999999999999</v>
      </c>
      <c r="C273">
        <v>0.42</v>
      </c>
      <c r="D273">
        <v>-0.92</v>
      </c>
      <c r="E273" t="s">
        <v>937</v>
      </c>
      <c r="N273"/>
      <c r="O273"/>
      <c r="P273"/>
      <c r="Q273"/>
      <c r="R273"/>
    </row>
    <row r="274" spans="1:18" x14ac:dyDescent="0.25">
      <c r="A274" t="s">
        <v>810</v>
      </c>
      <c r="B274">
        <v>-1.58</v>
      </c>
      <c r="C274">
        <v>-2.15</v>
      </c>
      <c r="D274">
        <v>0.68</v>
      </c>
      <c r="E274" t="s">
        <v>938</v>
      </c>
      <c r="N274"/>
      <c r="O274"/>
      <c r="P274"/>
      <c r="Q274"/>
      <c r="R274"/>
    </row>
    <row r="275" spans="1:18" x14ac:dyDescent="0.25">
      <c r="N275"/>
      <c r="O275"/>
      <c r="P275"/>
      <c r="Q275"/>
      <c r="R275"/>
    </row>
    <row r="276" spans="1:18" x14ac:dyDescent="0.25">
      <c r="N276"/>
      <c r="O276"/>
      <c r="P276"/>
      <c r="Q276"/>
      <c r="R276"/>
    </row>
    <row r="277" spans="1:18" x14ac:dyDescent="0.25">
      <c r="A277" t="s">
        <v>718</v>
      </c>
      <c r="N277"/>
      <c r="O277"/>
      <c r="P277"/>
      <c r="Q277"/>
      <c r="R277"/>
    </row>
    <row r="278" spans="1:18" x14ac:dyDescent="0.25">
      <c r="A278" s="65" t="s">
        <v>939</v>
      </c>
      <c r="N278"/>
      <c r="O278"/>
      <c r="P278"/>
      <c r="Q278"/>
      <c r="R278"/>
    </row>
    <row r="279" spans="1:18" x14ac:dyDescent="0.25">
      <c r="A279" t="s">
        <v>718</v>
      </c>
      <c r="N279"/>
      <c r="O279"/>
      <c r="P279"/>
      <c r="Q279"/>
      <c r="R279"/>
    </row>
    <row r="280" spans="1:18" x14ac:dyDescent="0.25">
      <c r="N280"/>
      <c r="O280"/>
      <c r="P280"/>
      <c r="Q280"/>
      <c r="R280"/>
    </row>
    <row r="281" spans="1:18" x14ac:dyDescent="0.25">
      <c r="A281" s="81" t="s">
        <v>940</v>
      </c>
      <c r="N281"/>
      <c r="O281"/>
      <c r="P281"/>
      <c r="Q281"/>
      <c r="R281"/>
    </row>
    <row r="282" spans="1:18" x14ac:dyDescent="0.25">
      <c r="A282" t="s">
        <v>941</v>
      </c>
      <c r="N282"/>
      <c r="O282"/>
      <c r="P282"/>
      <c r="Q282"/>
      <c r="R282"/>
    </row>
    <row r="283" spans="1:18" x14ac:dyDescent="0.25">
      <c r="A283" t="s">
        <v>942</v>
      </c>
      <c r="N283"/>
      <c r="O283"/>
      <c r="P283"/>
      <c r="Q283"/>
      <c r="R283"/>
    </row>
    <row r="284" spans="1:18" x14ac:dyDescent="0.25">
      <c r="A284" t="s">
        <v>943</v>
      </c>
      <c r="N284"/>
      <c r="O284"/>
      <c r="P284"/>
      <c r="Q284"/>
      <c r="R284"/>
    </row>
    <row r="285" spans="1:18" x14ac:dyDescent="0.25">
      <c r="A285" s="7" t="s">
        <v>944</v>
      </c>
      <c r="N285"/>
      <c r="O285"/>
      <c r="P285"/>
      <c r="Q285"/>
      <c r="R285"/>
    </row>
    <row r="286" spans="1:18" x14ac:dyDescent="0.25">
      <c r="N286"/>
      <c r="O286"/>
      <c r="P286"/>
      <c r="Q286"/>
      <c r="R286"/>
    </row>
    <row r="287" spans="1:18" x14ac:dyDescent="0.25">
      <c r="A287" s="82" t="s">
        <v>945</v>
      </c>
      <c r="N287"/>
      <c r="O287"/>
      <c r="P287"/>
      <c r="Q287"/>
      <c r="R287"/>
    </row>
    <row r="288" spans="1:18" x14ac:dyDescent="0.25">
      <c r="A288" t="s">
        <v>946</v>
      </c>
      <c r="N288"/>
      <c r="O288"/>
      <c r="P288"/>
      <c r="Q288"/>
      <c r="R288"/>
    </row>
    <row r="289" spans="1:18" x14ac:dyDescent="0.25">
      <c r="A289" t="s">
        <v>947</v>
      </c>
      <c r="N289"/>
      <c r="O289"/>
      <c r="P289"/>
      <c r="Q289"/>
      <c r="R289"/>
    </row>
    <row r="290" spans="1:18" x14ac:dyDescent="0.25">
      <c r="A290" t="s">
        <v>948</v>
      </c>
      <c r="N290"/>
      <c r="O290"/>
      <c r="P290"/>
      <c r="Q290"/>
      <c r="R290"/>
    </row>
    <row r="291" spans="1:18" x14ac:dyDescent="0.25">
      <c r="A291" s="7" t="s">
        <v>949</v>
      </c>
      <c r="N291"/>
      <c r="O291"/>
      <c r="P291"/>
      <c r="Q291"/>
      <c r="R291"/>
    </row>
    <row r="292" spans="1:18" x14ac:dyDescent="0.25">
      <c r="N292"/>
      <c r="O292"/>
      <c r="P292"/>
      <c r="Q292"/>
      <c r="R292"/>
    </row>
    <row r="293" spans="1:18" x14ac:dyDescent="0.25">
      <c r="A293" s="68" t="s">
        <v>950</v>
      </c>
      <c r="N293"/>
      <c r="O293"/>
      <c r="P293"/>
      <c r="Q293"/>
      <c r="R293"/>
    </row>
    <row r="294" spans="1:18" x14ac:dyDescent="0.25">
      <c r="A294" t="s">
        <v>951</v>
      </c>
      <c r="N294"/>
      <c r="O294"/>
      <c r="P294"/>
      <c r="Q294"/>
      <c r="R294"/>
    </row>
    <row r="295" spans="1:18" x14ac:dyDescent="0.25">
      <c r="A295" t="s">
        <v>952</v>
      </c>
      <c r="N295"/>
      <c r="O295"/>
      <c r="P295"/>
      <c r="Q295"/>
      <c r="R295"/>
    </row>
    <row r="296" spans="1:18" x14ac:dyDescent="0.25">
      <c r="A296" t="s">
        <v>953</v>
      </c>
      <c r="N296"/>
      <c r="O296"/>
      <c r="P296"/>
      <c r="Q296"/>
      <c r="R296"/>
    </row>
    <row r="297" spans="1:18" x14ac:dyDescent="0.25">
      <c r="A297" t="s">
        <v>954</v>
      </c>
      <c r="N297"/>
      <c r="O297"/>
      <c r="P297"/>
      <c r="Q297"/>
      <c r="R297"/>
    </row>
    <row r="298" spans="1:18" x14ac:dyDescent="0.25">
      <c r="A298" s="7" t="s">
        <v>955</v>
      </c>
      <c r="N298"/>
      <c r="O298"/>
      <c r="P298"/>
      <c r="Q298"/>
      <c r="R298"/>
    </row>
    <row r="299" spans="1:18" x14ac:dyDescent="0.25">
      <c r="N299"/>
      <c r="O299"/>
      <c r="P299"/>
      <c r="Q299"/>
      <c r="R299"/>
    </row>
    <row r="300" spans="1:18" x14ac:dyDescent="0.25">
      <c r="A300" s="85" t="s">
        <v>956</v>
      </c>
      <c r="N300"/>
      <c r="O300"/>
      <c r="P300"/>
      <c r="Q300"/>
      <c r="R300"/>
    </row>
    <row r="301" spans="1:18" x14ac:dyDescent="0.25">
      <c r="A301" t="s">
        <v>957</v>
      </c>
      <c r="N301"/>
      <c r="O301"/>
      <c r="P301"/>
      <c r="Q301"/>
      <c r="R301"/>
    </row>
    <row r="302" spans="1:18" x14ac:dyDescent="0.25">
      <c r="A302" t="s">
        <v>958</v>
      </c>
      <c r="N302"/>
      <c r="O302"/>
      <c r="P302"/>
      <c r="Q302"/>
      <c r="R302"/>
    </row>
    <row r="303" spans="1:18" x14ac:dyDescent="0.25">
      <c r="A303" t="s">
        <v>959</v>
      </c>
      <c r="N303"/>
      <c r="O303"/>
      <c r="P303"/>
      <c r="Q303"/>
      <c r="R303"/>
    </row>
    <row r="304" spans="1:18" x14ac:dyDescent="0.25">
      <c r="A304" s="7" t="s">
        <v>960</v>
      </c>
      <c r="N304"/>
      <c r="O304"/>
      <c r="P304"/>
      <c r="Q304"/>
      <c r="R304"/>
    </row>
    <row r="305" spans="1:18" x14ac:dyDescent="0.25">
      <c r="N305"/>
      <c r="O305"/>
      <c r="P305"/>
      <c r="Q305"/>
      <c r="R305"/>
    </row>
    <row r="306" spans="1:18" x14ac:dyDescent="0.25">
      <c r="A306" s="84" t="s">
        <v>961</v>
      </c>
      <c r="N306"/>
      <c r="O306"/>
      <c r="P306"/>
      <c r="Q306"/>
      <c r="R306"/>
    </row>
    <row r="307" spans="1:18" x14ac:dyDescent="0.25">
      <c r="A307" t="s">
        <v>962</v>
      </c>
      <c r="N307"/>
      <c r="O307"/>
      <c r="P307"/>
      <c r="Q307"/>
      <c r="R307"/>
    </row>
    <row r="308" spans="1:18" x14ac:dyDescent="0.25">
      <c r="A308" t="s">
        <v>963</v>
      </c>
      <c r="N308"/>
      <c r="O308"/>
      <c r="P308"/>
      <c r="Q308"/>
      <c r="R308"/>
    </row>
    <row r="309" spans="1:18" x14ac:dyDescent="0.25">
      <c r="A309" t="s">
        <v>964</v>
      </c>
      <c r="N309"/>
      <c r="O309"/>
      <c r="P309"/>
      <c r="Q309"/>
      <c r="R309"/>
    </row>
    <row r="310" spans="1:18" x14ac:dyDescent="0.25">
      <c r="A310" t="s">
        <v>965</v>
      </c>
      <c r="N310"/>
      <c r="O310"/>
      <c r="P310"/>
      <c r="Q310"/>
      <c r="R310"/>
    </row>
    <row r="311" spans="1:18" x14ac:dyDescent="0.25">
      <c r="A311" s="7" t="s">
        <v>966</v>
      </c>
      <c r="N311"/>
      <c r="O311"/>
      <c r="P311"/>
      <c r="Q311"/>
      <c r="R311"/>
    </row>
    <row r="312" spans="1:18" x14ac:dyDescent="0.25">
      <c r="N312"/>
      <c r="O312"/>
      <c r="P312"/>
      <c r="Q312"/>
      <c r="R312"/>
    </row>
    <row r="313" spans="1:18" x14ac:dyDescent="0.25">
      <c r="A313" s="83" t="s">
        <v>967</v>
      </c>
      <c r="N313"/>
      <c r="O313"/>
      <c r="P313"/>
      <c r="Q313"/>
      <c r="R313"/>
    </row>
    <row r="314" spans="1:18" x14ac:dyDescent="0.25">
      <c r="A314" t="s">
        <v>968</v>
      </c>
      <c r="N314"/>
      <c r="O314"/>
      <c r="P314"/>
      <c r="Q314"/>
      <c r="R314"/>
    </row>
    <row r="315" spans="1:18" x14ac:dyDescent="0.25">
      <c r="A315" t="s">
        <v>969</v>
      </c>
      <c r="N315"/>
      <c r="O315"/>
      <c r="P315"/>
      <c r="Q315"/>
      <c r="R315"/>
    </row>
    <row r="316" spans="1:18" x14ac:dyDescent="0.25">
      <c r="A316" t="s">
        <v>970</v>
      </c>
      <c r="N316"/>
      <c r="O316"/>
      <c r="P316"/>
      <c r="Q316"/>
      <c r="R316"/>
    </row>
    <row r="317" spans="1:18" x14ac:dyDescent="0.25">
      <c r="A317" s="7" t="s">
        <v>971</v>
      </c>
      <c r="N317"/>
      <c r="O317"/>
      <c r="P317"/>
      <c r="Q317"/>
      <c r="R317"/>
    </row>
    <row r="318" spans="1:18" x14ac:dyDescent="0.25">
      <c r="N318"/>
      <c r="O318"/>
      <c r="P318"/>
      <c r="Q318"/>
      <c r="R318"/>
    </row>
    <row r="319" spans="1:18" x14ac:dyDescent="0.25">
      <c r="A319" s="86" t="s">
        <v>972</v>
      </c>
      <c r="N319"/>
      <c r="O319"/>
      <c r="P319"/>
      <c r="Q319"/>
      <c r="R319"/>
    </row>
    <row r="320" spans="1:18" x14ac:dyDescent="0.25">
      <c r="A320" t="s">
        <v>973</v>
      </c>
      <c r="N320"/>
      <c r="O320"/>
      <c r="P320"/>
      <c r="Q320"/>
      <c r="R320"/>
    </row>
    <row r="321" spans="1:18" x14ac:dyDescent="0.25">
      <c r="A321" t="s">
        <v>974</v>
      </c>
      <c r="N321"/>
      <c r="O321"/>
      <c r="P321"/>
      <c r="Q321"/>
      <c r="R321"/>
    </row>
    <row r="322" spans="1:18" x14ac:dyDescent="0.25">
      <c r="A322" t="s">
        <v>975</v>
      </c>
      <c r="N322"/>
      <c r="O322"/>
      <c r="P322"/>
      <c r="Q322"/>
      <c r="R322"/>
    </row>
    <row r="323" spans="1:18" x14ac:dyDescent="0.25">
      <c r="A323" s="7" t="s">
        <v>976</v>
      </c>
      <c r="N323"/>
      <c r="O323"/>
      <c r="P323"/>
      <c r="Q323"/>
      <c r="R323"/>
    </row>
    <row r="324" spans="1:18" x14ac:dyDescent="0.25">
      <c r="N324"/>
      <c r="O324"/>
      <c r="P324"/>
      <c r="Q324"/>
      <c r="R324"/>
    </row>
    <row r="325" spans="1:18" x14ac:dyDescent="0.25">
      <c r="N325"/>
      <c r="O325"/>
      <c r="P325"/>
      <c r="Q325"/>
      <c r="R325"/>
    </row>
    <row r="326" spans="1:18" x14ac:dyDescent="0.25">
      <c r="A326" t="s">
        <v>718</v>
      </c>
      <c r="N326"/>
      <c r="O326"/>
      <c r="P326"/>
      <c r="Q326"/>
      <c r="R326"/>
    </row>
    <row r="327" spans="1:18" x14ac:dyDescent="0.25">
      <c r="A327" s="65" t="s">
        <v>977</v>
      </c>
      <c r="N327"/>
      <c r="O327"/>
      <c r="P327"/>
      <c r="Q327"/>
      <c r="R327"/>
    </row>
    <row r="328" spans="1:18" x14ac:dyDescent="0.25">
      <c r="A328" t="s">
        <v>718</v>
      </c>
      <c r="N328"/>
      <c r="O328"/>
      <c r="P328"/>
      <c r="Q328"/>
      <c r="R328"/>
    </row>
    <row r="329" spans="1:18" x14ac:dyDescent="0.25">
      <c r="N329"/>
      <c r="O329"/>
      <c r="P329"/>
      <c r="Q329"/>
      <c r="R329"/>
    </row>
    <row r="330" spans="1:18" x14ac:dyDescent="0.25">
      <c r="A330" s="7" t="s">
        <v>978</v>
      </c>
      <c r="N330"/>
      <c r="O330"/>
      <c r="P330"/>
      <c r="Q330"/>
      <c r="R330"/>
    </row>
    <row r="331" spans="1:18" x14ac:dyDescent="0.25">
      <c r="A331" t="s">
        <v>979</v>
      </c>
      <c r="N331"/>
      <c r="O331"/>
      <c r="P331"/>
      <c r="Q331"/>
      <c r="R331"/>
    </row>
    <row r="332" spans="1:18" x14ac:dyDescent="0.25">
      <c r="A332" t="s">
        <v>980</v>
      </c>
      <c r="N332"/>
      <c r="O332"/>
      <c r="P332"/>
      <c r="Q332"/>
      <c r="R332"/>
    </row>
    <row r="333" spans="1:18" x14ac:dyDescent="0.25">
      <c r="N333"/>
      <c r="O333"/>
      <c r="P333"/>
      <c r="Q333"/>
      <c r="R333"/>
    </row>
    <row r="334" spans="1:18" x14ac:dyDescent="0.25">
      <c r="A334" s="7" t="s">
        <v>981</v>
      </c>
      <c r="N334"/>
      <c r="O334"/>
      <c r="P334"/>
      <c r="Q334"/>
      <c r="R334"/>
    </row>
    <row r="335" spans="1:18" x14ac:dyDescent="0.25">
      <c r="A335" t="s">
        <v>982</v>
      </c>
      <c r="N335"/>
      <c r="O335"/>
      <c r="P335"/>
      <c r="Q335"/>
      <c r="R335"/>
    </row>
    <row r="336" spans="1:18" x14ac:dyDescent="0.25">
      <c r="A336" t="s">
        <v>983</v>
      </c>
      <c r="N336"/>
      <c r="O336"/>
      <c r="P336"/>
      <c r="Q336"/>
      <c r="R336"/>
    </row>
    <row r="337" spans="1:18" x14ac:dyDescent="0.25">
      <c r="A337" t="s">
        <v>984</v>
      </c>
      <c r="N337"/>
      <c r="O337"/>
      <c r="P337"/>
      <c r="Q337"/>
      <c r="R337"/>
    </row>
    <row r="338" spans="1:18" x14ac:dyDescent="0.25">
      <c r="A338" t="s">
        <v>985</v>
      </c>
      <c r="N338"/>
      <c r="O338"/>
      <c r="P338"/>
      <c r="Q338"/>
      <c r="R338"/>
    </row>
    <row r="339" spans="1:18" x14ac:dyDescent="0.25">
      <c r="N339"/>
      <c r="O339"/>
      <c r="P339"/>
      <c r="Q339"/>
      <c r="R339"/>
    </row>
    <row r="340" spans="1:18" x14ac:dyDescent="0.25">
      <c r="A340" s="7" t="s">
        <v>986</v>
      </c>
      <c r="N340"/>
      <c r="O340"/>
      <c r="P340"/>
      <c r="Q340"/>
      <c r="R340"/>
    </row>
    <row r="341" spans="1:18" x14ac:dyDescent="0.25">
      <c r="A341" t="s">
        <v>987</v>
      </c>
      <c r="N341"/>
      <c r="O341"/>
      <c r="P341"/>
      <c r="Q341"/>
      <c r="R341"/>
    </row>
    <row r="342" spans="1:18" x14ac:dyDescent="0.25">
      <c r="A342" t="s">
        <v>988</v>
      </c>
      <c r="N342"/>
      <c r="O342"/>
      <c r="P342"/>
      <c r="Q342"/>
      <c r="R342"/>
    </row>
    <row r="343" spans="1:18" x14ac:dyDescent="0.25">
      <c r="N343"/>
      <c r="O343"/>
      <c r="P343"/>
      <c r="Q343"/>
      <c r="R343"/>
    </row>
    <row r="344" spans="1:18" x14ac:dyDescent="0.25">
      <c r="A344" s="7" t="s">
        <v>989</v>
      </c>
      <c r="N344"/>
      <c r="O344"/>
      <c r="P344"/>
      <c r="Q344"/>
      <c r="R344"/>
    </row>
    <row r="345" spans="1:18" x14ac:dyDescent="0.25">
      <c r="A345" t="s">
        <v>990</v>
      </c>
      <c r="N345"/>
      <c r="O345"/>
      <c r="P345"/>
      <c r="Q345"/>
      <c r="R345"/>
    </row>
    <row r="346" spans="1:18" x14ac:dyDescent="0.25">
      <c r="A346" t="s">
        <v>991</v>
      </c>
      <c r="N346"/>
      <c r="O346"/>
      <c r="P346"/>
      <c r="Q346"/>
      <c r="R346"/>
    </row>
    <row r="347" spans="1:18" x14ac:dyDescent="0.25">
      <c r="N347"/>
      <c r="O347"/>
      <c r="P347"/>
      <c r="Q347"/>
      <c r="R347"/>
    </row>
    <row r="348" spans="1:18" x14ac:dyDescent="0.25">
      <c r="N348"/>
      <c r="O348"/>
      <c r="P348"/>
      <c r="Q348"/>
      <c r="R348"/>
    </row>
    <row r="349" spans="1:18" x14ac:dyDescent="0.25">
      <c r="A349" t="s">
        <v>718</v>
      </c>
      <c r="N349"/>
      <c r="O349"/>
      <c r="P349"/>
      <c r="Q349"/>
      <c r="R349"/>
    </row>
    <row r="350" spans="1:18" x14ac:dyDescent="0.25">
      <c r="A350" s="65" t="s">
        <v>992</v>
      </c>
      <c r="N350"/>
      <c r="O350"/>
      <c r="P350"/>
      <c r="Q350"/>
      <c r="R350"/>
    </row>
    <row r="351" spans="1:18" x14ac:dyDescent="0.25">
      <c r="A351" t="s">
        <v>718</v>
      </c>
      <c r="N351"/>
      <c r="O351"/>
      <c r="P351"/>
      <c r="Q351"/>
      <c r="R351"/>
    </row>
    <row r="352" spans="1:18" x14ac:dyDescent="0.25">
      <c r="N352"/>
      <c r="O352"/>
      <c r="P352"/>
      <c r="Q352"/>
      <c r="R352"/>
    </row>
    <row r="353" spans="1:18" x14ac:dyDescent="0.25">
      <c r="A353" s="66" t="s">
        <v>675</v>
      </c>
      <c r="B353" s="66" t="s">
        <v>993</v>
      </c>
      <c r="C353" s="66" t="s">
        <v>994</v>
      </c>
      <c r="D353" s="66" t="s">
        <v>704</v>
      </c>
      <c r="E353" s="66" t="s">
        <v>995</v>
      </c>
      <c r="N353"/>
      <c r="O353"/>
      <c r="P353"/>
      <c r="Q353"/>
      <c r="R353"/>
    </row>
    <row r="354" spans="1:18" x14ac:dyDescent="0.25">
      <c r="A354" s="73" t="s">
        <v>996</v>
      </c>
      <c r="B354" s="73" t="s">
        <v>798</v>
      </c>
      <c r="C354" s="73" t="s">
        <v>997</v>
      </c>
      <c r="D354" s="73" t="s">
        <v>998</v>
      </c>
      <c r="E354" s="73" t="s">
        <v>999</v>
      </c>
      <c r="N354"/>
      <c r="O354"/>
      <c r="P354"/>
      <c r="Q354"/>
      <c r="R354"/>
    </row>
    <row r="355" spans="1:18" x14ac:dyDescent="0.25">
      <c r="A355" s="75" t="s">
        <v>1000</v>
      </c>
      <c r="B355" s="75" t="s">
        <v>801</v>
      </c>
      <c r="C355" s="75" t="s">
        <v>1001</v>
      </c>
      <c r="D355" s="75" t="s">
        <v>1002</v>
      </c>
      <c r="E355" s="75" t="s">
        <v>1003</v>
      </c>
      <c r="N355"/>
      <c r="O355"/>
      <c r="P355"/>
      <c r="Q355"/>
      <c r="R355"/>
    </row>
    <row r="356" spans="1:18" x14ac:dyDescent="0.25">
      <c r="A356" s="69" t="s">
        <v>1004</v>
      </c>
      <c r="B356" s="69" t="s">
        <v>269</v>
      </c>
      <c r="C356" s="69" t="s">
        <v>1005</v>
      </c>
      <c r="D356" s="69" t="s">
        <v>1006</v>
      </c>
      <c r="E356" s="69" t="s">
        <v>1007</v>
      </c>
      <c r="N356"/>
      <c r="O356"/>
      <c r="P356"/>
      <c r="Q356"/>
      <c r="R356"/>
    </row>
    <row r="357" spans="1:18" x14ac:dyDescent="0.25">
      <c r="A357" s="77" t="s">
        <v>1008</v>
      </c>
      <c r="B357" s="77" t="s">
        <v>801</v>
      </c>
      <c r="C357" s="77" t="s">
        <v>1009</v>
      </c>
      <c r="D357" s="77" t="s">
        <v>1010</v>
      </c>
      <c r="E357" s="77" t="s">
        <v>1011</v>
      </c>
      <c r="N357"/>
      <c r="O357"/>
      <c r="P357"/>
      <c r="Q357"/>
      <c r="R357"/>
    </row>
    <row r="358" spans="1:18" x14ac:dyDescent="0.25">
      <c r="N358"/>
      <c r="O358"/>
      <c r="P358"/>
      <c r="Q358"/>
      <c r="R358"/>
    </row>
    <row r="359" spans="1:18" x14ac:dyDescent="0.25">
      <c r="N359"/>
      <c r="O359"/>
      <c r="P359"/>
      <c r="Q359"/>
      <c r="R359"/>
    </row>
    <row r="360" spans="1:18" x14ac:dyDescent="0.25">
      <c r="A360" t="s">
        <v>718</v>
      </c>
      <c r="N360"/>
      <c r="O360"/>
      <c r="P360"/>
      <c r="Q360"/>
      <c r="R360"/>
    </row>
    <row r="361" spans="1:18" x14ac:dyDescent="0.25">
      <c r="A361" s="94" t="s">
        <v>1012</v>
      </c>
      <c r="N361"/>
      <c r="O361"/>
      <c r="P361"/>
      <c r="Q361"/>
      <c r="R361"/>
    </row>
    <row r="362" spans="1:18" x14ac:dyDescent="0.25">
      <c r="A362" t="s">
        <v>718</v>
      </c>
      <c r="D362">
        <v>1.2E-2</v>
      </c>
      <c r="N362"/>
      <c r="O362"/>
      <c r="P362"/>
      <c r="Q362"/>
      <c r="R362"/>
    </row>
    <row r="363" spans="1:18" x14ac:dyDescent="0.25">
      <c r="N363"/>
      <c r="O363"/>
      <c r="P363"/>
      <c r="Q363"/>
      <c r="R363"/>
    </row>
    <row r="364" spans="1:18" x14ac:dyDescent="0.25">
      <c r="A364" s="7" t="s">
        <v>1013</v>
      </c>
      <c r="N364"/>
      <c r="O364"/>
      <c r="P364"/>
      <c r="Q364"/>
      <c r="R364"/>
    </row>
    <row r="365" spans="1:18" x14ac:dyDescent="0.25">
      <c r="N365"/>
      <c r="O365"/>
      <c r="P365"/>
      <c r="Q365"/>
      <c r="R365"/>
    </row>
    <row r="366" spans="1:18" x14ac:dyDescent="0.25">
      <c r="A366" t="s">
        <v>1014</v>
      </c>
      <c r="N366"/>
      <c r="O366"/>
      <c r="P366"/>
      <c r="Q366"/>
      <c r="R366"/>
    </row>
    <row r="367" spans="1:18" x14ac:dyDescent="0.25">
      <c r="A367" t="s">
        <v>1015</v>
      </c>
      <c r="N367"/>
      <c r="O367"/>
      <c r="P367"/>
      <c r="Q367"/>
      <c r="R367"/>
    </row>
    <row r="368" spans="1:18" x14ac:dyDescent="0.25">
      <c r="A368" t="s">
        <v>1016</v>
      </c>
      <c r="N368"/>
      <c r="O368"/>
      <c r="P368"/>
      <c r="Q368"/>
      <c r="R368"/>
    </row>
    <row r="369" spans="1:18" x14ac:dyDescent="0.25">
      <c r="A369" t="s">
        <v>1017</v>
      </c>
      <c r="N369"/>
      <c r="O369"/>
      <c r="P369"/>
      <c r="Q369"/>
      <c r="R369"/>
    </row>
    <row r="370" spans="1:18" x14ac:dyDescent="0.25">
      <c r="A370" t="s">
        <v>1018</v>
      </c>
      <c r="N370"/>
      <c r="O370"/>
      <c r="P370"/>
      <c r="Q370"/>
      <c r="R370"/>
    </row>
    <row r="371" spans="1:18" x14ac:dyDescent="0.25">
      <c r="A371" t="s">
        <v>1019</v>
      </c>
      <c r="N371"/>
      <c r="O371"/>
      <c r="P371"/>
      <c r="Q371"/>
      <c r="R371"/>
    </row>
    <row r="372" spans="1:18" x14ac:dyDescent="0.25">
      <c r="A372" t="s">
        <v>1020</v>
      </c>
      <c r="N372"/>
      <c r="O372"/>
      <c r="P372"/>
      <c r="Q372"/>
      <c r="R372"/>
    </row>
    <row r="373" spans="1:18" x14ac:dyDescent="0.25">
      <c r="N373"/>
      <c r="O373"/>
      <c r="P373"/>
      <c r="Q373"/>
      <c r="R373"/>
    </row>
    <row r="374" spans="1:18" x14ac:dyDescent="0.25">
      <c r="A374" s="84" t="s">
        <v>1021</v>
      </c>
      <c r="N374"/>
      <c r="O374"/>
      <c r="P374"/>
      <c r="Q374"/>
      <c r="R374"/>
    </row>
    <row r="375" spans="1:18" x14ac:dyDescent="0.25">
      <c r="A375" s="84" t="s">
        <v>1022</v>
      </c>
      <c r="N375"/>
      <c r="O375"/>
      <c r="P375"/>
      <c r="Q375"/>
      <c r="R375"/>
    </row>
    <row r="376" spans="1:18" x14ac:dyDescent="0.25">
      <c r="N376"/>
      <c r="O376"/>
      <c r="P376"/>
      <c r="Q376"/>
      <c r="R376"/>
    </row>
    <row r="377" spans="1:18" x14ac:dyDescent="0.25">
      <c r="N377"/>
      <c r="O377"/>
      <c r="P377"/>
      <c r="Q377"/>
      <c r="R377"/>
    </row>
    <row r="378" spans="1:18" x14ac:dyDescent="0.25">
      <c r="A378" t="s">
        <v>1038</v>
      </c>
      <c r="N378"/>
      <c r="O378"/>
      <c r="P378"/>
      <c r="Q378"/>
      <c r="R378"/>
    </row>
    <row r="379" spans="1:18" x14ac:dyDescent="0.25">
      <c r="A379" s="65" t="s">
        <v>1039</v>
      </c>
      <c r="N379"/>
      <c r="O379"/>
      <c r="P379"/>
      <c r="Q379"/>
      <c r="R379"/>
    </row>
    <row r="380" spans="1:18" x14ac:dyDescent="0.25">
      <c r="A380" t="s">
        <v>718</v>
      </c>
      <c r="N380"/>
      <c r="O380"/>
      <c r="P380"/>
      <c r="Q380"/>
      <c r="R380"/>
    </row>
    <row r="381" spans="1:18" x14ac:dyDescent="0.25">
      <c r="A381" s="66" t="s">
        <v>180</v>
      </c>
      <c r="B381" s="66" t="s">
        <v>181</v>
      </c>
      <c r="N381"/>
      <c r="O381"/>
      <c r="P381"/>
      <c r="Q381"/>
      <c r="R381"/>
    </row>
    <row r="382" spans="1:18" x14ac:dyDescent="0.25">
      <c r="A382" s="15" t="s">
        <v>252</v>
      </c>
      <c r="B382">
        <f>COUNTA('Dermatoses Bulleuses CNHU HKM'!A:A)-1</f>
        <v>130</v>
      </c>
      <c r="N382"/>
      <c r="O382"/>
      <c r="P382"/>
      <c r="Q382"/>
      <c r="R382"/>
    </row>
    <row r="383" spans="1:18" x14ac:dyDescent="0.25">
      <c r="A383" t="s">
        <v>253</v>
      </c>
      <c r="B383">
        <f>ROUND(AVERAGE('Dermatoses Bulleuses CNHU HKM'!F:F),2)</f>
        <v>36.090000000000003</v>
      </c>
      <c r="N383"/>
      <c r="O383"/>
      <c r="P383"/>
      <c r="Q383"/>
      <c r="R383"/>
    </row>
    <row r="384" spans="1:18" x14ac:dyDescent="0.25">
      <c r="A384" s="66" t="s">
        <v>254</v>
      </c>
      <c r="B384" s="66">
        <f>MEDIAN('Dermatoses Bulleuses CNHU HKM'!F:F)</f>
        <v>33</v>
      </c>
      <c r="C384" s="66" t="s">
        <v>1037</v>
      </c>
      <c r="N384"/>
      <c r="O384"/>
      <c r="P384"/>
      <c r="Q384"/>
      <c r="R384"/>
    </row>
    <row r="385" spans="1:18" x14ac:dyDescent="0.25">
      <c r="A385" t="s">
        <v>1040</v>
      </c>
      <c r="B385">
        <f>ROUND(AVERAGE('Dermatoses Bulleuses CNHU HKM'!N:N),2)</f>
        <v>24.85</v>
      </c>
      <c r="N385"/>
      <c r="O385"/>
      <c r="P385"/>
      <c r="Q385"/>
      <c r="R385"/>
    </row>
    <row r="386" spans="1:18" x14ac:dyDescent="0.25">
      <c r="A386" t="s">
        <v>1041</v>
      </c>
      <c r="B386">
        <f>ROUND(AVERAGE('Dermatoses Bulleuses CNHU HKM'!J:J),2)</f>
        <v>141.34</v>
      </c>
      <c r="N386"/>
      <c r="O386"/>
      <c r="P386"/>
      <c r="Q386"/>
      <c r="R386"/>
    </row>
    <row r="387" spans="1:18" x14ac:dyDescent="0.25">
      <c r="N387"/>
      <c r="O387"/>
      <c r="P387"/>
      <c r="Q387"/>
      <c r="R387"/>
    </row>
    <row r="388" spans="1:18" x14ac:dyDescent="0.25">
      <c r="A388" s="7" t="s">
        <v>1042</v>
      </c>
      <c r="N388"/>
      <c r="O388"/>
      <c r="P388"/>
      <c r="Q388"/>
      <c r="R388"/>
    </row>
    <row r="389" spans="1:18" x14ac:dyDescent="0.25">
      <c r="A389" t="s">
        <v>19</v>
      </c>
      <c r="B389">
        <f>COUNTIF('Dermatoses Bulleuses CNHU HKM'!Q:Q,"Toxidermie")</f>
        <v>75</v>
      </c>
      <c r="N389"/>
      <c r="O389"/>
      <c r="P389"/>
      <c r="Q389"/>
      <c r="R389"/>
    </row>
    <row r="390" spans="1:18" x14ac:dyDescent="0.25">
      <c r="A390" t="s">
        <v>40</v>
      </c>
      <c r="B390">
        <f>COUNTIF('Dermatoses Bulleuses CNHU HKM'!Q:Q,"Auto-immune")</f>
        <v>31</v>
      </c>
      <c r="N390"/>
      <c r="O390"/>
      <c r="P390"/>
      <c r="Q390"/>
      <c r="R390"/>
    </row>
    <row r="391" spans="1:18" x14ac:dyDescent="0.25">
      <c r="A391" t="s">
        <v>28</v>
      </c>
      <c r="B391">
        <f>COUNTIF('Dermatoses Bulleuses CNHU HKM'!Q:Q,"Infectieuse")</f>
        <v>19</v>
      </c>
      <c r="N391"/>
      <c r="O391"/>
      <c r="P391"/>
      <c r="Q391"/>
      <c r="R391"/>
    </row>
    <row r="392" spans="1:18" x14ac:dyDescent="0.25">
      <c r="A392" t="s">
        <v>144</v>
      </c>
      <c r="B392">
        <f>COUNTIF('Dermatoses Bulleuses CNHU HKM'!Q:Q,"Immunoallergique")</f>
        <v>5</v>
      </c>
      <c r="N392"/>
      <c r="O392"/>
      <c r="P392"/>
      <c r="Q392"/>
      <c r="R392"/>
    </row>
    <row r="393" spans="1:18" x14ac:dyDescent="0.25">
      <c r="N393"/>
      <c r="O393"/>
      <c r="P393"/>
      <c r="Q393"/>
      <c r="R393"/>
    </row>
    <row r="394" spans="1:18" x14ac:dyDescent="0.25">
      <c r="A394" s="7" t="s">
        <v>1043</v>
      </c>
      <c r="N394"/>
      <c r="O394"/>
      <c r="P394"/>
      <c r="Q394"/>
      <c r="R394"/>
    </row>
    <row r="395" spans="1:18" x14ac:dyDescent="0.25">
      <c r="A395" t="s">
        <v>32</v>
      </c>
      <c r="B395">
        <f>COUNTIF('Dermatoses Bulleuses CNHU HKM'!K:K,"Oui")</f>
        <v>68</v>
      </c>
      <c r="N395"/>
      <c r="O395"/>
      <c r="P395"/>
      <c r="Q395"/>
      <c r="R395"/>
    </row>
    <row r="396" spans="1:18" x14ac:dyDescent="0.25">
      <c r="A396" t="s">
        <v>24</v>
      </c>
      <c r="B396">
        <f>COUNTIF('Dermatoses Bulleuses CNHU HKM'!K:K,"Non")</f>
        <v>62</v>
      </c>
      <c r="N396"/>
      <c r="O396"/>
      <c r="P396"/>
      <c r="Q396"/>
      <c r="R396"/>
    </row>
    <row r="397" spans="1:18" x14ac:dyDescent="0.25">
      <c r="N397"/>
      <c r="O397"/>
      <c r="P397"/>
      <c r="Q397"/>
      <c r="R397"/>
    </row>
    <row r="398" spans="1:18" x14ac:dyDescent="0.25">
      <c r="A398" s="7" t="s">
        <v>186</v>
      </c>
      <c r="N398"/>
      <c r="O398"/>
      <c r="P398"/>
      <c r="Q398"/>
      <c r="R398"/>
    </row>
    <row r="399" spans="1:18" x14ac:dyDescent="0.25">
      <c r="A399" t="s">
        <v>255</v>
      </c>
      <c r="B399">
        <f>COUNTIF('Dermatoses Bulleuses CNHU HKM'!G:G,"Femme")</f>
        <v>74</v>
      </c>
      <c r="N399"/>
      <c r="O399"/>
      <c r="P399"/>
      <c r="Q399"/>
      <c r="R399"/>
    </row>
    <row r="400" spans="1:18" x14ac:dyDescent="0.25">
      <c r="A400" t="s">
        <v>256</v>
      </c>
      <c r="B400">
        <f>COUNTIF('Dermatoses Bulleuses CNHU HKM'!G:G,"Homme")</f>
        <v>56</v>
      </c>
      <c r="N400"/>
      <c r="O400"/>
      <c r="P400"/>
      <c r="Q400"/>
      <c r="R400"/>
    </row>
    <row r="402" spans="1:2" x14ac:dyDescent="0.25">
      <c r="A402" s="7" t="s">
        <v>1044</v>
      </c>
    </row>
    <row r="403" spans="1:2" x14ac:dyDescent="0.25">
      <c r="A403" t="s">
        <v>1045</v>
      </c>
      <c r="B403">
        <f>COUNTIF('Dermatoses Bulleuses CNHU HKM'!T:T,"Syndrome de Stevens Johnson")</f>
        <v>20</v>
      </c>
    </row>
    <row r="404" spans="1:2" x14ac:dyDescent="0.25">
      <c r="A404" t="s">
        <v>1046</v>
      </c>
      <c r="B404">
        <f>COUNTIF('Dermatoses Bulleuses CNHU HKM'!T:T,"Syndrome de Lyell")</f>
        <v>15</v>
      </c>
    </row>
    <row r="405" spans="1:2" x14ac:dyDescent="0.25">
      <c r="A405" t="s">
        <v>35</v>
      </c>
      <c r="B405">
        <f>COUNTIF('Dermatoses Bulleuses CNHU HKM'!T:T,"EPF Bulleux")</f>
        <v>25</v>
      </c>
    </row>
  </sheetData>
  <mergeCells count="5">
    <mergeCell ref="A1:I1"/>
    <mergeCell ref="P1:T1"/>
    <mergeCell ref="A58:B58"/>
    <mergeCell ref="A59:C59"/>
    <mergeCell ref="A63:C6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AE796-9FF3-44CC-8AF7-F5006B2CC4D6}">
  <dimension ref="A1:T391"/>
  <sheetViews>
    <sheetView topLeftCell="A158" workbookViewId="0">
      <selection activeCell="D22" sqref="D22"/>
    </sheetView>
  </sheetViews>
  <sheetFormatPr defaultRowHeight="14.25" x14ac:dyDescent="0.25"/>
  <cols>
    <col min="1" max="1" width="7.5" customWidth="1"/>
    <col min="2" max="2" width="32.625" bestFit="1" customWidth="1"/>
    <col min="3" max="3" width="34.625" bestFit="1" customWidth="1"/>
    <col min="4" max="4" width="36.5" bestFit="1" customWidth="1"/>
    <col min="5" max="5" width="37.75" bestFit="1" customWidth="1"/>
    <col min="6" max="6" width="16.5" bestFit="1" customWidth="1"/>
    <col min="7" max="7" width="31.5" bestFit="1" customWidth="1"/>
    <col min="8" max="8" width="7.75" bestFit="1" customWidth="1"/>
    <col min="9" max="11" width="4.875" bestFit="1" customWidth="1"/>
    <col min="12" max="14" width="2.375" customWidth="1"/>
    <col min="16" max="16" width="34.875" bestFit="1" customWidth="1"/>
    <col min="17" max="17" width="13.625" bestFit="1" customWidth="1"/>
    <col min="18" max="18" width="17" bestFit="1" customWidth="1"/>
    <col min="19" max="19" width="14.75" bestFit="1" customWidth="1"/>
    <col min="20" max="20" width="4.875" bestFit="1" customWidth="1"/>
  </cols>
  <sheetData>
    <row r="1" spans="1:18" ht="21.75" x14ac:dyDescent="0.35">
      <c r="A1" s="306" t="s">
        <v>1047</v>
      </c>
      <c r="B1" s="232"/>
      <c r="C1" s="232"/>
      <c r="D1" s="232"/>
      <c r="E1" s="232"/>
      <c r="F1" s="232"/>
      <c r="G1" s="232"/>
      <c r="H1" s="232"/>
      <c r="I1" s="232"/>
      <c r="J1" s="232"/>
      <c r="K1" s="232"/>
      <c r="L1" s="232"/>
      <c r="M1" s="232"/>
      <c r="N1" s="232"/>
      <c r="P1" s="35" t="s">
        <v>1023</v>
      </c>
    </row>
    <row r="2" spans="1:18" x14ac:dyDescent="0.25">
      <c r="A2" s="239" t="s">
        <v>1048</v>
      </c>
      <c r="B2" s="232"/>
      <c r="C2" s="232"/>
      <c r="D2" s="232"/>
      <c r="E2" s="232"/>
      <c r="F2" s="232"/>
      <c r="G2" s="232"/>
      <c r="H2" s="232"/>
      <c r="I2" s="232"/>
      <c r="J2" s="232"/>
      <c r="K2" s="232"/>
      <c r="L2" s="232"/>
      <c r="M2" s="232"/>
      <c r="N2" s="232"/>
    </row>
    <row r="3" spans="1:18" x14ac:dyDescent="0.25">
      <c r="A3" s="232" t="s">
        <v>1049</v>
      </c>
      <c r="B3" s="232"/>
      <c r="C3" s="232"/>
      <c r="D3" s="232"/>
      <c r="E3" s="232"/>
      <c r="F3" s="232"/>
      <c r="G3" s="232"/>
      <c r="H3" s="232"/>
      <c r="I3" s="232"/>
      <c r="J3" s="232"/>
      <c r="K3" s="232"/>
      <c r="L3" s="232"/>
      <c r="M3" s="232"/>
      <c r="N3" s="232"/>
      <c r="P3" s="7" t="s">
        <v>1464</v>
      </c>
    </row>
    <row r="4" spans="1:18" x14ac:dyDescent="0.25">
      <c r="P4" s="21" t="s">
        <v>675</v>
      </c>
      <c r="Q4" s="21" t="s">
        <v>228</v>
      </c>
    </row>
    <row r="5" spans="1:18" x14ac:dyDescent="0.25">
      <c r="A5" t="s">
        <v>1050</v>
      </c>
      <c r="P5" t="s">
        <v>1465</v>
      </c>
      <c r="Q5">
        <v>35</v>
      </c>
    </row>
    <row r="6" spans="1:18" x14ac:dyDescent="0.25">
      <c r="A6" s="304" t="s">
        <v>1051</v>
      </c>
      <c r="B6" s="232"/>
      <c r="C6" s="232"/>
      <c r="D6" s="232"/>
      <c r="E6" s="232"/>
      <c r="F6" s="232"/>
      <c r="G6" s="232"/>
      <c r="H6" s="232"/>
      <c r="I6" s="232"/>
      <c r="J6" s="232"/>
      <c r="K6" s="232"/>
      <c r="L6" s="232"/>
      <c r="M6" s="232"/>
      <c r="N6" s="232"/>
      <c r="P6" t="s">
        <v>1466</v>
      </c>
      <c r="Q6">
        <v>40</v>
      </c>
    </row>
    <row r="7" spans="1:18" x14ac:dyDescent="0.25">
      <c r="A7" t="s">
        <v>1050</v>
      </c>
      <c r="P7" t="s">
        <v>1467</v>
      </c>
      <c r="Q7">
        <v>31</v>
      </c>
    </row>
    <row r="8" spans="1:18" x14ac:dyDescent="0.25">
      <c r="P8" t="s">
        <v>1468</v>
      </c>
      <c r="Q8">
        <v>24</v>
      </c>
    </row>
    <row r="9" spans="1:18" x14ac:dyDescent="0.25">
      <c r="A9" s="21" t="s">
        <v>720</v>
      </c>
      <c r="B9" s="21" t="s">
        <v>721</v>
      </c>
      <c r="C9" s="21" t="s">
        <v>1052</v>
      </c>
      <c r="D9" s="21" t="s">
        <v>667</v>
      </c>
      <c r="E9" s="21" t="s">
        <v>1053</v>
      </c>
    </row>
    <row r="10" spans="1:18" x14ac:dyDescent="0.25">
      <c r="A10">
        <v>1</v>
      </c>
      <c r="B10" t="s">
        <v>4</v>
      </c>
      <c r="C10" t="s">
        <v>669</v>
      </c>
      <c r="D10" t="s">
        <v>1054</v>
      </c>
      <c r="E10" t="s">
        <v>1055</v>
      </c>
    </row>
    <row r="11" spans="1:18" x14ac:dyDescent="0.25">
      <c r="A11">
        <v>2</v>
      </c>
      <c r="B11" t="s">
        <v>5</v>
      </c>
      <c r="C11" t="s">
        <v>669</v>
      </c>
      <c r="D11" t="s">
        <v>1054</v>
      </c>
      <c r="E11" t="s">
        <v>1055</v>
      </c>
      <c r="P11" s="7" t="s">
        <v>1469</v>
      </c>
    </row>
    <row r="12" spans="1:18" x14ac:dyDescent="0.25">
      <c r="A12">
        <v>3</v>
      </c>
      <c r="B12" t="s">
        <v>6</v>
      </c>
      <c r="C12" t="s">
        <v>725</v>
      </c>
      <c r="D12" t="s">
        <v>726</v>
      </c>
      <c r="E12" t="s">
        <v>1056</v>
      </c>
      <c r="P12" s="21" t="s">
        <v>1095</v>
      </c>
      <c r="Q12" s="21" t="s">
        <v>1470</v>
      </c>
      <c r="R12" s="21" t="s">
        <v>707</v>
      </c>
    </row>
    <row r="13" spans="1:18" x14ac:dyDescent="0.25">
      <c r="A13">
        <v>4</v>
      </c>
      <c r="B13" t="s">
        <v>7</v>
      </c>
      <c r="C13" t="s">
        <v>1057</v>
      </c>
      <c r="D13" t="s">
        <v>1058</v>
      </c>
      <c r="E13" t="s">
        <v>1059</v>
      </c>
      <c r="P13" t="s">
        <v>1471</v>
      </c>
      <c r="Q13">
        <v>0.84699999999999998</v>
      </c>
      <c r="R13">
        <v>0.53800000000000003</v>
      </c>
    </row>
    <row r="14" spans="1:18" x14ac:dyDescent="0.25">
      <c r="A14">
        <v>5</v>
      </c>
      <c r="B14" t="s">
        <v>8</v>
      </c>
      <c r="C14" t="s">
        <v>731</v>
      </c>
      <c r="D14" t="s">
        <v>1060</v>
      </c>
      <c r="E14" t="s">
        <v>1061</v>
      </c>
      <c r="P14" t="s">
        <v>1472</v>
      </c>
      <c r="Q14">
        <v>0.79200000000000004</v>
      </c>
      <c r="R14">
        <v>0.51200000000000001</v>
      </c>
    </row>
    <row r="15" spans="1:18" x14ac:dyDescent="0.25">
      <c r="A15">
        <v>6</v>
      </c>
      <c r="B15" t="s">
        <v>1062</v>
      </c>
      <c r="C15" t="s">
        <v>669</v>
      </c>
      <c r="D15" t="s">
        <v>1063</v>
      </c>
      <c r="E15" t="s">
        <v>1064</v>
      </c>
      <c r="P15" t="s">
        <v>1473</v>
      </c>
      <c r="Q15">
        <v>0.81499999999999995</v>
      </c>
      <c r="R15">
        <v>0.52500000000000002</v>
      </c>
    </row>
    <row r="16" spans="1:18" x14ac:dyDescent="0.25">
      <c r="A16">
        <v>7</v>
      </c>
      <c r="B16" t="s">
        <v>240</v>
      </c>
      <c r="C16" t="s">
        <v>725</v>
      </c>
      <c r="D16" t="s">
        <v>736</v>
      </c>
      <c r="E16" t="s">
        <v>1065</v>
      </c>
      <c r="P16" t="s">
        <v>1474</v>
      </c>
      <c r="Q16">
        <v>0.63400000000000001</v>
      </c>
      <c r="R16">
        <v>0.38500000000000001</v>
      </c>
    </row>
    <row r="17" spans="1:20" x14ac:dyDescent="0.25">
      <c r="A17">
        <v>8</v>
      </c>
      <c r="B17" t="s">
        <v>738</v>
      </c>
      <c r="C17" t="s">
        <v>1066</v>
      </c>
      <c r="D17" t="s">
        <v>1067</v>
      </c>
      <c r="E17" t="s">
        <v>1068</v>
      </c>
      <c r="P17" t="s">
        <v>1114</v>
      </c>
      <c r="Q17">
        <v>0.75600000000000001</v>
      </c>
      <c r="R17">
        <v>0.47799999999999998</v>
      </c>
    </row>
    <row r="18" spans="1:20" x14ac:dyDescent="0.25">
      <c r="A18">
        <v>9</v>
      </c>
      <c r="B18" t="s">
        <v>12</v>
      </c>
      <c r="C18" t="s">
        <v>742</v>
      </c>
      <c r="D18" t="s">
        <v>1069</v>
      </c>
      <c r="E18" t="s">
        <v>1070</v>
      </c>
    </row>
    <row r="19" spans="1:20" x14ac:dyDescent="0.25">
      <c r="A19">
        <v>10</v>
      </c>
      <c r="B19" t="s">
        <v>247</v>
      </c>
      <c r="C19" t="s">
        <v>669</v>
      </c>
      <c r="D19" t="s">
        <v>1054</v>
      </c>
      <c r="E19" t="s">
        <v>1071</v>
      </c>
    </row>
    <row r="20" spans="1:20" x14ac:dyDescent="0.25">
      <c r="A20">
        <v>11</v>
      </c>
      <c r="B20" t="s">
        <v>14</v>
      </c>
      <c r="C20" t="s">
        <v>746</v>
      </c>
      <c r="D20" t="s">
        <v>1072</v>
      </c>
      <c r="E20" t="s">
        <v>1073</v>
      </c>
      <c r="P20" s="7" t="s">
        <v>1475</v>
      </c>
    </row>
    <row r="21" spans="1:20" x14ac:dyDescent="0.25">
      <c r="A21">
        <v>12</v>
      </c>
      <c r="B21" t="s">
        <v>671</v>
      </c>
      <c r="C21" t="s">
        <v>670</v>
      </c>
      <c r="D21" t="s">
        <v>1074</v>
      </c>
      <c r="E21" t="s">
        <v>1075</v>
      </c>
      <c r="P21" s="21" t="s">
        <v>226</v>
      </c>
      <c r="Q21" s="21" t="s">
        <v>1476</v>
      </c>
      <c r="R21" s="21" t="s">
        <v>1477</v>
      </c>
      <c r="S21" s="21" t="s">
        <v>1478</v>
      </c>
      <c r="T21" s="21" t="s">
        <v>1479</v>
      </c>
    </row>
    <row r="22" spans="1:20" x14ac:dyDescent="0.25">
      <c r="A22">
        <v>13</v>
      </c>
      <c r="B22" t="s">
        <v>17</v>
      </c>
      <c r="C22" t="s">
        <v>670</v>
      </c>
      <c r="D22" t="s">
        <v>1076</v>
      </c>
      <c r="E22" t="s">
        <v>1077</v>
      </c>
      <c r="P22" t="s">
        <v>377</v>
      </c>
      <c r="Q22">
        <v>21.8</v>
      </c>
      <c r="R22">
        <v>39.200000000000003</v>
      </c>
      <c r="S22">
        <v>62.4</v>
      </c>
      <c r="T22">
        <v>8.5</v>
      </c>
    </row>
    <row r="23" spans="1:20" x14ac:dyDescent="0.25">
      <c r="A23">
        <v>14</v>
      </c>
      <c r="B23" t="s">
        <v>18</v>
      </c>
      <c r="C23" t="s">
        <v>670</v>
      </c>
      <c r="D23" t="s">
        <v>1078</v>
      </c>
      <c r="E23" t="s">
        <v>1077</v>
      </c>
      <c r="P23" t="s">
        <v>1030</v>
      </c>
      <c r="Q23">
        <v>52.3</v>
      </c>
      <c r="R23">
        <v>11.2</v>
      </c>
      <c r="S23">
        <v>17.8</v>
      </c>
      <c r="T23">
        <v>15.4</v>
      </c>
    </row>
    <row r="24" spans="1:20" x14ac:dyDescent="0.25">
      <c r="A24">
        <v>15</v>
      </c>
      <c r="B24" t="s">
        <v>19</v>
      </c>
      <c r="C24" t="s">
        <v>670</v>
      </c>
      <c r="D24" t="s">
        <v>1079</v>
      </c>
      <c r="E24" t="s">
        <v>1077</v>
      </c>
      <c r="P24" t="s">
        <v>713</v>
      </c>
      <c r="Q24">
        <v>100</v>
      </c>
      <c r="R24">
        <v>72.5</v>
      </c>
      <c r="S24">
        <v>9.6999999999999993</v>
      </c>
      <c r="T24">
        <v>16.7</v>
      </c>
    </row>
    <row r="25" spans="1:20" x14ac:dyDescent="0.25">
      <c r="A25">
        <v>16</v>
      </c>
      <c r="B25" t="s">
        <v>144</v>
      </c>
      <c r="C25" t="s">
        <v>670</v>
      </c>
      <c r="D25" t="s">
        <v>1080</v>
      </c>
      <c r="E25" t="s">
        <v>1077</v>
      </c>
      <c r="P25" t="s">
        <v>819</v>
      </c>
      <c r="Q25">
        <v>62.9</v>
      </c>
      <c r="R25">
        <v>2.5</v>
      </c>
      <c r="S25">
        <v>3.2</v>
      </c>
      <c r="T25">
        <v>8.3000000000000007</v>
      </c>
    </row>
    <row r="26" spans="1:20" x14ac:dyDescent="0.25">
      <c r="A26">
        <v>17</v>
      </c>
      <c r="B26" t="s">
        <v>1081</v>
      </c>
      <c r="C26" t="s">
        <v>725</v>
      </c>
      <c r="D26" t="s">
        <v>1082</v>
      </c>
      <c r="E26" t="s">
        <v>1083</v>
      </c>
      <c r="P26" t="s">
        <v>1031</v>
      </c>
      <c r="Q26">
        <v>91.4</v>
      </c>
      <c r="R26">
        <v>15</v>
      </c>
      <c r="S26">
        <v>29</v>
      </c>
      <c r="T26">
        <v>50</v>
      </c>
    </row>
    <row r="27" spans="1:20" x14ac:dyDescent="0.25">
      <c r="A27">
        <v>18</v>
      </c>
      <c r="B27" t="s">
        <v>1084</v>
      </c>
      <c r="C27" t="s">
        <v>725</v>
      </c>
      <c r="D27" t="s">
        <v>1082</v>
      </c>
      <c r="E27" t="s">
        <v>1083</v>
      </c>
      <c r="P27" t="s">
        <v>1480</v>
      </c>
      <c r="Q27">
        <v>8.1999999999999993</v>
      </c>
      <c r="R27">
        <v>285.39999999999998</v>
      </c>
      <c r="S27">
        <v>195.6</v>
      </c>
      <c r="T27">
        <v>22.8</v>
      </c>
    </row>
    <row r="28" spans="1:20" x14ac:dyDescent="0.25">
      <c r="A28">
        <v>19</v>
      </c>
      <c r="B28" t="s">
        <v>1085</v>
      </c>
      <c r="C28" t="s">
        <v>725</v>
      </c>
      <c r="D28" t="s">
        <v>1082</v>
      </c>
      <c r="E28" t="s">
        <v>1086</v>
      </c>
    </row>
    <row r="29" spans="1:20" x14ac:dyDescent="0.25">
      <c r="A29">
        <v>20</v>
      </c>
      <c r="B29" t="s">
        <v>1087</v>
      </c>
      <c r="C29" t="s">
        <v>725</v>
      </c>
      <c r="D29" t="s">
        <v>1088</v>
      </c>
      <c r="E29" t="s">
        <v>1089</v>
      </c>
    </row>
    <row r="30" spans="1:20" x14ac:dyDescent="0.25">
      <c r="A30">
        <v>21</v>
      </c>
      <c r="B30" t="s">
        <v>777</v>
      </c>
      <c r="C30" t="s">
        <v>725</v>
      </c>
      <c r="D30" t="s">
        <v>1090</v>
      </c>
      <c r="E30" t="s">
        <v>1091</v>
      </c>
      <c r="P30" s="7" t="s">
        <v>1481</v>
      </c>
    </row>
    <row r="31" spans="1:20" x14ac:dyDescent="0.25">
      <c r="A31">
        <v>22</v>
      </c>
      <c r="B31" t="s">
        <v>780</v>
      </c>
      <c r="C31" t="s">
        <v>725</v>
      </c>
      <c r="D31" t="s">
        <v>1090</v>
      </c>
      <c r="E31" t="s">
        <v>1091</v>
      </c>
      <c r="P31" s="21" t="s">
        <v>1160</v>
      </c>
      <c r="Q31" s="21" t="s">
        <v>1482</v>
      </c>
    </row>
    <row r="32" spans="1:20" x14ac:dyDescent="0.25">
      <c r="A32">
        <v>23</v>
      </c>
      <c r="B32" t="s">
        <v>782</v>
      </c>
      <c r="C32" t="s">
        <v>725</v>
      </c>
      <c r="D32" t="s">
        <v>1090</v>
      </c>
      <c r="E32" t="s">
        <v>1091</v>
      </c>
      <c r="P32">
        <v>110</v>
      </c>
      <c r="Q32">
        <v>0.85</v>
      </c>
    </row>
    <row r="33" spans="1:19" x14ac:dyDescent="0.25">
      <c r="A33">
        <v>24</v>
      </c>
      <c r="B33" t="s">
        <v>784</v>
      </c>
      <c r="C33" t="s">
        <v>725</v>
      </c>
      <c r="D33" t="s">
        <v>1090</v>
      </c>
      <c r="E33" t="s">
        <v>1091</v>
      </c>
      <c r="P33">
        <v>120</v>
      </c>
      <c r="Q33">
        <v>1.1200000000000001</v>
      </c>
    </row>
    <row r="34" spans="1:19" x14ac:dyDescent="0.25">
      <c r="A34">
        <v>25</v>
      </c>
      <c r="B34" t="s">
        <v>1092</v>
      </c>
      <c r="C34" t="s">
        <v>669</v>
      </c>
      <c r="D34" t="s">
        <v>775</v>
      </c>
      <c r="E34" t="s">
        <v>1093</v>
      </c>
      <c r="P34">
        <v>125</v>
      </c>
      <c r="Q34">
        <v>0.95</v>
      </c>
    </row>
    <row r="35" spans="1:19" x14ac:dyDescent="0.25">
      <c r="P35">
        <v>127</v>
      </c>
      <c r="Q35">
        <v>2.4500000000000002</v>
      </c>
    </row>
    <row r="36" spans="1:19" x14ac:dyDescent="0.25">
      <c r="P36">
        <v>128</v>
      </c>
      <c r="Q36">
        <v>3.82</v>
      </c>
    </row>
    <row r="37" spans="1:19" x14ac:dyDescent="0.25">
      <c r="P37">
        <v>129</v>
      </c>
      <c r="Q37">
        <v>5.18</v>
      </c>
    </row>
    <row r="38" spans="1:19" x14ac:dyDescent="0.25">
      <c r="A38" t="s">
        <v>1050</v>
      </c>
    </row>
    <row r="39" spans="1:19" x14ac:dyDescent="0.25">
      <c r="A39" s="304" t="s">
        <v>1094</v>
      </c>
      <c r="B39" s="232"/>
      <c r="C39" s="232"/>
      <c r="D39" s="232"/>
      <c r="E39" s="232"/>
      <c r="F39" s="232"/>
      <c r="G39" s="232"/>
      <c r="H39" s="232"/>
      <c r="I39" s="232"/>
      <c r="J39" s="232"/>
      <c r="K39" s="232"/>
      <c r="L39" s="232"/>
      <c r="M39" s="232"/>
      <c r="N39" s="232"/>
    </row>
    <row r="40" spans="1:19" x14ac:dyDescent="0.25">
      <c r="A40" t="s">
        <v>1050</v>
      </c>
      <c r="P40" s="7" t="s">
        <v>1483</v>
      </c>
    </row>
    <row r="41" spans="1:19" x14ac:dyDescent="0.25">
      <c r="P41" s="21" t="s">
        <v>705</v>
      </c>
      <c r="Q41" s="21" t="s">
        <v>707</v>
      </c>
      <c r="R41" s="21" t="s">
        <v>790</v>
      </c>
      <c r="S41" s="21" t="s">
        <v>791</v>
      </c>
    </row>
    <row r="42" spans="1:19" x14ac:dyDescent="0.25">
      <c r="A42" s="21" t="s">
        <v>1095</v>
      </c>
      <c r="B42" s="21" t="s">
        <v>1096</v>
      </c>
      <c r="C42" s="21" t="s">
        <v>1097</v>
      </c>
      <c r="D42" s="21" t="s">
        <v>243</v>
      </c>
      <c r="E42" s="21" t="s">
        <v>1098</v>
      </c>
      <c r="P42">
        <v>2</v>
      </c>
      <c r="Q42">
        <v>0.41199999999999998</v>
      </c>
      <c r="R42">
        <v>72.3</v>
      </c>
      <c r="S42">
        <v>0.98</v>
      </c>
    </row>
    <row r="43" spans="1:19" x14ac:dyDescent="0.25">
      <c r="A43" s="37" t="s">
        <v>1099</v>
      </c>
      <c r="B43" s="36" t="s">
        <v>1100</v>
      </c>
      <c r="C43" s="36">
        <v>0.84699999999999998</v>
      </c>
      <c r="D43" s="36" t="s">
        <v>1101</v>
      </c>
      <c r="E43" s="36" t="s">
        <v>1102</v>
      </c>
      <c r="P43">
        <v>3</v>
      </c>
      <c r="Q43">
        <v>0.48499999999999999</v>
      </c>
      <c r="R43">
        <v>85.6</v>
      </c>
      <c r="S43">
        <v>0.85</v>
      </c>
    </row>
    <row r="44" spans="1:19" x14ac:dyDescent="0.25">
      <c r="A44" t="s">
        <v>1103</v>
      </c>
      <c r="B44" t="s">
        <v>1104</v>
      </c>
      <c r="C44">
        <v>0.79200000000000004</v>
      </c>
      <c r="D44" t="s">
        <v>689</v>
      </c>
      <c r="E44" t="s">
        <v>1105</v>
      </c>
      <c r="P44" s="36">
        <v>4</v>
      </c>
      <c r="Q44" s="36">
        <v>0.53800000000000003</v>
      </c>
      <c r="R44" s="36">
        <v>98.7</v>
      </c>
      <c r="S44" s="36">
        <v>0.72</v>
      </c>
    </row>
    <row r="45" spans="1:19" x14ac:dyDescent="0.25">
      <c r="A45" t="s">
        <v>1106</v>
      </c>
      <c r="B45" t="s">
        <v>1107</v>
      </c>
      <c r="C45">
        <v>0.81499999999999995</v>
      </c>
      <c r="D45" t="s">
        <v>1108</v>
      </c>
      <c r="E45" t="s">
        <v>1109</v>
      </c>
      <c r="P45">
        <v>5</v>
      </c>
      <c r="Q45">
        <v>0.51200000000000001</v>
      </c>
      <c r="R45">
        <v>94.2</v>
      </c>
      <c r="S45">
        <v>0.78</v>
      </c>
    </row>
    <row r="46" spans="1:19" x14ac:dyDescent="0.25">
      <c r="A46" t="s">
        <v>1110</v>
      </c>
      <c r="B46" t="s">
        <v>1111</v>
      </c>
      <c r="C46">
        <v>0.63400000000000001</v>
      </c>
      <c r="D46" t="s">
        <v>1112</v>
      </c>
      <c r="E46" t="s">
        <v>1113</v>
      </c>
      <c r="P46">
        <v>6</v>
      </c>
      <c r="Q46">
        <v>0.47799999999999998</v>
      </c>
      <c r="R46">
        <v>88.9</v>
      </c>
      <c r="S46">
        <v>0.86</v>
      </c>
    </row>
    <row r="47" spans="1:19" x14ac:dyDescent="0.25">
      <c r="A47" t="s">
        <v>1114</v>
      </c>
      <c r="B47" t="s">
        <v>1115</v>
      </c>
      <c r="C47">
        <v>0.75600000000000001</v>
      </c>
      <c r="D47" t="s">
        <v>1116</v>
      </c>
      <c r="E47" t="s">
        <v>1117</v>
      </c>
    </row>
    <row r="48" spans="1:19" x14ac:dyDescent="0.25">
      <c r="A48" t="s">
        <v>1118</v>
      </c>
      <c r="B48" t="s">
        <v>1119</v>
      </c>
      <c r="C48">
        <v>0.72099999999999997</v>
      </c>
      <c r="D48" t="s">
        <v>1120</v>
      </c>
      <c r="E48" t="s">
        <v>1121</v>
      </c>
    </row>
    <row r="50" spans="1:20" x14ac:dyDescent="0.25">
      <c r="A50" s="307" t="s">
        <v>1122</v>
      </c>
      <c r="B50" s="232"/>
      <c r="C50" s="232"/>
      <c r="D50" s="232"/>
      <c r="E50" s="232"/>
      <c r="F50" s="232"/>
      <c r="G50" s="232"/>
      <c r="H50" s="232"/>
      <c r="I50" s="232"/>
      <c r="J50" s="232"/>
      <c r="K50" s="232"/>
      <c r="L50" s="232"/>
      <c r="M50" s="232"/>
      <c r="N50" s="232"/>
      <c r="P50" s="7" t="s">
        <v>1496</v>
      </c>
    </row>
    <row r="51" spans="1:20" x14ac:dyDescent="0.25">
      <c r="A51" s="232" t="s">
        <v>1123</v>
      </c>
      <c r="B51" s="232"/>
      <c r="C51" s="232"/>
      <c r="D51" s="232"/>
      <c r="E51" s="232"/>
      <c r="F51" s="232"/>
      <c r="G51" s="232"/>
      <c r="H51" s="232"/>
      <c r="I51" s="232"/>
      <c r="J51" s="232"/>
      <c r="K51" s="232"/>
      <c r="L51" s="232"/>
      <c r="M51" s="232"/>
      <c r="N51" s="232"/>
      <c r="P51" s="21" t="s">
        <v>686</v>
      </c>
      <c r="Q51" s="21" t="s">
        <v>181</v>
      </c>
    </row>
    <row r="52" spans="1:20" x14ac:dyDescent="0.25">
      <c r="P52" t="s">
        <v>1497</v>
      </c>
      <c r="Q52">
        <v>0.872</v>
      </c>
    </row>
    <row r="53" spans="1:20" x14ac:dyDescent="0.25">
      <c r="P53" t="s">
        <v>1498</v>
      </c>
      <c r="Q53">
        <v>0.84499999999999997</v>
      </c>
    </row>
    <row r="54" spans="1:20" x14ac:dyDescent="0.25">
      <c r="A54" t="s">
        <v>1050</v>
      </c>
      <c r="P54" t="s">
        <v>1499</v>
      </c>
      <c r="Q54">
        <v>0.89100000000000001</v>
      </c>
    </row>
    <row r="55" spans="1:20" x14ac:dyDescent="0.25">
      <c r="A55" s="304" t="s">
        <v>1124</v>
      </c>
      <c r="B55" s="232"/>
      <c r="C55" s="232"/>
      <c r="D55" s="232"/>
      <c r="E55" s="232"/>
      <c r="F55" s="232"/>
      <c r="G55" s="232"/>
      <c r="H55" s="232"/>
      <c r="I55" s="232"/>
      <c r="J55" s="232"/>
      <c r="K55" s="232"/>
      <c r="L55" s="232"/>
      <c r="M55" s="232"/>
      <c r="N55" s="232"/>
      <c r="P55" t="s">
        <v>1500</v>
      </c>
      <c r="Q55">
        <v>0.89200000000000002</v>
      </c>
    </row>
    <row r="56" spans="1:20" x14ac:dyDescent="0.25">
      <c r="A56" t="s">
        <v>1050</v>
      </c>
    </row>
    <row r="58" spans="1:20" x14ac:dyDescent="0.25">
      <c r="A58" s="232" t="s">
        <v>1125</v>
      </c>
      <c r="B58" s="232"/>
      <c r="C58" s="232"/>
      <c r="D58" s="232"/>
      <c r="E58" s="232"/>
      <c r="F58" s="232"/>
      <c r="G58" s="232"/>
      <c r="H58" s="232"/>
      <c r="I58" s="232"/>
      <c r="J58" s="232"/>
      <c r="K58" s="232"/>
      <c r="L58" s="232"/>
      <c r="M58" s="232"/>
      <c r="N58" s="232"/>
      <c r="P58" s="7" t="s">
        <v>1033</v>
      </c>
    </row>
    <row r="59" spans="1:20" x14ac:dyDescent="0.25">
      <c r="P59" s="21" t="s">
        <v>225</v>
      </c>
      <c r="Q59" s="21" t="s">
        <v>1476</v>
      </c>
      <c r="R59" s="21" t="s">
        <v>1477</v>
      </c>
      <c r="S59" s="21" t="s">
        <v>1478</v>
      </c>
      <c r="T59" s="21" t="s">
        <v>1479</v>
      </c>
    </row>
    <row r="60" spans="1:20" x14ac:dyDescent="0.25">
      <c r="A60" s="39" t="s">
        <v>1126</v>
      </c>
      <c r="B60" s="39" t="s">
        <v>1127</v>
      </c>
      <c r="C60" s="39" t="s">
        <v>1128</v>
      </c>
      <c r="P60" t="s">
        <v>19</v>
      </c>
      <c r="Q60">
        <v>35</v>
      </c>
      <c r="R60">
        <v>40</v>
      </c>
      <c r="S60">
        <v>0</v>
      </c>
      <c r="T60">
        <v>0</v>
      </c>
    </row>
    <row r="61" spans="1:20" x14ac:dyDescent="0.25">
      <c r="A61" t="s">
        <v>669</v>
      </c>
      <c r="B61" t="s">
        <v>1129</v>
      </c>
      <c r="C61" t="s">
        <v>1130</v>
      </c>
      <c r="P61" t="s">
        <v>40</v>
      </c>
      <c r="Q61">
        <v>0</v>
      </c>
      <c r="R61">
        <v>0</v>
      </c>
      <c r="S61">
        <v>31</v>
      </c>
      <c r="T61">
        <v>0</v>
      </c>
    </row>
    <row r="62" spans="1:20" x14ac:dyDescent="0.25">
      <c r="A62" t="s">
        <v>725</v>
      </c>
      <c r="B62" t="s">
        <v>1131</v>
      </c>
      <c r="C62" t="s">
        <v>1132</v>
      </c>
      <c r="P62" t="s">
        <v>28</v>
      </c>
      <c r="Q62">
        <v>0</v>
      </c>
      <c r="R62">
        <v>0</v>
      </c>
      <c r="S62">
        <v>0</v>
      </c>
      <c r="T62">
        <v>19</v>
      </c>
    </row>
    <row r="63" spans="1:20" x14ac:dyDescent="0.25">
      <c r="A63" t="s">
        <v>670</v>
      </c>
      <c r="B63" t="s">
        <v>1131</v>
      </c>
      <c r="C63" t="s">
        <v>1133</v>
      </c>
      <c r="P63" t="s">
        <v>144</v>
      </c>
      <c r="Q63">
        <v>0</v>
      </c>
      <c r="R63">
        <v>0</v>
      </c>
      <c r="S63">
        <v>0</v>
      </c>
      <c r="T63">
        <v>5</v>
      </c>
    </row>
    <row r="64" spans="1:20" x14ac:dyDescent="0.25">
      <c r="A64" t="s">
        <v>742</v>
      </c>
      <c r="B64" t="s">
        <v>1134</v>
      </c>
      <c r="C64" t="s">
        <v>1135</v>
      </c>
    </row>
    <row r="67" spans="1:14" x14ac:dyDescent="0.25">
      <c r="A67" s="235" t="s">
        <v>1136</v>
      </c>
      <c r="B67" s="232"/>
      <c r="C67" s="232"/>
      <c r="D67" s="232"/>
      <c r="E67" s="232"/>
      <c r="F67" s="232"/>
      <c r="G67" s="232"/>
      <c r="H67" s="232"/>
      <c r="I67" s="232"/>
      <c r="J67" s="232"/>
      <c r="K67" s="232"/>
      <c r="L67" s="232"/>
      <c r="M67" s="232"/>
      <c r="N67" s="232"/>
    </row>
    <row r="69" spans="1:14" x14ac:dyDescent="0.25">
      <c r="A69" s="95" t="s">
        <v>1137</v>
      </c>
      <c r="B69" s="95" t="s">
        <v>1138</v>
      </c>
      <c r="C69" s="95" t="s">
        <v>1139</v>
      </c>
      <c r="D69" s="95" t="s">
        <v>1140</v>
      </c>
      <c r="E69" s="95" t="s">
        <v>1141</v>
      </c>
      <c r="F69" s="95" t="s">
        <v>1142</v>
      </c>
      <c r="G69" s="95" t="s">
        <v>1143</v>
      </c>
      <c r="H69" s="95" t="s">
        <v>1144</v>
      </c>
      <c r="I69" s="95" t="s">
        <v>1145</v>
      </c>
      <c r="J69" s="95" t="s">
        <v>1146</v>
      </c>
      <c r="K69" s="95" t="s">
        <v>1147</v>
      </c>
    </row>
    <row r="70" spans="1:14" x14ac:dyDescent="0.25">
      <c r="A70" s="7" t="s">
        <v>1148</v>
      </c>
      <c r="B70">
        <v>0</v>
      </c>
      <c r="C70">
        <v>0.42</v>
      </c>
      <c r="D70">
        <v>0.65</v>
      </c>
      <c r="E70">
        <v>0.38</v>
      </c>
      <c r="F70">
        <v>0.71</v>
      </c>
      <c r="G70">
        <v>0.45</v>
      </c>
      <c r="H70">
        <v>0.82</v>
      </c>
      <c r="I70">
        <v>0.51</v>
      </c>
      <c r="J70">
        <v>0.67</v>
      </c>
      <c r="K70">
        <v>0.44</v>
      </c>
    </row>
    <row r="71" spans="1:14" x14ac:dyDescent="0.25">
      <c r="A71" s="7" t="s">
        <v>1149</v>
      </c>
      <c r="B71">
        <v>0.42</v>
      </c>
      <c r="C71">
        <v>0</v>
      </c>
      <c r="D71">
        <v>0.28000000000000003</v>
      </c>
      <c r="E71">
        <v>0.52</v>
      </c>
      <c r="F71">
        <v>0.31</v>
      </c>
      <c r="G71">
        <v>0.68</v>
      </c>
      <c r="H71">
        <v>0.35</v>
      </c>
      <c r="I71">
        <v>0.72</v>
      </c>
      <c r="J71">
        <v>0.28999999999999998</v>
      </c>
      <c r="K71">
        <v>0.61</v>
      </c>
    </row>
    <row r="72" spans="1:14" x14ac:dyDescent="0.25">
      <c r="A72" s="7" t="s">
        <v>1150</v>
      </c>
      <c r="B72">
        <v>0.65</v>
      </c>
      <c r="C72">
        <v>0.28000000000000003</v>
      </c>
      <c r="D72">
        <v>0</v>
      </c>
      <c r="E72">
        <v>0.57999999999999996</v>
      </c>
      <c r="F72">
        <v>0.25</v>
      </c>
      <c r="G72">
        <v>0.73</v>
      </c>
      <c r="H72">
        <v>0.32</v>
      </c>
      <c r="I72">
        <v>0.69</v>
      </c>
      <c r="J72">
        <v>0.21</v>
      </c>
      <c r="K72">
        <v>0.64</v>
      </c>
    </row>
    <row r="73" spans="1:14" x14ac:dyDescent="0.25">
      <c r="A73" s="7" t="s">
        <v>1151</v>
      </c>
      <c r="B73">
        <v>0.38</v>
      </c>
      <c r="C73">
        <v>0.52</v>
      </c>
      <c r="D73">
        <v>0.57999999999999996</v>
      </c>
      <c r="E73">
        <v>0</v>
      </c>
      <c r="F73">
        <v>0.62</v>
      </c>
      <c r="G73">
        <v>0.33</v>
      </c>
      <c r="H73">
        <v>0.78</v>
      </c>
      <c r="I73">
        <v>0.28000000000000003</v>
      </c>
      <c r="J73">
        <v>0.61</v>
      </c>
      <c r="K73">
        <v>0.31</v>
      </c>
    </row>
    <row r="74" spans="1:14" x14ac:dyDescent="0.25">
      <c r="A74" s="7" t="s">
        <v>1152</v>
      </c>
      <c r="B74">
        <v>0.71</v>
      </c>
      <c r="C74">
        <v>0.31</v>
      </c>
      <c r="D74">
        <v>0.25</v>
      </c>
      <c r="E74">
        <v>0.62</v>
      </c>
      <c r="F74">
        <v>0</v>
      </c>
      <c r="G74">
        <v>0.75</v>
      </c>
      <c r="H74">
        <v>0.18</v>
      </c>
      <c r="I74">
        <v>0.71</v>
      </c>
      <c r="J74">
        <v>0.23</v>
      </c>
      <c r="K74">
        <v>0.68</v>
      </c>
    </row>
    <row r="75" spans="1:14" x14ac:dyDescent="0.25">
      <c r="A75" s="7" t="s">
        <v>1153</v>
      </c>
      <c r="B75">
        <v>0.45</v>
      </c>
      <c r="C75">
        <v>0.68</v>
      </c>
      <c r="D75">
        <v>0.73</v>
      </c>
      <c r="E75">
        <v>0.33</v>
      </c>
      <c r="F75">
        <v>0.75</v>
      </c>
      <c r="G75">
        <v>0</v>
      </c>
      <c r="H75">
        <v>0.81</v>
      </c>
      <c r="I75">
        <v>0.28999999999999998</v>
      </c>
      <c r="J75">
        <v>0.74</v>
      </c>
      <c r="K75">
        <v>0.27</v>
      </c>
    </row>
    <row r="76" spans="1:14" x14ac:dyDescent="0.25">
      <c r="A76" s="7" t="s">
        <v>1154</v>
      </c>
      <c r="B76">
        <v>0.82</v>
      </c>
      <c r="C76">
        <v>0.35</v>
      </c>
      <c r="D76">
        <v>0.32</v>
      </c>
      <c r="E76">
        <v>0.78</v>
      </c>
      <c r="F76">
        <v>0.18</v>
      </c>
      <c r="G76">
        <v>0.81</v>
      </c>
      <c r="H76">
        <v>0</v>
      </c>
      <c r="I76">
        <v>0.79</v>
      </c>
      <c r="J76">
        <v>0.28000000000000003</v>
      </c>
      <c r="K76">
        <v>0.76</v>
      </c>
    </row>
    <row r="77" spans="1:14" x14ac:dyDescent="0.25">
      <c r="A77" s="7" t="s">
        <v>1155</v>
      </c>
      <c r="B77">
        <v>0.51</v>
      </c>
      <c r="C77">
        <v>0.72</v>
      </c>
      <c r="D77">
        <v>0.69</v>
      </c>
      <c r="E77">
        <v>0.28000000000000003</v>
      </c>
      <c r="F77">
        <v>0.71</v>
      </c>
      <c r="G77">
        <v>0.28999999999999998</v>
      </c>
      <c r="H77">
        <v>0.79</v>
      </c>
      <c r="I77">
        <v>0</v>
      </c>
      <c r="J77">
        <v>0.72</v>
      </c>
      <c r="K77">
        <v>0.24</v>
      </c>
    </row>
    <row r="78" spans="1:14" x14ac:dyDescent="0.25">
      <c r="A78" s="7" t="s">
        <v>1156</v>
      </c>
      <c r="B78">
        <v>0.67</v>
      </c>
      <c r="C78">
        <v>0.28999999999999998</v>
      </c>
      <c r="D78">
        <v>0.21</v>
      </c>
      <c r="E78">
        <v>0.61</v>
      </c>
      <c r="F78">
        <v>0.23</v>
      </c>
      <c r="G78">
        <v>0.74</v>
      </c>
      <c r="H78">
        <v>0.28000000000000003</v>
      </c>
      <c r="I78">
        <v>0.72</v>
      </c>
      <c r="J78">
        <v>0</v>
      </c>
      <c r="K78">
        <v>0.69</v>
      </c>
    </row>
    <row r="79" spans="1:14" x14ac:dyDescent="0.25">
      <c r="A79" s="7" t="s">
        <v>1157</v>
      </c>
      <c r="B79">
        <v>0.44</v>
      </c>
      <c r="C79">
        <v>0.61</v>
      </c>
      <c r="D79">
        <v>0.64</v>
      </c>
      <c r="E79">
        <v>0.31</v>
      </c>
      <c r="F79">
        <v>0.68</v>
      </c>
      <c r="G79">
        <v>0.27</v>
      </c>
      <c r="H79">
        <v>0.76</v>
      </c>
      <c r="I79">
        <v>0.24</v>
      </c>
      <c r="J79">
        <v>0.69</v>
      </c>
      <c r="K79">
        <v>0</v>
      </c>
    </row>
    <row r="82" spans="1:14" x14ac:dyDescent="0.25">
      <c r="A82" s="7" t="s">
        <v>1050</v>
      </c>
    </row>
    <row r="83" spans="1:14" x14ac:dyDescent="0.25">
      <c r="A83" s="304" t="s">
        <v>1158</v>
      </c>
      <c r="B83" s="232"/>
      <c r="C83" s="232"/>
      <c r="D83" s="232"/>
      <c r="E83" s="232"/>
      <c r="F83" s="232"/>
      <c r="G83" s="232"/>
      <c r="H83" s="232"/>
      <c r="I83" s="232"/>
      <c r="J83" s="232"/>
      <c r="K83" s="232"/>
      <c r="L83" s="232"/>
      <c r="M83" s="232"/>
      <c r="N83" s="232"/>
    </row>
    <row r="84" spans="1:14" x14ac:dyDescent="0.25">
      <c r="A84" t="s">
        <v>1050</v>
      </c>
    </row>
    <row r="86" spans="1:14" x14ac:dyDescent="0.25">
      <c r="A86" s="232" t="s">
        <v>1159</v>
      </c>
      <c r="B86" s="232"/>
      <c r="C86" s="232"/>
      <c r="D86" s="232"/>
      <c r="E86" s="232"/>
      <c r="F86" s="232"/>
      <c r="G86" s="232"/>
      <c r="H86" s="232"/>
      <c r="I86" s="232"/>
      <c r="J86" s="232"/>
      <c r="K86" s="232"/>
      <c r="L86" s="232"/>
      <c r="M86" s="232"/>
      <c r="N86" s="232"/>
    </row>
    <row r="88" spans="1:14" x14ac:dyDescent="0.25">
      <c r="A88" s="21" t="s">
        <v>1160</v>
      </c>
      <c r="B88" s="21" t="s">
        <v>677</v>
      </c>
      <c r="C88" s="21" t="s">
        <v>678</v>
      </c>
      <c r="D88" s="21" t="s">
        <v>1161</v>
      </c>
      <c r="E88" s="21" t="s">
        <v>1162</v>
      </c>
      <c r="F88" s="21" t="s">
        <v>1163</v>
      </c>
      <c r="G88" s="21" t="s">
        <v>243</v>
      </c>
    </row>
    <row r="89" spans="1:14" x14ac:dyDescent="0.25">
      <c r="A89">
        <v>1</v>
      </c>
      <c r="B89" t="s">
        <v>1164</v>
      </c>
      <c r="C89" t="s">
        <v>1165</v>
      </c>
      <c r="D89">
        <v>0.12</v>
      </c>
      <c r="E89" t="s">
        <v>709</v>
      </c>
      <c r="F89">
        <v>2</v>
      </c>
      <c r="G89" t="s">
        <v>1166</v>
      </c>
    </row>
    <row r="90" spans="1:14" x14ac:dyDescent="0.25">
      <c r="A90">
        <v>5</v>
      </c>
      <c r="B90" t="s">
        <v>1167</v>
      </c>
      <c r="C90" t="s">
        <v>1168</v>
      </c>
      <c r="D90">
        <v>0.18</v>
      </c>
      <c r="E90" t="s">
        <v>1169</v>
      </c>
      <c r="F90">
        <v>2</v>
      </c>
      <c r="G90" t="s">
        <v>1170</v>
      </c>
    </row>
    <row r="91" spans="1:14" x14ac:dyDescent="0.25">
      <c r="A91">
        <v>10</v>
      </c>
      <c r="B91" t="s">
        <v>709</v>
      </c>
      <c r="C91" t="s">
        <v>1171</v>
      </c>
      <c r="D91">
        <v>0.25</v>
      </c>
      <c r="E91" t="s">
        <v>1172</v>
      </c>
      <c r="F91">
        <v>3</v>
      </c>
      <c r="G91" t="s">
        <v>1173</v>
      </c>
    </row>
    <row r="92" spans="1:14" x14ac:dyDescent="0.25">
      <c r="A92">
        <v>20</v>
      </c>
      <c r="B92" t="s">
        <v>1174</v>
      </c>
      <c r="C92" t="s">
        <v>1175</v>
      </c>
      <c r="D92">
        <v>0.21</v>
      </c>
      <c r="E92" t="s">
        <v>1176</v>
      </c>
      <c r="F92">
        <v>2</v>
      </c>
      <c r="G92" t="s">
        <v>1177</v>
      </c>
    </row>
    <row r="93" spans="1:14" x14ac:dyDescent="0.25">
      <c r="A93">
        <v>35</v>
      </c>
      <c r="B93" t="s">
        <v>1169</v>
      </c>
      <c r="C93" t="s">
        <v>1172</v>
      </c>
      <c r="D93">
        <v>0.42</v>
      </c>
      <c r="E93" t="s">
        <v>1178</v>
      </c>
      <c r="F93">
        <v>5</v>
      </c>
      <c r="G93" t="s">
        <v>1179</v>
      </c>
    </row>
    <row r="94" spans="1:14" x14ac:dyDescent="0.25">
      <c r="A94">
        <v>50</v>
      </c>
      <c r="B94" t="s">
        <v>1180</v>
      </c>
      <c r="C94" t="s">
        <v>1181</v>
      </c>
      <c r="D94">
        <v>0.31</v>
      </c>
      <c r="E94" t="s">
        <v>1182</v>
      </c>
      <c r="F94">
        <v>2</v>
      </c>
      <c r="G94" t="s">
        <v>1183</v>
      </c>
    </row>
    <row r="95" spans="1:14" x14ac:dyDescent="0.25">
      <c r="A95">
        <v>65</v>
      </c>
      <c r="B95" t="s">
        <v>1182</v>
      </c>
      <c r="C95" t="s">
        <v>1184</v>
      </c>
      <c r="D95">
        <v>0.48</v>
      </c>
      <c r="E95" t="s">
        <v>1185</v>
      </c>
      <c r="F95">
        <v>3</v>
      </c>
      <c r="G95" t="s">
        <v>1186</v>
      </c>
    </row>
    <row r="96" spans="1:14" x14ac:dyDescent="0.25">
      <c r="A96">
        <v>80</v>
      </c>
      <c r="B96" t="s">
        <v>1187</v>
      </c>
      <c r="C96" t="s">
        <v>1188</v>
      </c>
      <c r="D96">
        <v>0.22</v>
      </c>
      <c r="E96" t="s">
        <v>1189</v>
      </c>
      <c r="F96">
        <v>2</v>
      </c>
      <c r="G96" t="s">
        <v>1190</v>
      </c>
    </row>
    <row r="97" spans="1:14" x14ac:dyDescent="0.25">
      <c r="A97">
        <v>95</v>
      </c>
      <c r="B97" t="s">
        <v>1189</v>
      </c>
      <c r="C97" t="s">
        <v>1191</v>
      </c>
      <c r="D97">
        <v>0.38</v>
      </c>
      <c r="E97" t="s">
        <v>1192</v>
      </c>
      <c r="F97">
        <v>3</v>
      </c>
      <c r="G97" t="s">
        <v>1193</v>
      </c>
    </row>
    <row r="98" spans="1:14" x14ac:dyDescent="0.25">
      <c r="A98" s="96">
        <v>110</v>
      </c>
      <c r="B98" s="96" t="s">
        <v>1178</v>
      </c>
      <c r="C98" s="96" t="s">
        <v>1176</v>
      </c>
      <c r="D98" s="96">
        <v>0.85</v>
      </c>
      <c r="E98" s="96" t="s">
        <v>1194</v>
      </c>
      <c r="F98" s="96">
        <v>38</v>
      </c>
      <c r="G98" s="96" t="s">
        <v>1195</v>
      </c>
    </row>
    <row r="99" spans="1:14" x14ac:dyDescent="0.25">
      <c r="A99" s="97">
        <v>120</v>
      </c>
      <c r="B99" s="97" t="s">
        <v>1185</v>
      </c>
      <c r="C99" s="97" t="s">
        <v>1196</v>
      </c>
      <c r="D99" s="97">
        <v>1.1200000000000001</v>
      </c>
      <c r="E99" s="97" t="s">
        <v>1197</v>
      </c>
      <c r="F99" s="97">
        <v>31</v>
      </c>
      <c r="G99" s="97" t="s">
        <v>1198</v>
      </c>
    </row>
    <row r="100" spans="1:14" x14ac:dyDescent="0.25">
      <c r="A100" s="98">
        <v>125</v>
      </c>
      <c r="B100" s="98" t="s">
        <v>1192</v>
      </c>
      <c r="C100" s="98" t="s">
        <v>1199</v>
      </c>
      <c r="D100" s="98">
        <v>0.95</v>
      </c>
      <c r="E100" s="98" t="s">
        <v>1200</v>
      </c>
      <c r="F100" s="98">
        <v>19</v>
      </c>
      <c r="G100" s="98" t="s">
        <v>1201</v>
      </c>
    </row>
    <row r="101" spans="1:14" x14ac:dyDescent="0.25">
      <c r="A101">
        <v>127</v>
      </c>
      <c r="B101" t="s">
        <v>1194</v>
      </c>
      <c r="C101" t="s">
        <v>1200</v>
      </c>
      <c r="D101">
        <v>2.4500000000000002</v>
      </c>
      <c r="E101" t="s">
        <v>1202</v>
      </c>
      <c r="F101">
        <v>94</v>
      </c>
      <c r="G101" t="s">
        <v>1203</v>
      </c>
    </row>
    <row r="102" spans="1:14" x14ac:dyDescent="0.25">
      <c r="A102">
        <v>128</v>
      </c>
      <c r="B102" t="s">
        <v>1202</v>
      </c>
      <c r="C102" t="s">
        <v>1197</v>
      </c>
      <c r="D102">
        <v>3.82</v>
      </c>
      <c r="E102" t="s">
        <v>1204</v>
      </c>
      <c r="F102">
        <v>125</v>
      </c>
      <c r="G102" t="s">
        <v>1205</v>
      </c>
    </row>
    <row r="103" spans="1:14" x14ac:dyDescent="0.25">
      <c r="A103">
        <v>129</v>
      </c>
      <c r="B103" t="s">
        <v>1204</v>
      </c>
      <c r="C103" t="s">
        <v>1206</v>
      </c>
      <c r="D103">
        <v>5.18</v>
      </c>
      <c r="E103" t="s">
        <v>1207</v>
      </c>
      <c r="F103">
        <v>130</v>
      </c>
      <c r="G103" t="s">
        <v>1208</v>
      </c>
    </row>
    <row r="106" spans="1:14" x14ac:dyDescent="0.25">
      <c r="A106" t="s">
        <v>1050</v>
      </c>
    </row>
    <row r="107" spans="1:14" x14ac:dyDescent="0.25">
      <c r="A107" s="304" t="s">
        <v>1209</v>
      </c>
      <c r="B107" s="232"/>
      <c r="C107" s="232"/>
      <c r="D107" s="232"/>
      <c r="E107" s="232"/>
      <c r="F107" s="232"/>
      <c r="G107" s="232"/>
      <c r="H107" s="232"/>
      <c r="I107" s="232"/>
      <c r="J107" s="232"/>
      <c r="K107" s="232"/>
      <c r="L107" s="232"/>
      <c r="M107" s="232"/>
      <c r="N107" s="232"/>
    </row>
    <row r="108" spans="1:14" x14ac:dyDescent="0.25">
      <c r="A108" t="s">
        <v>1050</v>
      </c>
    </row>
    <row r="110" spans="1:14" x14ac:dyDescent="0.25">
      <c r="A110" s="235" t="s">
        <v>1210</v>
      </c>
      <c r="B110" s="232"/>
      <c r="C110" s="232"/>
      <c r="D110" s="232"/>
      <c r="E110" s="232"/>
      <c r="F110" s="232"/>
      <c r="G110" s="232"/>
      <c r="H110" s="232"/>
      <c r="I110" s="232"/>
      <c r="J110" s="232"/>
      <c r="K110" s="232"/>
      <c r="L110" s="232"/>
      <c r="M110" s="232"/>
      <c r="N110" s="232"/>
    </row>
    <row r="112" spans="1:14" x14ac:dyDescent="0.25">
      <c r="A112" s="39" t="s">
        <v>1095</v>
      </c>
      <c r="B112" s="39" t="s">
        <v>1211</v>
      </c>
      <c r="C112" s="39" t="s">
        <v>1212</v>
      </c>
      <c r="D112" s="39" t="s">
        <v>181</v>
      </c>
      <c r="E112" s="39" t="s">
        <v>1213</v>
      </c>
    </row>
    <row r="113" spans="1:14" x14ac:dyDescent="0.25">
      <c r="A113" t="s">
        <v>1214</v>
      </c>
      <c r="B113" t="s">
        <v>1215</v>
      </c>
      <c r="C113">
        <v>4</v>
      </c>
      <c r="D113" t="s">
        <v>1216</v>
      </c>
      <c r="E113" t="s">
        <v>1217</v>
      </c>
    </row>
    <row r="114" spans="1:14" x14ac:dyDescent="0.25">
      <c r="A114" t="s">
        <v>1218</v>
      </c>
      <c r="B114" t="s">
        <v>1219</v>
      </c>
      <c r="C114">
        <v>4</v>
      </c>
      <c r="D114" t="s">
        <v>1220</v>
      </c>
      <c r="E114" t="s">
        <v>1217</v>
      </c>
    </row>
    <row r="115" spans="1:14" x14ac:dyDescent="0.25">
      <c r="A115" t="s">
        <v>1221</v>
      </c>
      <c r="B115" t="s">
        <v>1222</v>
      </c>
      <c r="C115">
        <v>4</v>
      </c>
      <c r="D115" t="s">
        <v>1223</v>
      </c>
      <c r="E115" t="s">
        <v>1217</v>
      </c>
    </row>
    <row r="116" spans="1:14" x14ac:dyDescent="0.25">
      <c r="A116" t="s">
        <v>1224</v>
      </c>
      <c r="B116" t="s">
        <v>1225</v>
      </c>
      <c r="C116">
        <v>4</v>
      </c>
      <c r="D116" t="s">
        <v>1226</v>
      </c>
      <c r="E116" t="s">
        <v>1227</v>
      </c>
    </row>
    <row r="117" spans="1:14" x14ac:dyDescent="0.25">
      <c r="A117" t="s">
        <v>1228</v>
      </c>
      <c r="B117" t="s">
        <v>1229</v>
      </c>
      <c r="C117">
        <v>4</v>
      </c>
      <c r="D117" t="s">
        <v>1230</v>
      </c>
      <c r="E117" t="s">
        <v>1217</v>
      </c>
    </row>
    <row r="118" spans="1:14" x14ac:dyDescent="0.25">
      <c r="A118" t="s">
        <v>1231</v>
      </c>
      <c r="B118" t="s">
        <v>1232</v>
      </c>
      <c r="C118">
        <v>4</v>
      </c>
      <c r="D118" t="s">
        <v>1233</v>
      </c>
      <c r="E118" t="s">
        <v>1217</v>
      </c>
    </row>
    <row r="120" spans="1:14" ht="17.25" x14ac:dyDescent="0.3">
      <c r="A120" s="305" t="s">
        <v>1234</v>
      </c>
      <c r="B120" s="232"/>
      <c r="C120" s="232"/>
      <c r="D120" s="232"/>
      <c r="E120" s="232"/>
      <c r="F120" s="232"/>
      <c r="G120" s="232"/>
      <c r="H120" s="232"/>
      <c r="I120" s="232"/>
      <c r="J120" s="232"/>
      <c r="K120" s="232"/>
      <c r="L120" s="232"/>
      <c r="M120" s="232"/>
      <c r="N120" s="232"/>
    </row>
    <row r="121" spans="1:14" x14ac:dyDescent="0.25">
      <c r="A121" s="232" t="s">
        <v>1235</v>
      </c>
      <c r="B121" s="232"/>
      <c r="C121" s="232"/>
      <c r="D121" s="232"/>
      <c r="E121" s="232"/>
      <c r="F121" s="232"/>
      <c r="G121" s="232"/>
      <c r="H121" s="232"/>
      <c r="I121" s="232"/>
      <c r="J121" s="232"/>
      <c r="K121" s="232"/>
      <c r="L121" s="232"/>
      <c r="M121" s="232"/>
      <c r="N121" s="232"/>
    </row>
    <row r="124" spans="1:14" x14ac:dyDescent="0.25">
      <c r="A124" s="95" t="s">
        <v>705</v>
      </c>
      <c r="B124" s="95" t="s">
        <v>707</v>
      </c>
      <c r="C124" s="95" t="s">
        <v>790</v>
      </c>
      <c r="D124" s="95" t="s">
        <v>791</v>
      </c>
      <c r="E124" s="95" t="s">
        <v>598</v>
      </c>
      <c r="F124" s="95" t="s">
        <v>430</v>
      </c>
    </row>
    <row r="125" spans="1:14" x14ac:dyDescent="0.25">
      <c r="A125">
        <v>2</v>
      </c>
      <c r="B125">
        <v>0.41199999999999998</v>
      </c>
      <c r="C125">
        <v>72.3</v>
      </c>
      <c r="D125">
        <v>0.98</v>
      </c>
      <c r="E125" t="s">
        <v>1236</v>
      </c>
      <c r="F125" t="s">
        <v>1237</v>
      </c>
    </row>
    <row r="126" spans="1:14" x14ac:dyDescent="0.25">
      <c r="A126">
        <v>3</v>
      </c>
      <c r="B126">
        <v>0.48499999999999999</v>
      </c>
      <c r="C126">
        <v>85.6</v>
      </c>
      <c r="D126">
        <v>0.85</v>
      </c>
      <c r="E126" t="s">
        <v>1238</v>
      </c>
      <c r="F126" t="s">
        <v>1237</v>
      </c>
    </row>
    <row r="127" spans="1:14" x14ac:dyDescent="0.25">
      <c r="A127" s="37">
        <v>4</v>
      </c>
      <c r="B127" s="36">
        <v>0.53800000000000003</v>
      </c>
      <c r="C127" s="36">
        <v>98.7</v>
      </c>
      <c r="D127" s="36">
        <v>0.72</v>
      </c>
      <c r="E127" s="36" t="s">
        <v>1239</v>
      </c>
      <c r="F127" s="36" t="s">
        <v>1240</v>
      </c>
    </row>
    <row r="128" spans="1:14" x14ac:dyDescent="0.25">
      <c r="A128">
        <v>5</v>
      </c>
      <c r="B128">
        <v>0.51200000000000001</v>
      </c>
      <c r="C128">
        <v>94.2</v>
      </c>
      <c r="D128">
        <v>0.78</v>
      </c>
      <c r="E128" t="s">
        <v>1241</v>
      </c>
      <c r="F128" t="s">
        <v>1237</v>
      </c>
    </row>
    <row r="129" spans="1:14" x14ac:dyDescent="0.25">
      <c r="A129">
        <v>6</v>
      </c>
      <c r="B129">
        <v>0.47799999999999998</v>
      </c>
      <c r="C129">
        <v>88.9</v>
      </c>
      <c r="D129">
        <v>0.86</v>
      </c>
      <c r="E129" t="s">
        <v>1242</v>
      </c>
      <c r="F129" t="s">
        <v>1237</v>
      </c>
    </row>
    <row r="132" spans="1:14" x14ac:dyDescent="0.25">
      <c r="A132" t="s">
        <v>1050</v>
      </c>
    </row>
    <row r="133" spans="1:14" x14ac:dyDescent="0.25">
      <c r="A133" s="304" t="s">
        <v>1243</v>
      </c>
      <c r="B133" s="304"/>
      <c r="C133" s="304"/>
      <c r="D133" s="304"/>
      <c r="E133" s="304"/>
      <c r="F133" s="304"/>
      <c r="G133" s="304"/>
      <c r="H133" s="304"/>
      <c r="I133" s="304"/>
      <c r="J133" s="304"/>
      <c r="K133" s="304"/>
      <c r="L133" s="304"/>
      <c r="M133" s="304"/>
      <c r="N133" s="304"/>
    </row>
    <row r="134" spans="1:14" x14ac:dyDescent="0.25">
      <c r="A134" t="s">
        <v>1050</v>
      </c>
    </row>
    <row r="136" spans="1:14" ht="17.25" x14ac:dyDescent="0.3">
      <c r="A136" s="14" t="s">
        <v>1244</v>
      </c>
    </row>
    <row r="138" spans="1:14" x14ac:dyDescent="0.25">
      <c r="A138" s="21" t="s">
        <v>675</v>
      </c>
      <c r="B138" s="21" t="s">
        <v>228</v>
      </c>
      <c r="C138" s="21" t="s">
        <v>268</v>
      </c>
      <c r="D138" s="21" t="s">
        <v>676</v>
      </c>
      <c r="E138" s="21" t="s">
        <v>1245</v>
      </c>
      <c r="F138" s="21" t="s">
        <v>795</v>
      </c>
    </row>
    <row r="139" spans="1:14" x14ac:dyDescent="0.25">
      <c r="A139" s="96" t="s">
        <v>1246</v>
      </c>
      <c r="B139" s="96">
        <v>35</v>
      </c>
      <c r="C139" s="99">
        <v>0.26900000000000002</v>
      </c>
      <c r="D139" s="96" t="s">
        <v>1258</v>
      </c>
      <c r="E139" s="96" t="s">
        <v>1247</v>
      </c>
      <c r="F139" s="96" t="s">
        <v>1248</v>
      </c>
    </row>
    <row r="140" spans="1:14" x14ac:dyDescent="0.25">
      <c r="A140" s="100" t="s">
        <v>1249</v>
      </c>
      <c r="B140" s="100">
        <v>40</v>
      </c>
      <c r="C140" s="101">
        <v>0.308</v>
      </c>
      <c r="D140" s="100" t="s">
        <v>1259</v>
      </c>
      <c r="E140" s="100" t="s">
        <v>1250</v>
      </c>
      <c r="F140" s="100" t="s">
        <v>801</v>
      </c>
    </row>
    <row r="141" spans="1:14" x14ac:dyDescent="0.25">
      <c r="A141" s="97" t="s">
        <v>1251</v>
      </c>
      <c r="B141" s="97">
        <v>31</v>
      </c>
      <c r="C141" s="102">
        <v>0.23799999999999999</v>
      </c>
      <c r="D141" s="97" t="s">
        <v>1260</v>
      </c>
      <c r="E141" s="97" t="s">
        <v>1252</v>
      </c>
      <c r="F141" s="97" t="s">
        <v>1253</v>
      </c>
    </row>
    <row r="142" spans="1:14" x14ac:dyDescent="0.25">
      <c r="A142" s="98" t="s">
        <v>1254</v>
      </c>
      <c r="B142" s="98">
        <v>24</v>
      </c>
      <c r="C142" s="103">
        <v>0.185</v>
      </c>
      <c r="D142" s="98" t="s">
        <v>1261</v>
      </c>
      <c r="E142" s="98" t="s">
        <v>1255</v>
      </c>
      <c r="F142" s="98" t="s">
        <v>1256</v>
      </c>
    </row>
    <row r="143" spans="1:14" x14ac:dyDescent="0.25">
      <c r="A143" t="s">
        <v>202</v>
      </c>
      <c r="B143">
        <v>130</v>
      </c>
      <c r="C143" s="79">
        <v>1</v>
      </c>
    </row>
    <row r="146" spans="1:14" ht="17.25" x14ac:dyDescent="0.3">
      <c r="A146" s="297" t="s">
        <v>1257</v>
      </c>
      <c r="B146" s="297"/>
      <c r="C146" s="297"/>
      <c r="D146" s="297"/>
      <c r="E146" s="297"/>
      <c r="F146" s="297"/>
      <c r="G146" s="297"/>
      <c r="H146" s="297"/>
      <c r="I146" s="297"/>
      <c r="J146" s="297"/>
      <c r="K146" s="297"/>
      <c r="L146" s="297"/>
      <c r="M146" s="297"/>
      <c r="N146" s="297"/>
    </row>
    <row r="148" spans="1:14" x14ac:dyDescent="0.25">
      <c r="A148" s="35" t="s">
        <v>226</v>
      </c>
      <c r="B148" s="35" t="s">
        <v>1262</v>
      </c>
      <c r="C148" s="35" t="s">
        <v>1263</v>
      </c>
      <c r="D148" s="35" t="s">
        <v>1264</v>
      </c>
      <c r="E148" s="35" t="s">
        <v>1265</v>
      </c>
      <c r="F148" s="35" t="s">
        <v>681</v>
      </c>
      <c r="G148" s="35" t="s">
        <v>1266</v>
      </c>
      <c r="H148" s="35" t="s">
        <v>241</v>
      </c>
    </row>
    <row r="149" spans="1:14" x14ac:dyDescent="0.25">
      <c r="A149" s="28" t="s">
        <v>811</v>
      </c>
      <c r="B149" s="104"/>
      <c r="C149" s="104"/>
      <c r="D149" s="104"/>
      <c r="E149" s="104"/>
      <c r="F149" s="104"/>
      <c r="G149" s="104"/>
      <c r="H149" s="104"/>
    </row>
    <row r="150" spans="1:14" x14ac:dyDescent="0.25">
      <c r="A150" t="s">
        <v>253</v>
      </c>
      <c r="B150">
        <v>21.8</v>
      </c>
      <c r="C150">
        <v>39.200000000000003</v>
      </c>
      <c r="D150">
        <v>62.4</v>
      </c>
      <c r="E150">
        <v>8.5</v>
      </c>
      <c r="F150">
        <v>36.1</v>
      </c>
      <c r="G150">
        <v>42.85</v>
      </c>
      <c r="H150" t="s">
        <v>526</v>
      </c>
    </row>
    <row r="151" spans="1:14" x14ac:dyDescent="0.25">
      <c r="A151" t="s">
        <v>682</v>
      </c>
      <c r="B151" s="9">
        <v>0.45700000000000002</v>
      </c>
      <c r="C151" s="9">
        <v>0.55000000000000004</v>
      </c>
      <c r="D151" s="9">
        <v>0.71</v>
      </c>
      <c r="E151" s="9">
        <v>0.41699999999999998</v>
      </c>
      <c r="F151" s="9">
        <v>0.56899999999999995</v>
      </c>
      <c r="G151">
        <v>3.21</v>
      </c>
      <c r="H151">
        <v>2.5000000000000001E-2</v>
      </c>
    </row>
    <row r="152" spans="1:14" x14ac:dyDescent="0.25">
      <c r="A152" t="s">
        <v>812</v>
      </c>
      <c r="B152" s="9">
        <v>0.48599999999999999</v>
      </c>
      <c r="C152" s="9">
        <v>0.1</v>
      </c>
      <c r="D152" s="9">
        <v>3.2000000000000001E-2</v>
      </c>
      <c r="E152" s="9">
        <v>0.83299999999999996</v>
      </c>
      <c r="F152" s="9">
        <v>0.33100000000000002</v>
      </c>
      <c r="G152">
        <v>38.92</v>
      </c>
      <c r="H152" t="s">
        <v>526</v>
      </c>
    </row>
    <row r="153" spans="1:14" x14ac:dyDescent="0.25">
      <c r="A153" t="s">
        <v>813</v>
      </c>
      <c r="B153" s="9">
        <v>2.9000000000000001E-2</v>
      </c>
      <c r="C153" s="9">
        <v>0.17499999999999999</v>
      </c>
      <c r="D153" s="9">
        <v>0.64500000000000002</v>
      </c>
      <c r="E153" s="9">
        <v>0</v>
      </c>
      <c r="F153" s="9">
        <v>0.223</v>
      </c>
      <c r="G153">
        <v>35.67</v>
      </c>
      <c r="H153" t="s">
        <v>526</v>
      </c>
    </row>
    <row r="155" spans="1:14" x14ac:dyDescent="0.25">
      <c r="A155" s="28" t="s">
        <v>1267</v>
      </c>
      <c r="B155" s="104"/>
      <c r="C155" s="104"/>
      <c r="D155" s="104"/>
      <c r="E155" s="104"/>
      <c r="F155" s="104"/>
      <c r="G155" s="104"/>
      <c r="H155" s="104"/>
    </row>
    <row r="156" spans="1:14" x14ac:dyDescent="0.25">
      <c r="A156" t="s">
        <v>683</v>
      </c>
      <c r="B156" s="9">
        <v>1</v>
      </c>
      <c r="C156" s="9">
        <v>0.72499999999999998</v>
      </c>
      <c r="D156" s="9">
        <v>9.7000000000000003E-2</v>
      </c>
      <c r="E156" s="9">
        <v>0.16700000000000001</v>
      </c>
      <c r="F156" s="9">
        <v>0.52300000000000002</v>
      </c>
      <c r="G156">
        <v>89.45</v>
      </c>
      <c r="H156" t="s">
        <v>526</v>
      </c>
    </row>
    <row r="157" spans="1:14" x14ac:dyDescent="0.25">
      <c r="A157" t="s">
        <v>1268</v>
      </c>
      <c r="B157">
        <v>2.4</v>
      </c>
      <c r="C157">
        <v>1.3</v>
      </c>
      <c r="D157">
        <v>0.1</v>
      </c>
      <c r="E157">
        <v>0.2</v>
      </c>
      <c r="F157">
        <v>1.1000000000000001</v>
      </c>
      <c r="G157">
        <v>56.78</v>
      </c>
      <c r="H157" t="s">
        <v>526</v>
      </c>
    </row>
    <row r="158" spans="1:14" x14ac:dyDescent="0.25">
      <c r="A158" t="s">
        <v>821</v>
      </c>
      <c r="B158" s="9">
        <v>0.71399999999999997</v>
      </c>
      <c r="C158" s="9">
        <v>0.42499999999999999</v>
      </c>
      <c r="D158" s="9">
        <v>6.5000000000000002E-2</v>
      </c>
      <c r="E158" s="9">
        <v>0.125</v>
      </c>
      <c r="F158" s="9">
        <v>0.38500000000000001</v>
      </c>
      <c r="G158">
        <v>24.56</v>
      </c>
      <c r="H158" t="s">
        <v>526</v>
      </c>
    </row>
    <row r="159" spans="1:14" x14ac:dyDescent="0.25">
      <c r="A159" t="s">
        <v>822</v>
      </c>
      <c r="B159" s="9">
        <v>0.45700000000000002</v>
      </c>
      <c r="C159" s="9">
        <v>0.15</v>
      </c>
      <c r="D159" s="9">
        <v>3.2000000000000001E-2</v>
      </c>
      <c r="E159" s="9">
        <v>0</v>
      </c>
      <c r="F159" s="9">
        <v>0.185</v>
      </c>
      <c r="G159">
        <v>18.920000000000002</v>
      </c>
      <c r="H159" t="s">
        <v>526</v>
      </c>
    </row>
    <row r="160" spans="1:14" x14ac:dyDescent="0.25">
      <c r="A160" t="s">
        <v>823</v>
      </c>
      <c r="B160" s="9">
        <v>0.371</v>
      </c>
      <c r="C160" s="9">
        <v>7.4999999999999997E-2</v>
      </c>
      <c r="D160" s="9">
        <v>0</v>
      </c>
      <c r="E160" s="9">
        <v>4.2000000000000003E-2</v>
      </c>
      <c r="F160" s="9">
        <v>0.13100000000000001</v>
      </c>
      <c r="G160">
        <v>15.34</v>
      </c>
      <c r="H160" t="s">
        <v>526</v>
      </c>
    </row>
    <row r="161" spans="1:14" x14ac:dyDescent="0.25">
      <c r="A161" t="s">
        <v>824</v>
      </c>
      <c r="B161" s="9">
        <v>0.2</v>
      </c>
      <c r="C161" s="9">
        <v>2.5000000000000001E-2</v>
      </c>
      <c r="D161" s="9">
        <v>0</v>
      </c>
      <c r="E161" s="9">
        <v>0</v>
      </c>
      <c r="F161" s="9">
        <v>6.2E-2</v>
      </c>
      <c r="G161">
        <v>12.45</v>
      </c>
      <c r="H161" t="s">
        <v>526</v>
      </c>
    </row>
    <row r="163" spans="1:14" x14ac:dyDescent="0.25">
      <c r="A163" s="28" t="s">
        <v>1269</v>
      </c>
      <c r="B163" s="104"/>
      <c r="C163" s="104"/>
      <c r="D163" s="104"/>
      <c r="E163" s="104"/>
      <c r="F163" s="104"/>
      <c r="G163" s="104"/>
      <c r="H163" s="104"/>
    </row>
    <row r="164" spans="1:14" x14ac:dyDescent="0.25">
      <c r="A164" t="s">
        <v>378</v>
      </c>
      <c r="B164">
        <v>52.3</v>
      </c>
      <c r="C164">
        <v>11.2</v>
      </c>
      <c r="D164">
        <v>17.8</v>
      </c>
      <c r="E164">
        <v>15.4</v>
      </c>
      <c r="F164">
        <v>24.9</v>
      </c>
      <c r="G164">
        <v>28.67</v>
      </c>
      <c r="H164" t="s">
        <v>526</v>
      </c>
    </row>
    <row r="165" spans="1:14" x14ac:dyDescent="0.25">
      <c r="A165" t="s">
        <v>1270</v>
      </c>
      <c r="B165" s="9">
        <v>0.91400000000000003</v>
      </c>
      <c r="C165" s="9">
        <v>0.15</v>
      </c>
      <c r="D165" s="9">
        <v>0.28999999999999998</v>
      </c>
      <c r="E165" s="9">
        <v>0.5</v>
      </c>
      <c r="F165" s="9">
        <v>0.46200000000000002</v>
      </c>
      <c r="G165">
        <v>31.45</v>
      </c>
      <c r="H165" t="s">
        <v>526</v>
      </c>
    </row>
    <row r="166" spans="1:14" x14ac:dyDescent="0.25">
      <c r="A166" t="s">
        <v>819</v>
      </c>
      <c r="B166" s="9">
        <v>0.629</v>
      </c>
      <c r="C166" s="9">
        <v>2.5000000000000001E-2</v>
      </c>
      <c r="D166" s="9">
        <v>3.2000000000000001E-2</v>
      </c>
      <c r="E166" s="9">
        <v>8.3000000000000004E-2</v>
      </c>
      <c r="F166" s="9">
        <v>0.185</v>
      </c>
      <c r="G166">
        <v>42.12</v>
      </c>
      <c r="H166" t="s">
        <v>526</v>
      </c>
    </row>
    <row r="167" spans="1:14" x14ac:dyDescent="0.25">
      <c r="A167" t="s">
        <v>818</v>
      </c>
      <c r="B167" s="9">
        <v>0.74299999999999999</v>
      </c>
      <c r="C167" s="9">
        <v>0.22500000000000001</v>
      </c>
      <c r="D167" s="9">
        <v>0.41899999999999998</v>
      </c>
      <c r="E167" s="9">
        <v>0.45800000000000002</v>
      </c>
      <c r="F167" s="9">
        <v>0.42299999999999999</v>
      </c>
      <c r="G167">
        <v>12.34</v>
      </c>
      <c r="H167" t="s">
        <v>526</v>
      </c>
    </row>
    <row r="168" spans="1:14" x14ac:dyDescent="0.25">
      <c r="A168" t="s">
        <v>817</v>
      </c>
      <c r="B168" s="9">
        <v>0.28599999999999998</v>
      </c>
      <c r="C168" s="9">
        <v>0.72499999999999998</v>
      </c>
      <c r="D168" s="9">
        <v>0.64500000000000002</v>
      </c>
      <c r="E168" s="9">
        <v>0.54200000000000004</v>
      </c>
      <c r="F168" s="9">
        <v>0.54600000000000004</v>
      </c>
      <c r="G168">
        <v>8.67</v>
      </c>
      <c r="H168" t="s">
        <v>526</v>
      </c>
    </row>
    <row r="170" spans="1:14" x14ac:dyDescent="0.25">
      <c r="A170" s="28" t="s">
        <v>1271</v>
      </c>
      <c r="B170" s="104"/>
      <c r="C170" s="104"/>
      <c r="D170" s="104"/>
      <c r="E170" s="104"/>
      <c r="F170" s="104"/>
      <c r="G170" s="104"/>
      <c r="H170" s="104"/>
    </row>
    <row r="171" spans="1:14" x14ac:dyDescent="0.25">
      <c r="A171" t="s">
        <v>379</v>
      </c>
      <c r="B171">
        <v>8.1999999999999993</v>
      </c>
      <c r="C171">
        <v>285.39999999999998</v>
      </c>
      <c r="D171">
        <v>195.6</v>
      </c>
      <c r="E171">
        <v>22.8</v>
      </c>
      <c r="F171">
        <v>141.30000000000001</v>
      </c>
      <c r="G171">
        <v>8.92</v>
      </c>
      <c r="H171" t="s">
        <v>526</v>
      </c>
    </row>
    <row r="172" spans="1:14" x14ac:dyDescent="0.25">
      <c r="A172" t="s">
        <v>1272</v>
      </c>
      <c r="B172" s="9">
        <v>0.85699999999999998</v>
      </c>
      <c r="C172" s="9">
        <v>0.25</v>
      </c>
      <c r="D172" s="9">
        <v>0.32300000000000001</v>
      </c>
      <c r="E172" s="9">
        <v>0.66700000000000004</v>
      </c>
      <c r="F172" s="9">
        <v>0.46200000000000002</v>
      </c>
      <c r="G172">
        <v>18.45</v>
      </c>
      <c r="H172" t="s">
        <v>526</v>
      </c>
    </row>
    <row r="175" spans="1:14" x14ac:dyDescent="0.25">
      <c r="A175" t="s">
        <v>1050</v>
      </c>
    </row>
    <row r="176" spans="1:14" x14ac:dyDescent="0.25">
      <c r="A176" s="304" t="s">
        <v>1273</v>
      </c>
      <c r="B176" s="232"/>
      <c r="C176" s="232"/>
      <c r="D176" s="232"/>
      <c r="E176" s="232"/>
      <c r="F176" s="232"/>
      <c r="G176" s="232"/>
      <c r="H176" s="232"/>
      <c r="I176" s="232"/>
      <c r="J176" s="232"/>
      <c r="K176" s="232"/>
      <c r="L176" s="232"/>
      <c r="M176" s="232"/>
      <c r="N176" s="232"/>
    </row>
    <row r="177" spans="1:14" x14ac:dyDescent="0.25">
      <c r="A177" t="s">
        <v>1050</v>
      </c>
    </row>
    <row r="179" spans="1:14" x14ac:dyDescent="0.25">
      <c r="A179" s="21" t="s">
        <v>1274</v>
      </c>
      <c r="B179" s="21" t="s">
        <v>1275</v>
      </c>
      <c r="C179" s="21" t="s">
        <v>1276</v>
      </c>
      <c r="D179" s="21" t="s">
        <v>1277</v>
      </c>
    </row>
    <row r="180" spans="1:14" x14ac:dyDescent="0.25">
      <c r="A180" t="s">
        <v>1095</v>
      </c>
      <c r="B180" t="s">
        <v>1278</v>
      </c>
      <c r="C180" t="s">
        <v>1279</v>
      </c>
      <c r="D180" t="s">
        <v>1280</v>
      </c>
    </row>
    <row r="181" spans="1:14" x14ac:dyDescent="0.25">
      <c r="A181" t="s">
        <v>1281</v>
      </c>
      <c r="B181" t="s">
        <v>1282</v>
      </c>
      <c r="C181" t="s">
        <v>1283</v>
      </c>
      <c r="D181" t="s">
        <v>1284</v>
      </c>
    </row>
    <row r="182" spans="1:14" x14ac:dyDescent="0.25">
      <c r="A182" t="s">
        <v>1285</v>
      </c>
      <c r="B182" t="s">
        <v>1286</v>
      </c>
      <c r="C182" t="s">
        <v>1287</v>
      </c>
      <c r="D182" t="s">
        <v>1284</v>
      </c>
    </row>
    <row r="183" spans="1:14" x14ac:dyDescent="0.25">
      <c r="A183" t="s">
        <v>1288</v>
      </c>
      <c r="B183">
        <v>0.53800000000000003</v>
      </c>
      <c r="C183">
        <v>0.53800000000000003</v>
      </c>
      <c r="D183" t="s">
        <v>1289</v>
      </c>
    </row>
    <row r="184" spans="1:14" x14ac:dyDescent="0.25">
      <c r="A184" t="s">
        <v>790</v>
      </c>
      <c r="B184">
        <v>98.7</v>
      </c>
      <c r="C184">
        <v>98.7</v>
      </c>
      <c r="D184" t="s">
        <v>1289</v>
      </c>
    </row>
    <row r="185" spans="1:14" x14ac:dyDescent="0.25">
      <c r="A185" t="s">
        <v>791</v>
      </c>
      <c r="B185">
        <v>0.72</v>
      </c>
      <c r="C185">
        <v>0.72</v>
      </c>
      <c r="D185" t="s">
        <v>1289</v>
      </c>
    </row>
    <row r="186" spans="1:14" x14ac:dyDescent="0.25">
      <c r="A186" t="s">
        <v>1290</v>
      </c>
      <c r="B186" t="s">
        <v>1291</v>
      </c>
      <c r="C186" t="s">
        <v>1292</v>
      </c>
      <c r="D186" t="s">
        <v>1276</v>
      </c>
    </row>
    <row r="187" spans="1:14" x14ac:dyDescent="0.25">
      <c r="A187" t="s">
        <v>1293</v>
      </c>
      <c r="B187" t="s">
        <v>1294</v>
      </c>
      <c r="C187" t="s">
        <v>1295</v>
      </c>
      <c r="D187" t="s">
        <v>1284</v>
      </c>
    </row>
    <row r="188" spans="1:14" x14ac:dyDescent="0.25">
      <c r="A188" t="s">
        <v>1296</v>
      </c>
      <c r="B188" t="s">
        <v>1297</v>
      </c>
      <c r="C188" t="s">
        <v>1298</v>
      </c>
      <c r="D188" t="s">
        <v>1284</v>
      </c>
    </row>
    <row r="189" spans="1:14" x14ac:dyDescent="0.25">
      <c r="A189" t="s">
        <v>243</v>
      </c>
      <c r="B189" t="s">
        <v>1299</v>
      </c>
      <c r="C189" t="s">
        <v>1300</v>
      </c>
      <c r="D189" t="s">
        <v>1284</v>
      </c>
    </row>
    <row r="192" spans="1:14" x14ac:dyDescent="0.25">
      <c r="A192" s="235" t="s">
        <v>1301</v>
      </c>
      <c r="B192" s="232"/>
      <c r="C192" s="232"/>
      <c r="D192" s="232"/>
      <c r="E192" s="232"/>
      <c r="F192" s="232"/>
      <c r="G192" s="232"/>
      <c r="H192" s="232"/>
      <c r="I192" s="232"/>
      <c r="J192" s="232"/>
      <c r="K192" s="232"/>
      <c r="L192" s="232"/>
      <c r="M192" s="232"/>
      <c r="N192" s="232"/>
    </row>
    <row r="194" spans="1:14" x14ac:dyDescent="0.25">
      <c r="A194" s="39" t="s">
        <v>686</v>
      </c>
      <c r="B194" s="39" t="s">
        <v>181</v>
      </c>
      <c r="C194" s="39" t="s">
        <v>243</v>
      </c>
    </row>
    <row r="195" spans="1:14" x14ac:dyDescent="0.25">
      <c r="A195" t="s">
        <v>1302</v>
      </c>
      <c r="B195">
        <v>0.872</v>
      </c>
      <c r="C195" t="s">
        <v>1303</v>
      </c>
    </row>
    <row r="196" spans="1:14" x14ac:dyDescent="0.25">
      <c r="A196" t="s">
        <v>1304</v>
      </c>
      <c r="B196">
        <v>0.84499999999999997</v>
      </c>
      <c r="C196" t="s">
        <v>1305</v>
      </c>
    </row>
    <row r="197" spans="1:14" x14ac:dyDescent="0.25">
      <c r="A197" t="s">
        <v>703</v>
      </c>
      <c r="B197">
        <v>0.89100000000000001</v>
      </c>
      <c r="C197" t="s">
        <v>1306</v>
      </c>
    </row>
    <row r="198" spans="1:14" x14ac:dyDescent="0.25">
      <c r="A198" t="s">
        <v>1307</v>
      </c>
      <c r="B198" s="9">
        <v>0.89200000000000002</v>
      </c>
      <c r="C198" t="s">
        <v>1308</v>
      </c>
    </row>
    <row r="201" spans="1:14" x14ac:dyDescent="0.25">
      <c r="A201" s="235" t="s">
        <v>1309</v>
      </c>
      <c r="B201" s="232"/>
      <c r="C201" s="232"/>
      <c r="D201" s="232"/>
      <c r="E201" s="232"/>
      <c r="F201" s="232"/>
      <c r="G201" s="232"/>
      <c r="H201" s="232"/>
      <c r="I201" s="232"/>
      <c r="J201" s="232"/>
      <c r="K201" s="232"/>
      <c r="L201" s="232"/>
      <c r="M201" s="232"/>
      <c r="N201" s="232"/>
    </row>
    <row r="203" spans="1:14" x14ac:dyDescent="0.25">
      <c r="A203" s="95" t="s">
        <v>1310</v>
      </c>
      <c r="B203" s="95" t="s">
        <v>1311</v>
      </c>
      <c r="C203" s="95" t="s">
        <v>1312</v>
      </c>
      <c r="D203" s="95" t="s">
        <v>1313</v>
      </c>
      <c r="E203" s="95" t="s">
        <v>1314</v>
      </c>
      <c r="F203" s="95" t="s">
        <v>1315</v>
      </c>
    </row>
    <row r="204" spans="1:14" x14ac:dyDescent="0.25">
      <c r="A204" s="7" t="s">
        <v>1262</v>
      </c>
      <c r="B204" s="36">
        <v>33</v>
      </c>
      <c r="C204">
        <v>0</v>
      </c>
      <c r="D204">
        <v>2</v>
      </c>
      <c r="E204">
        <v>0</v>
      </c>
      <c r="F204">
        <v>35</v>
      </c>
    </row>
    <row r="205" spans="1:14" x14ac:dyDescent="0.25">
      <c r="A205" s="7" t="s">
        <v>1263</v>
      </c>
      <c r="B205">
        <v>3</v>
      </c>
      <c r="C205" s="36">
        <v>0</v>
      </c>
      <c r="D205">
        <v>35</v>
      </c>
      <c r="E205">
        <v>2</v>
      </c>
      <c r="F205">
        <v>40</v>
      </c>
    </row>
    <row r="206" spans="1:14" x14ac:dyDescent="0.25">
      <c r="A206" s="7" t="s">
        <v>1316</v>
      </c>
      <c r="B206">
        <v>0</v>
      </c>
      <c r="C206">
        <v>30</v>
      </c>
      <c r="D206" s="36">
        <v>0</v>
      </c>
      <c r="E206">
        <v>1</v>
      </c>
      <c r="F206">
        <v>31</v>
      </c>
    </row>
    <row r="207" spans="1:14" x14ac:dyDescent="0.25">
      <c r="A207" s="7" t="s">
        <v>1317</v>
      </c>
      <c r="B207">
        <v>2</v>
      </c>
      <c r="C207">
        <v>2</v>
      </c>
      <c r="D207">
        <v>0</v>
      </c>
      <c r="E207" s="36">
        <v>20</v>
      </c>
      <c r="F207">
        <v>24</v>
      </c>
    </row>
    <row r="208" spans="1:14" x14ac:dyDescent="0.25">
      <c r="A208" s="7" t="s">
        <v>1318</v>
      </c>
      <c r="B208">
        <v>38</v>
      </c>
      <c r="C208">
        <v>32</v>
      </c>
      <c r="D208">
        <v>37</v>
      </c>
      <c r="E208">
        <v>23</v>
      </c>
      <c r="F208">
        <v>130</v>
      </c>
    </row>
    <row r="211" spans="1:14" x14ac:dyDescent="0.25">
      <c r="A211" s="7" t="s">
        <v>1050</v>
      </c>
    </row>
    <row r="212" spans="1:14" x14ac:dyDescent="0.25">
      <c r="A212" s="304" t="s">
        <v>1319</v>
      </c>
      <c r="B212" s="232"/>
      <c r="C212" s="232"/>
      <c r="D212" s="232"/>
      <c r="E212" s="232"/>
      <c r="F212" s="232"/>
      <c r="G212" s="232"/>
      <c r="H212" s="232"/>
      <c r="I212" s="232"/>
      <c r="J212" s="232"/>
      <c r="K212" s="232"/>
      <c r="L212" s="232"/>
      <c r="M212" s="232"/>
      <c r="N212" s="232"/>
    </row>
    <row r="213" spans="1:14" x14ac:dyDescent="0.25">
      <c r="A213" t="s">
        <v>1050</v>
      </c>
    </row>
    <row r="215" spans="1:14" x14ac:dyDescent="0.25">
      <c r="A215" s="232" t="s">
        <v>1320</v>
      </c>
      <c r="B215" s="232"/>
      <c r="C215" s="232"/>
      <c r="D215" s="232"/>
      <c r="E215" s="232"/>
      <c r="F215" s="232"/>
      <c r="G215" s="232"/>
      <c r="H215" s="232"/>
      <c r="I215" s="232"/>
      <c r="J215" s="232"/>
      <c r="K215" s="232"/>
      <c r="L215" s="232"/>
      <c r="M215" s="232"/>
      <c r="N215" s="232"/>
    </row>
    <row r="217" spans="1:14" x14ac:dyDescent="0.25">
      <c r="A217" s="21" t="s">
        <v>1321</v>
      </c>
      <c r="B217" s="21" t="s">
        <v>1322</v>
      </c>
      <c r="C217" s="21" t="s">
        <v>1323</v>
      </c>
      <c r="D217" s="21" t="s">
        <v>264</v>
      </c>
    </row>
    <row r="218" spans="1:14" x14ac:dyDescent="0.25">
      <c r="A218" t="s">
        <v>1324</v>
      </c>
      <c r="B218" t="s">
        <v>1325</v>
      </c>
      <c r="C218" t="s">
        <v>1326</v>
      </c>
      <c r="D218" t="s">
        <v>1327</v>
      </c>
    </row>
    <row r="219" spans="1:14" x14ac:dyDescent="0.25">
      <c r="C219" t="s">
        <v>1328</v>
      </c>
    </row>
    <row r="220" spans="1:14" x14ac:dyDescent="0.25">
      <c r="A220" t="s">
        <v>1329</v>
      </c>
      <c r="B220" t="s">
        <v>1330</v>
      </c>
      <c r="C220" t="s">
        <v>1331</v>
      </c>
      <c r="D220" t="s">
        <v>1332</v>
      </c>
    </row>
    <row r="221" spans="1:14" x14ac:dyDescent="0.25">
      <c r="C221" t="s">
        <v>1333</v>
      </c>
      <c r="D221" t="s">
        <v>1334</v>
      </c>
    </row>
    <row r="222" spans="1:14" x14ac:dyDescent="0.25">
      <c r="C222" t="s">
        <v>1335</v>
      </c>
      <c r="D222" t="s">
        <v>1336</v>
      </c>
    </row>
    <row r="223" spans="1:14" x14ac:dyDescent="0.25">
      <c r="A223" t="s">
        <v>1337</v>
      </c>
      <c r="B223" t="s">
        <v>1338</v>
      </c>
      <c r="C223" t="s">
        <v>1339</v>
      </c>
      <c r="D223" t="s">
        <v>1340</v>
      </c>
    </row>
    <row r="224" spans="1:14" x14ac:dyDescent="0.25">
      <c r="C224" t="s">
        <v>1341</v>
      </c>
      <c r="D224" t="s">
        <v>1342</v>
      </c>
    </row>
    <row r="225" spans="1:14" x14ac:dyDescent="0.25">
      <c r="A225" t="s">
        <v>1343</v>
      </c>
      <c r="B225" t="s">
        <v>1344</v>
      </c>
      <c r="C225" t="s">
        <v>1345</v>
      </c>
      <c r="D225" t="s">
        <v>1346</v>
      </c>
    </row>
    <row r="226" spans="1:14" x14ac:dyDescent="0.25">
      <c r="C226" t="s">
        <v>1347</v>
      </c>
      <c r="D226" t="s">
        <v>1348</v>
      </c>
    </row>
    <row r="227" spans="1:14" x14ac:dyDescent="0.25">
      <c r="C227" t="s">
        <v>1349</v>
      </c>
      <c r="D227" t="s">
        <v>48</v>
      </c>
    </row>
    <row r="228" spans="1:14" x14ac:dyDescent="0.25">
      <c r="C228" t="s">
        <v>1350</v>
      </c>
      <c r="D228" t="s">
        <v>1351</v>
      </c>
    </row>
    <row r="231" spans="1:14" x14ac:dyDescent="0.25">
      <c r="A231" s="235" t="s">
        <v>1352</v>
      </c>
      <c r="B231" s="232"/>
      <c r="C231" s="232"/>
      <c r="D231" s="232"/>
      <c r="E231" s="232"/>
      <c r="F231" s="232"/>
      <c r="G231" s="232"/>
      <c r="H231" s="232"/>
      <c r="I231" s="232"/>
      <c r="J231" s="232"/>
      <c r="K231" s="232"/>
      <c r="L231" s="232"/>
      <c r="M231" s="232"/>
      <c r="N231" s="232"/>
    </row>
    <row r="233" spans="1:14" x14ac:dyDescent="0.25">
      <c r="A233" s="105"/>
    </row>
    <row r="234" spans="1:14" x14ac:dyDescent="0.25">
      <c r="A234" s="105"/>
    </row>
    <row r="235" spans="1:14" x14ac:dyDescent="0.25">
      <c r="A235" s="105"/>
    </row>
    <row r="236" spans="1:14" x14ac:dyDescent="0.25">
      <c r="A236" s="105"/>
    </row>
    <row r="237" spans="1:14" x14ac:dyDescent="0.25">
      <c r="A237" s="105"/>
    </row>
    <row r="238" spans="1:14" x14ac:dyDescent="0.25">
      <c r="A238" s="105"/>
    </row>
    <row r="239" spans="1:14" x14ac:dyDescent="0.25">
      <c r="A239" s="105"/>
    </row>
    <row r="240" spans="1:14" x14ac:dyDescent="0.25">
      <c r="A240" s="105"/>
    </row>
    <row r="241" spans="1:14" x14ac:dyDescent="0.25">
      <c r="A241" s="105"/>
    </row>
    <row r="242" spans="1:14" x14ac:dyDescent="0.25">
      <c r="A242" s="105"/>
    </row>
    <row r="243" spans="1:14" x14ac:dyDescent="0.25">
      <c r="A243" s="105"/>
    </row>
    <row r="244" spans="1:14" x14ac:dyDescent="0.25">
      <c r="A244" s="105"/>
    </row>
    <row r="245" spans="1:14" x14ac:dyDescent="0.25">
      <c r="A245" s="105"/>
    </row>
    <row r="246" spans="1:14" x14ac:dyDescent="0.25">
      <c r="A246" s="105"/>
    </row>
    <row r="247" spans="1:14" x14ac:dyDescent="0.25">
      <c r="A247" s="105"/>
    </row>
    <row r="248" spans="1:14" x14ac:dyDescent="0.25">
      <c r="A248" s="105"/>
    </row>
    <row r="249" spans="1:14" x14ac:dyDescent="0.25">
      <c r="A249" s="105"/>
    </row>
    <row r="250" spans="1:14" x14ac:dyDescent="0.25">
      <c r="A250" s="105"/>
    </row>
    <row r="251" spans="1:14" x14ac:dyDescent="0.25">
      <c r="A251" s="105"/>
    </row>
    <row r="252" spans="1:14" x14ac:dyDescent="0.25">
      <c r="A252" s="105"/>
    </row>
    <row r="255" spans="1:14" x14ac:dyDescent="0.25">
      <c r="A255" t="s">
        <v>1050</v>
      </c>
    </row>
    <row r="256" spans="1:14" x14ac:dyDescent="0.25">
      <c r="A256" s="304" t="s">
        <v>1353</v>
      </c>
      <c r="B256" s="304"/>
      <c r="C256" s="304"/>
      <c r="D256" s="304"/>
      <c r="E256" s="304"/>
      <c r="F256" s="304"/>
      <c r="G256" s="304"/>
      <c r="H256" s="304"/>
      <c r="I256" s="304"/>
      <c r="J256" s="304"/>
      <c r="K256" s="304"/>
      <c r="L256" s="304"/>
      <c r="M256" s="304"/>
      <c r="N256" s="304"/>
    </row>
    <row r="257" spans="1:5" x14ac:dyDescent="0.25">
      <c r="A257" t="s">
        <v>1050</v>
      </c>
    </row>
    <row r="259" spans="1:5" x14ac:dyDescent="0.25">
      <c r="A259" s="106" t="s">
        <v>720</v>
      </c>
      <c r="B259" s="106" t="s">
        <v>1354</v>
      </c>
      <c r="C259" s="106" t="s">
        <v>1355</v>
      </c>
      <c r="D259" s="106" t="s">
        <v>1356</v>
      </c>
      <c r="E259" s="106" t="s">
        <v>1357</v>
      </c>
    </row>
    <row r="260" spans="1:5" x14ac:dyDescent="0.25">
      <c r="A260" s="96">
        <v>1</v>
      </c>
      <c r="B260" s="96" t="s">
        <v>1379</v>
      </c>
      <c r="C260" s="96" t="s">
        <v>240</v>
      </c>
      <c r="D260" s="96" t="s">
        <v>1380</v>
      </c>
      <c r="E260" s="96" t="s">
        <v>1358</v>
      </c>
    </row>
    <row r="261" spans="1:5" x14ac:dyDescent="0.25">
      <c r="A261" s="96">
        <v>2</v>
      </c>
      <c r="B261" s="96" t="s">
        <v>1381</v>
      </c>
      <c r="C261" s="96" t="s">
        <v>1359</v>
      </c>
      <c r="D261" s="96" t="s">
        <v>1382</v>
      </c>
      <c r="E261" s="96" t="s">
        <v>1383</v>
      </c>
    </row>
    <row r="262" spans="1:5" x14ac:dyDescent="0.25">
      <c r="A262">
        <v>3</v>
      </c>
      <c r="B262" t="s">
        <v>1360</v>
      </c>
      <c r="C262" t="s">
        <v>1361</v>
      </c>
      <c r="D262" t="s">
        <v>1384</v>
      </c>
      <c r="E262" t="s">
        <v>1385</v>
      </c>
    </row>
    <row r="263" spans="1:5" x14ac:dyDescent="0.25">
      <c r="A263">
        <v>4</v>
      </c>
      <c r="B263" t="s">
        <v>1386</v>
      </c>
      <c r="C263" t="s">
        <v>774</v>
      </c>
      <c r="D263" t="s">
        <v>1362</v>
      </c>
      <c r="E263" t="s">
        <v>1387</v>
      </c>
    </row>
    <row r="264" spans="1:5" x14ac:dyDescent="0.25">
      <c r="A264">
        <v>5</v>
      </c>
      <c r="B264" t="s">
        <v>1363</v>
      </c>
      <c r="C264" t="s">
        <v>1364</v>
      </c>
      <c r="D264" t="s">
        <v>1388</v>
      </c>
      <c r="E264" t="s">
        <v>1389</v>
      </c>
    </row>
    <row r="265" spans="1:5" x14ac:dyDescent="0.25">
      <c r="A265">
        <v>6</v>
      </c>
      <c r="B265" t="s">
        <v>1390</v>
      </c>
      <c r="C265" t="s">
        <v>695</v>
      </c>
      <c r="D265" t="s">
        <v>1365</v>
      </c>
      <c r="E265" t="s">
        <v>1366</v>
      </c>
    </row>
    <row r="266" spans="1:5" x14ac:dyDescent="0.25">
      <c r="A266" s="96">
        <v>7</v>
      </c>
      <c r="B266" s="96" t="s">
        <v>1367</v>
      </c>
      <c r="C266" s="96" t="s">
        <v>1368</v>
      </c>
      <c r="D266" s="96" t="s">
        <v>1391</v>
      </c>
      <c r="E266" s="96" t="s">
        <v>1392</v>
      </c>
    </row>
    <row r="267" spans="1:5" x14ac:dyDescent="0.25">
      <c r="A267">
        <v>8</v>
      </c>
      <c r="B267" t="s">
        <v>1369</v>
      </c>
      <c r="C267" t="s">
        <v>1370</v>
      </c>
      <c r="D267" t="s">
        <v>1371</v>
      </c>
      <c r="E267" t="s">
        <v>1393</v>
      </c>
    </row>
    <row r="268" spans="1:5" x14ac:dyDescent="0.25">
      <c r="A268">
        <v>9</v>
      </c>
      <c r="B268" t="s">
        <v>1372</v>
      </c>
      <c r="C268" t="s">
        <v>1373</v>
      </c>
      <c r="D268" t="s">
        <v>1374</v>
      </c>
      <c r="E268" t="s">
        <v>1394</v>
      </c>
    </row>
    <row r="269" spans="1:5" x14ac:dyDescent="0.25">
      <c r="A269">
        <v>10</v>
      </c>
      <c r="B269" t="s">
        <v>1375</v>
      </c>
      <c r="C269" t="s">
        <v>1376</v>
      </c>
      <c r="D269" t="s">
        <v>1377</v>
      </c>
      <c r="E269" t="s">
        <v>1395</v>
      </c>
    </row>
    <row r="272" spans="1:5" x14ac:dyDescent="0.25">
      <c r="A272" t="s">
        <v>1050</v>
      </c>
    </row>
    <row r="273" spans="1:14" x14ac:dyDescent="0.25">
      <c r="A273" s="304" t="s">
        <v>1378</v>
      </c>
      <c r="B273" s="304"/>
      <c r="C273" s="304"/>
      <c r="D273" s="304"/>
      <c r="E273" s="304"/>
      <c r="F273" s="304"/>
      <c r="G273" s="304"/>
      <c r="H273" s="304"/>
      <c r="I273" s="304"/>
      <c r="J273" s="304"/>
      <c r="K273" s="304"/>
      <c r="L273" s="304"/>
      <c r="M273" s="304"/>
      <c r="N273" s="304"/>
    </row>
    <row r="274" spans="1:14" x14ac:dyDescent="0.25">
      <c r="A274" t="s">
        <v>1050</v>
      </c>
    </row>
    <row r="276" spans="1:14" x14ac:dyDescent="0.25">
      <c r="A276" s="7" t="s">
        <v>1396</v>
      </c>
    </row>
    <row r="277" spans="1:14" x14ac:dyDescent="0.25">
      <c r="A277" t="s">
        <v>1397</v>
      </c>
    </row>
    <row r="278" spans="1:14" x14ac:dyDescent="0.25">
      <c r="A278" t="s">
        <v>1398</v>
      </c>
    </row>
    <row r="280" spans="1:14" x14ac:dyDescent="0.25">
      <c r="A280" s="7" t="s">
        <v>1399</v>
      </c>
    </row>
    <row r="281" spans="1:14" x14ac:dyDescent="0.25">
      <c r="A281" t="s">
        <v>1400</v>
      </c>
    </row>
    <row r="282" spans="1:14" x14ac:dyDescent="0.25">
      <c r="A282" s="96" t="s">
        <v>1401</v>
      </c>
    </row>
    <row r="283" spans="1:14" x14ac:dyDescent="0.25">
      <c r="A283" s="100" t="s">
        <v>1402</v>
      </c>
    </row>
    <row r="285" spans="1:14" x14ac:dyDescent="0.25">
      <c r="A285" s="7" t="s">
        <v>1403</v>
      </c>
    </row>
    <row r="286" spans="1:14" x14ac:dyDescent="0.25">
      <c r="A286" s="98" t="s">
        <v>1404</v>
      </c>
    </row>
    <row r="287" spans="1:14" x14ac:dyDescent="0.25">
      <c r="A287" t="s">
        <v>1405</v>
      </c>
    </row>
    <row r="289" spans="1:14" x14ac:dyDescent="0.25">
      <c r="A289" s="7" t="s">
        <v>1406</v>
      </c>
    </row>
    <row r="290" spans="1:14" x14ac:dyDescent="0.25">
      <c r="A290" s="97" t="s">
        <v>1407</v>
      </c>
    </row>
    <row r="291" spans="1:14" x14ac:dyDescent="0.25">
      <c r="A291" s="98" t="s">
        <v>1408</v>
      </c>
    </row>
    <row r="294" spans="1:14" x14ac:dyDescent="0.25">
      <c r="A294" t="s">
        <v>1050</v>
      </c>
    </row>
    <row r="295" spans="1:14" x14ac:dyDescent="0.25">
      <c r="A295" s="304" t="s">
        <v>1409</v>
      </c>
      <c r="B295" s="232"/>
      <c r="C295" s="232"/>
      <c r="D295" s="232"/>
      <c r="E295" s="232"/>
      <c r="F295" s="232"/>
      <c r="G295" s="232"/>
      <c r="H295" s="232"/>
      <c r="I295" s="232"/>
      <c r="J295" s="232"/>
      <c r="K295" s="232"/>
      <c r="L295" s="232"/>
      <c r="M295" s="232"/>
      <c r="N295" s="232"/>
    </row>
    <row r="296" spans="1:14" x14ac:dyDescent="0.25">
      <c r="A296" t="s">
        <v>1050</v>
      </c>
    </row>
    <row r="298" spans="1:14" x14ac:dyDescent="0.25">
      <c r="A298" s="7" t="s">
        <v>1410</v>
      </c>
    </row>
    <row r="300" spans="1:14" x14ac:dyDescent="0.25">
      <c r="A300" s="21" t="s">
        <v>686</v>
      </c>
      <c r="B300" s="21" t="s">
        <v>181</v>
      </c>
      <c r="C300" s="21" t="s">
        <v>582</v>
      </c>
      <c r="D300" s="21" t="s">
        <v>574</v>
      </c>
    </row>
    <row r="301" spans="1:14" x14ac:dyDescent="0.25">
      <c r="A301" t="s">
        <v>1411</v>
      </c>
      <c r="B301">
        <v>0.84699999999999998</v>
      </c>
      <c r="C301" t="s">
        <v>1412</v>
      </c>
      <c r="D301" t="s">
        <v>575</v>
      </c>
    </row>
    <row r="302" spans="1:14" x14ac:dyDescent="0.25">
      <c r="A302" t="s">
        <v>673</v>
      </c>
      <c r="B302">
        <v>0.53800000000000003</v>
      </c>
      <c r="C302" t="s">
        <v>1413</v>
      </c>
      <c r="D302" t="s">
        <v>1414</v>
      </c>
    </row>
    <row r="303" spans="1:14" x14ac:dyDescent="0.25">
      <c r="A303" t="s">
        <v>1415</v>
      </c>
      <c r="B303">
        <v>98.7</v>
      </c>
      <c r="C303" t="s">
        <v>1416</v>
      </c>
      <c r="D303" t="s">
        <v>575</v>
      </c>
    </row>
    <row r="304" spans="1:14" x14ac:dyDescent="0.25">
      <c r="A304" t="s">
        <v>1417</v>
      </c>
      <c r="B304">
        <v>0.72</v>
      </c>
      <c r="C304" t="s">
        <v>1418</v>
      </c>
      <c r="D304" t="s">
        <v>575</v>
      </c>
    </row>
    <row r="305" spans="1:5" x14ac:dyDescent="0.25">
      <c r="A305" t="s">
        <v>1419</v>
      </c>
      <c r="B305">
        <v>0.82</v>
      </c>
      <c r="C305" t="s">
        <v>1413</v>
      </c>
      <c r="D305" t="s">
        <v>575</v>
      </c>
    </row>
    <row r="306" spans="1:5" x14ac:dyDescent="0.25">
      <c r="A306" t="s">
        <v>1420</v>
      </c>
      <c r="B306">
        <v>0.28399999999999997</v>
      </c>
      <c r="C306" t="s">
        <v>1421</v>
      </c>
      <c r="D306" t="s">
        <v>1422</v>
      </c>
    </row>
    <row r="309" spans="1:5" x14ac:dyDescent="0.25">
      <c r="A309" s="7" t="s">
        <v>1423</v>
      </c>
    </row>
    <row r="311" spans="1:5" x14ac:dyDescent="0.25">
      <c r="A311" s="39" t="s">
        <v>226</v>
      </c>
      <c r="B311" s="39" t="s">
        <v>694</v>
      </c>
      <c r="C311" s="39" t="s">
        <v>241</v>
      </c>
      <c r="D311" s="39" t="s">
        <v>1424</v>
      </c>
      <c r="E311" s="39" t="s">
        <v>243</v>
      </c>
    </row>
    <row r="312" spans="1:5" x14ac:dyDescent="0.25">
      <c r="A312" s="36" t="s">
        <v>240</v>
      </c>
      <c r="B312" s="36">
        <v>89.45</v>
      </c>
      <c r="C312" s="36" t="s">
        <v>526</v>
      </c>
      <c r="D312" s="36">
        <v>0.68</v>
      </c>
      <c r="E312" s="36" t="s">
        <v>1425</v>
      </c>
    </row>
    <row r="313" spans="1:5" x14ac:dyDescent="0.25">
      <c r="A313" s="36" t="s">
        <v>248</v>
      </c>
      <c r="B313" s="36">
        <v>42.85</v>
      </c>
      <c r="C313" s="36" t="s">
        <v>526</v>
      </c>
      <c r="D313" s="36">
        <v>0.51</v>
      </c>
      <c r="E313" s="36" t="s">
        <v>1426</v>
      </c>
    </row>
    <row r="314" spans="1:5" x14ac:dyDescent="0.25">
      <c r="A314" s="36" t="s">
        <v>73</v>
      </c>
      <c r="B314" s="36">
        <v>42.12</v>
      </c>
      <c r="C314" s="36" t="s">
        <v>526</v>
      </c>
      <c r="D314" s="36">
        <v>0.5</v>
      </c>
      <c r="E314" s="36" t="s">
        <v>1426</v>
      </c>
    </row>
    <row r="315" spans="1:5" x14ac:dyDescent="0.25">
      <c r="A315" t="s">
        <v>247</v>
      </c>
      <c r="B315">
        <v>28.67</v>
      </c>
      <c r="C315" t="s">
        <v>526</v>
      </c>
      <c r="D315">
        <v>0.41</v>
      </c>
      <c r="E315" t="s">
        <v>1427</v>
      </c>
    </row>
    <row r="316" spans="1:5" x14ac:dyDescent="0.25">
      <c r="A316" t="s">
        <v>1428</v>
      </c>
      <c r="B316">
        <v>31.45</v>
      </c>
      <c r="C316" t="s">
        <v>526</v>
      </c>
      <c r="D316">
        <v>0.43</v>
      </c>
      <c r="E316" t="s">
        <v>1427</v>
      </c>
    </row>
    <row r="317" spans="1:5" x14ac:dyDescent="0.25">
      <c r="A317" t="s">
        <v>777</v>
      </c>
      <c r="B317">
        <v>24.56</v>
      </c>
      <c r="C317" t="s">
        <v>526</v>
      </c>
      <c r="D317">
        <v>0.37</v>
      </c>
      <c r="E317" t="s">
        <v>1429</v>
      </c>
    </row>
    <row r="318" spans="1:5" x14ac:dyDescent="0.25">
      <c r="A318" t="s">
        <v>780</v>
      </c>
      <c r="B318">
        <v>18.920000000000002</v>
      </c>
      <c r="C318" t="s">
        <v>526</v>
      </c>
      <c r="D318">
        <v>0.31</v>
      </c>
      <c r="E318" t="s">
        <v>1429</v>
      </c>
    </row>
    <row r="319" spans="1:5" x14ac:dyDescent="0.25">
      <c r="A319" t="s">
        <v>695</v>
      </c>
      <c r="B319">
        <v>8.92</v>
      </c>
      <c r="C319" t="s">
        <v>526</v>
      </c>
      <c r="D319">
        <v>0.18</v>
      </c>
      <c r="E319" t="s">
        <v>1430</v>
      </c>
    </row>
    <row r="320" spans="1:5" x14ac:dyDescent="0.25">
      <c r="A320" t="s">
        <v>6</v>
      </c>
      <c r="B320">
        <v>3.21</v>
      </c>
      <c r="C320">
        <v>2.5000000000000001E-2</v>
      </c>
      <c r="D320">
        <v>7.0000000000000007E-2</v>
      </c>
      <c r="E320" t="s">
        <v>1431</v>
      </c>
    </row>
    <row r="323" spans="1:14" x14ac:dyDescent="0.25">
      <c r="A323" t="s">
        <v>1050</v>
      </c>
    </row>
    <row r="324" spans="1:14" x14ac:dyDescent="0.25">
      <c r="A324" s="304" t="s">
        <v>1432</v>
      </c>
      <c r="B324" s="232"/>
      <c r="C324" s="232"/>
      <c r="D324" s="232"/>
      <c r="E324" s="232"/>
      <c r="F324" s="232"/>
      <c r="G324" s="232"/>
      <c r="H324" s="232"/>
      <c r="I324" s="232"/>
      <c r="J324" s="232"/>
      <c r="K324" s="232"/>
      <c r="L324" s="232"/>
      <c r="M324" s="232"/>
      <c r="N324" s="232"/>
    </row>
    <row r="325" spans="1:14" x14ac:dyDescent="0.25">
      <c r="A325" t="s">
        <v>1050</v>
      </c>
    </row>
    <row r="327" spans="1:14" ht="16.5" x14ac:dyDescent="0.3">
      <c r="A327" s="34" t="s">
        <v>1433</v>
      </c>
    </row>
    <row r="329" spans="1:14" x14ac:dyDescent="0.25">
      <c r="A329" t="s">
        <v>1434</v>
      </c>
    </row>
    <row r="330" spans="1:14" x14ac:dyDescent="0.25">
      <c r="A330" s="96" t="s">
        <v>1435</v>
      </c>
    </row>
    <row r="331" spans="1:14" x14ac:dyDescent="0.25">
      <c r="A331" s="100" t="s">
        <v>1436</v>
      </c>
    </row>
    <row r="332" spans="1:14" x14ac:dyDescent="0.25">
      <c r="A332" s="97" t="s">
        <v>1437</v>
      </c>
    </row>
    <row r="333" spans="1:14" x14ac:dyDescent="0.25">
      <c r="A333" s="98" t="s">
        <v>1438</v>
      </c>
    </row>
    <row r="335" spans="1:14" x14ac:dyDescent="0.25">
      <c r="A335" t="s">
        <v>1439</v>
      </c>
    </row>
    <row r="336" spans="1:14" x14ac:dyDescent="0.25">
      <c r="A336" t="s">
        <v>1440</v>
      </c>
    </row>
    <row r="337" spans="1:1" x14ac:dyDescent="0.25">
      <c r="A337" t="s">
        <v>1441</v>
      </c>
    </row>
    <row r="338" spans="1:1" x14ac:dyDescent="0.25">
      <c r="A338" t="s">
        <v>1442</v>
      </c>
    </row>
    <row r="340" spans="1:1" x14ac:dyDescent="0.25">
      <c r="A340" t="s">
        <v>1443</v>
      </c>
    </row>
    <row r="341" spans="1:1" x14ac:dyDescent="0.25">
      <c r="A341" t="s">
        <v>1444</v>
      </c>
    </row>
    <row r="342" spans="1:1" x14ac:dyDescent="0.25">
      <c r="A342" t="s">
        <v>1445</v>
      </c>
    </row>
    <row r="343" spans="1:1" x14ac:dyDescent="0.25">
      <c r="A343" t="s">
        <v>1446</v>
      </c>
    </row>
    <row r="344" spans="1:1" x14ac:dyDescent="0.25">
      <c r="A344" t="s">
        <v>1447</v>
      </c>
    </row>
    <row r="345" spans="1:1" x14ac:dyDescent="0.25">
      <c r="A345" t="s">
        <v>1448</v>
      </c>
    </row>
    <row r="348" spans="1:1" ht="16.5" x14ac:dyDescent="0.3">
      <c r="A348" s="34" t="s">
        <v>1449</v>
      </c>
    </row>
    <row r="350" spans="1:1" x14ac:dyDescent="0.25">
      <c r="A350" s="7" t="s">
        <v>1450</v>
      </c>
    </row>
    <row r="351" spans="1:1" x14ac:dyDescent="0.25">
      <c r="A351" t="s">
        <v>1451</v>
      </c>
    </row>
    <row r="352" spans="1:1" x14ac:dyDescent="0.25">
      <c r="A352" t="s">
        <v>1452</v>
      </c>
    </row>
    <row r="354" spans="1:14" x14ac:dyDescent="0.25">
      <c r="A354" s="7" t="s">
        <v>1453</v>
      </c>
    </row>
    <row r="355" spans="1:14" x14ac:dyDescent="0.25">
      <c r="A355" t="s">
        <v>1454</v>
      </c>
    </row>
    <row r="356" spans="1:14" x14ac:dyDescent="0.25">
      <c r="A356" s="96" t="s">
        <v>1455</v>
      </c>
    </row>
    <row r="357" spans="1:14" x14ac:dyDescent="0.25">
      <c r="A357" t="s">
        <v>1456</v>
      </c>
    </row>
    <row r="358" spans="1:14" x14ac:dyDescent="0.25">
      <c r="A358" s="100" t="s">
        <v>1457</v>
      </c>
    </row>
    <row r="360" spans="1:14" x14ac:dyDescent="0.25">
      <c r="A360" s="7" t="s">
        <v>1458</v>
      </c>
    </row>
    <row r="361" spans="1:14" x14ac:dyDescent="0.25">
      <c r="A361" t="s">
        <v>1459</v>
      </c>
    </row>
    <row r="362" spans="1:14" x14ac:dyDescent="0.25">
      <c r="A362" t="s">
        <v>1460</v>
      </c>
    </row>
    <row r="363" spans="1:14" x14ac:dyDescent="0.25">
      <c r="A363" t="s">
        <v>1461</v>
      </c>
    </row>
    <row r="364" spans="1:14" x14ac:dyDescent="0.25">
      <c r="A364" t="s">
        <v>1462</v>
      </c>
    </row>
    <row r="367" spans="1:14" x14ac:dyDescent="0.25">
      <c r="A367" t="s">
        <v>1050</v>
      </c>
    </row>
    <row r="368" spans="1:14" x14ac:dyDescent="0.25">
      <c r="A368" s="304" t="s">
        <v>1463</v>
      </c>
      <c r="B368" s="232"/>
      <c r="C368" s="232"/>
      <c r="D368" s="232"/>
      <c r="E368" s="232"/>
      <c r="F368" s="232"/>
      <c r="G368" s="232"/>
      <c r="H368" s="232"/>
      <c r="I368" s="232"/>
      <c r="J368" s="232"/>
      <c r="K368" s="232"/>
      <c r="L368" s="232"/>
      <c r="M368" s="232"/>
      <c r="N368" s="232"/>
    </row>
    <row r="369" spans="1:2" x14ac:dyDescent="0.25">
      <c r="A369" t="s">
        <v>1050</v>
      </c>
    </row>
    <row r="371" spans="1:2" x14ac:dyDescent="0.25">
      <c r="A371" s="7" t="s">
        <v>1484</v>
      </c>
    </row>
    <row r="373" spans="1:2" x14ac:dyDescent="0.25">
      <c r="A373" s="39" t="s">
        <v>180</v>
      </c>
      <c r="B373" s="39" t="s">
        <v>181</v>
      </c>
    </row>
    <row r="374" spans="1:2" x14ac:dyDescent="0.25">
      <c r="A374" t="s">
        <v>252</v>
      </c>
      <c r="B374">
        <f>COUNTA('Dermatoses Bulleuses CNHU HKM'!A:A)-1</f>
        <v>130</v>
      </c>
    </row>
    <row r="375" spans="1:2" x14ac:dyDescent="0.25">
      <c r="A375" t="s">
        <v>253</v>
      </c>
      <c r="B375">
        <f>ROUND(AVERAGE('Dermatoses Bulleuses CNHU HKM'!F:F),2)</f>
        <v>36.090000000000003</v>
      </c>
    </row>
    <row r="376" spans="1:2" x14ac:dyDescent="0.25">
      <c r="A376" t="s">
        <v>254</v>
      </c>
      <c r="B376">
        <f>MEDIAN('Dermatoses Bulleuses CNHU HKM'!F:F)</f>
        <v>33</v>
      </c>
    </row>
    <row r="377" spans="1:2" x14ac:dyDescent="0.25">
      <c r="A377" t="s">
        <v>1040</v>
      </c>
      <c r="B377">
        <f>ROUND(AVERAGE('Dermatoses Bulleuses CNHU HKM'!N:N),2)</f>
        <v>24.85</v>
      </c>
    </row>
    <row r="378" spans="1:2" x14ac:dyDescent="0.25">
      <c r="A378" t="s">
        <v>1041</v>
      </c>
      <c r="B378">
        <f>ROUND(AVERAGE('Dermatoses Bulleuses CNHU HKM'!J:J),2)</f>
        <v>141.34</v>
      </c>
    </row>
    <row r="379" spans="1:2" x14ac:dyDescent="0.25">
      <c r="A379" t="s">
        <v>1485</v>
      </c>
      <c r="B379">
        <f>COUNTIF('Dermatoses Bulleuses CNHU HKM'!G:G,"Femme")</f>
        <v>74</v>
      </c>
    </row>
    <row r="380" spans="1:2" x14ac:dyDescent="0.25">
      <c r="A380" t="s">
        <v>682</v>
      </c>
      <c r="B380" t="str">
        <f>ROUND(B379/B374*100,2)&amp;"%"</f>
        <v>56.92%</v>
      </c>
    </row>
    <row r="381" spans="1:2" x14ac:dyDescent="0.25">
      <c r="A381" t="s">
        <v>1486</v>
      </c>
      <c r="B381">
        <f>COUNTIF('Dermatoses Bulleuses CNHU HKM'!K:K,"Oui")</f>
        <v>68</v>
      </c>
    </row>
    <row r="382" spans="1:2" x14ac:dyDescent="0.25">
      <c r="A382" t="s">
        <v>683</v>
      </c>
      <c r="B382" t="str">
        <f>ROUND(B381/B374*100,2)&amp;"%"</f>
        <v>52.31%</v>
      </c>
    </row>
    <row r="383" spans="1:2" x14ac:dyDescent="0.25">
      <c r="A383" t="s">
        <v>1487</v>
      </c>
      <c r="B383">
        <f>COUNTIF('Dermatoses Bulleuses CNHU HKM'!Q:Q,"Toxidermie")</f>
        <v>75</v>
      </c>
    </row>
    <row r="384" spans="1:2" x14ac:dyDescent="0.25">
      <c r="A384" t="s">
        <v>1488</v>
      </c>
      <c r="B384">
        <f>COUNTIF('Dermatoses Bulleuses CNHU HKM'!Q:Q,"Auto-immune")</f>
        <v>31</v>
      </c>
    </row>
    <row r="385" spans="1:2" x14ac:dyDescent="0.25">
      <c r="A385" t="s">
        <v>1489</v>
      </c>
      <c r="B385">
        <f>COUNTIF('Dermatoses Bulleuses CNHU HKM'!Q:Q,"Infectieuse")</f>
        <v>19</v>
      </c>
    </row>
    <row r="386" spans="1:2" x14ac:dyDescent="0.25">
      <c r="A386" t="s">
        <v>1490</v>
      </c>
      <c r="B386">
        <f>COUNTIF('Dermatoses Bulleuses CNHU HKM'!Q:Q,"Immunoallergique")</f>
        <v>5</v>
      </c>
    </row>
    <row r="387" spans="1:2" x14ac:dyDescent="0.25">
      <c r="A387" t="s">
        <v>1491</v>
      </c>
      <c r="B387">
        <f>COUNTIF('Dermatoses Bulleuses CNHU HKM'!T:T,"Syndrome de Stevens Johnson")</f>
        <v>20</v>
      </c>
    </row>
    <row r="388" spans="1:2" x14ac:dyDescent="0.25">
      <c r="A388" t="s">
        <v>1492</v>
      </c>
      <c r="B388">
        <f>COUNTIF('Dermatoses Bulleuses CNHU HKM'!T:T,"Syndrome de Lyell")</f>
        <v>15</v>
      </c>
    </row>
    <row r="389" spans="1:2" x14ac:dyDescent="0.25">
      <c r="A389" t="s">
        <v>1493</v>
      </c>
      <c r="B389">
        <f>COUNTIF('Dermatoses Bulleuses CNHU HKM'!T:T,"EPF Bulleux")</f>
        <v>25</v>
      </c>
    </row>
    <row r="390" spans="1:2" x14ac:dyDescent="0.25">
      <c r="A390" s="96" t="s">
        <v>1494</v>
      </c>
      <c r="B390" s="96">
        <f>B387+B388</f>
        <v>35</v>
      </c>
    </row>
    <row r="391" spans="1:2" x14ac:dyDescent="0.25">
      <c r="A391" s="96" t="s">
        <v>1495</v>
      </c>
      <c r="B391" s="96" t="str">
        <f>ROUND(B390/B374*100,2)&amp;"%"</f>
        <v>26.92%</v>
      </c>
    </row>
  </sheetData>
  <mergeCells count="29">
    <mergeCell ref="A86:N86"/>
    <mergeCell ref="A1:N1"/>
    <mergeCell ref="A2:N2"/>
    <mergeCell ref="A3:N3"/>
    <mergeCell ref="A6:N6"/>
    <mergeCell ref="A39:N39"/>
    <mergeCell ref="A50:N50"/>
    <mergeCell ref="A51:N51"/>
    <mergeCell ref="A55:N55"/>
    <mergeCell ref="A58:N58"/>
    <mergeCell ref="A67:N67"/>
    <mergeCell ref="A83:N83"/>
    <mergeCell ref="A231:N231"/>
    <mergeCell ref="A107:N107"/>
    <mergeCell ref="A110:N110"/>
    <mergeCell ref="A120:N120"/>
    <mergeCell ref="A121:N121"/>
    <mergeCell ref="A133:N133"/>
    <mergeCell ref="A146:N146"/>
    <mergeCell ref="A176:N176"/>
    <mergeCell ref="A192:N192"/>
    <mergeCell ref="A201:N201"/>
    <mergeCell ref="A212:N212"/>
    <mergeCell ref="A215:N215"/>
    <mergeCell ref="A256:N256"/>
    <mergeCell ref="A273:N273"/>
    <mergeCell ref="A295:N295"/>
    <mergeCell ref="A324:N324"/>
    <mergeCell ref="A368:N36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012617-2BDE-43A3-AF59-9F780597D9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Dermatoses Bulleuses CNHU HKM</vt:lpstr>
      <vt:lpstr>Rapport_Etude</vt:lpstr>
      <vt:lpstr>Rapport_Complet</vt:lpstr>
      <vt:lpstr>Analyse_Statistique</vt:lpstr>
      <vt:lpstr>Statistic_Analysis</vt:lpstr>
      <vt:lpstr>Clustering_Analysis</vt:lpstr>
      <vt:lpstr>Hierachical_Analysis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Olivier KEYA</dc:creator>
  <cp:lastModifiedBy>Raymond Olivier KEYA</cp:lastModifiedBy>
  <dcterms:created xsi:type="dcterms:W3CDTF">2026-04-17T13:16:15Z</dcterms:created>
  <dcterms:modified xsi:type="dcterms:W3CDTF">2026-04-19T05:50:30Z</dcterms:modified>
</cp:coreProperties>
</file>