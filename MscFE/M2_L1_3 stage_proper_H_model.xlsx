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 stage full H model" sheetId="1" r:id="rId4"/>
  </sheets>
  <definedNames/>
  <calcPr/>
</workbook>
</file>

<file path=xl/sharedStrings.xml><?xml version="1.0" encoding="utf-8"?>
<sst xmlns="http://schemas.openxmlformats.org/spreadsheetml/2006/main" count="26" uniqueCount="22">
  <si>
    <t>Current PQR share value</t>
  </si>
  <si>
    <t>Last dividend paid</t>
  </si>
  <si>
    <t xml:space="preserve"> </t>
  </si>
  <si>
    <t>High growth rate</t>
  </si>
  <si>
    <t>Period in high growth</t>
  </si>
  <si>
    <t>Do not change</t>
  </si>
  <si>
    <t>To change this one you need to change the table below</t>
  </si>
  <si>
    <t>Stable growth rate</t>
  </si>
  <si>
    <t>Time to linearly decline from high to stable growth</t>
  </si>
  <si>
    <t>discount rate/cost of equity</t>
  </si>
  <si>
    <t>Time</t>
  </si>
  <si>
    <t>D_t of V_t</t>
  </si>
  <si>
    <t>Value</t>
  </si>
  <si>
    <t>PV discounted at cost of equity</t>
  </si>
  <si>
    <t>D_1</t>
  </si>
  <si>
    <t>D_2</t>
  </si>
  <si>
    <t>D_3</t>
  </si>
  <si>
    <t>D_4</t>
  </si>
  <si>
    <t>D_5</t>
  </si>
  <si>
    <t>V_5</t>
  </si>
  <si>
    <t>P_0</t>
  </si>
  <si>
    <t>Note: V_5 was calculated using the H model as if year 5 was the first year.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</si>
</sst>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00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164" xfId="0" applyFont="1" applyNumberFormat="1"/>
    <xf borderId="0" fillId="0" fontId="1" numFmtId="164" xfId="0" applyAlignment="1" applyFont="1" applyNumberFormat="1">
      <alignment readingOrder="0"/>
    </xf>
    <xf borderId="1" fillId="0" fontId="1" numFmtId="164" xfId="0" applyBorder="1" applyFont="1" applyNumberFormat="1"/>
    <xf borderId="0" fillId="0" fontId="4" numFmtId="164" xfId="0" applyFont="1" applyNumberForma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88"/>
  </cols>
  <sheetData>
    <row r="2">
      <c r="A2" s="1" t="s">
        <v>0</v>
      </c>
      <c r="B2" s="1">
        <v>27.14</v>
      </c>
    </row>
    <row r="3">
      <c r="A3" s="1" t="s">
        <v>1</v>
      </c>
      <c r="B3" s="2">
        <v>0.55</v>
      </c>
      <c r="C3" s="1" t="s">
        <v>2</v>
      </c>
    </row>
    <row r="4">
      <c r="A4" s="1" t="s">
        <v>3</v>
      </c>
      <c r="B4" s="3">
        <v>0.1</v>
      </c>
      <c r="C4" s="1" t="s">
        <v>2</v>
      </c>
    </row>
    <row r="5">
      <c r="A5" s="1" t="s">
        <v>4</v>
      </c>
      <c r="B5" s="1">
        <v>5.0</v>
      </c>
      <c r="C5" s="4" t="s">
        <v>5</v>
      </c>
      <c r="D5" s="1" t="s">
        <v>6</v>
      </c>
    </row>
    <row r="6">
      <c r="A6" s="1" t="s">
        <v>7</v>
      </c>
      <c r="B6" s="3">
        <v>0.05</v>
      </c>
      <c r="C6" s="1" t="s">
        <v>2</v>
      </c>
    </row>
    <row r="7">
      <c r="A7" s="1" t="s">
        <v>8</v>
      </c>
      <c r="B7" s="1">
        <v>10.0</v>
      </c>
      <c r="C7" s="1" t="s">
        <v>2</v>
      </c>
    </row>
    <row r="8">
      <c r="A8" s="1" t="s">
        <v>9</v>
      </c>
      <c r="B8" s="3">
        <v>0.085</v>
      </c>
    </row>
    <row r="12">
      <c r="D12" s="1" t="s">
        <v>10</v>
      </c>
      <c r="E12" s="1" t="s">
        <v>11</v>
      </c>
      <c r="F12" s="1" t="s">
        <v>12</v>
      </c>
      <c r="G12" s="1" t="s">
        <v>13</v>
      </c>
    </row>
    <row r="13">
      <c r="D13" s="1">
        <v>1.0</v>
      </c>
      <c r="E13" s="1" t="s">
        <v>14</v>
      </c>
      <c r="F13" s="5">
        <f t="shared" ref="F13:F17" si="1">$B$3*(1+$B$4)^D13</f>
        <v>0.605</v>
      </c>
      <c r="G13" s="5">
        <f t="shared" ref="G13:G18" si="2">F13/(1+$B$8)^D13</f>
        <v>0.5576036866</v>
      </c>
    </row>
    <row r="14">
      <c r="D14" s="1">
        <v>2.0</v>
      </c>
      <c r="E14" s="1" t="s">
        <v>15</v>
      </c>
      <c r="F14" s="5">
        <f t="shared" si="1"/>
        <v>0.6655</v>
      </c>
      <c r="G14" s="5">
        <f t="shared" si="2"/>
        <v>0.5653124934</v>
      </c>
    </row>
    <row r="15">
      <c r="D15" s="1">
        <v>3.0</v>
      </c>
      <c r="E15" s="1" t="s">
        <v>16</v>
      </c>
      <c r="F15" s="5">
        <f t="shared" si="1"/>
        <v>0.73205</v>
      </c>
      <c r="G15" s="5">
        <f t="shared" si="2"/>
        <v>0.5731278735</v>
      </c>
    </row>
    <row r="16">
      <c r="D16" s="1">
        <v>4.0</v>
      </c>
      <c r="E16" s="1" t="s">
        <v>17</v>
      </c>
      <c r="F16" s="5">
        <f t="shared" si="1"/>
        <v>0.805255</v>
      </c>
      <c r="G16" s="5">
        <f t="shared" si="2"/>
        <v>0.5810513003</v>
      </c>
    </row>
    <row r="17">
      <c r="D17" s="1">
        <v>5.0</v>
      </c>
      <c r="E17" s="1" t="s">
        <v>18</v>
      </c>
      <c r="F17" s="5">
        <f t="shared" si="1"/>
        <v>0.8857805</v>
      </c>
      <c r="G17" s="5">
        <f t="shared" si="2"/>
        <v>0.5890842676</v>
      </c>
    </row>
    <row r="18">
      <c r="D18" s="1">
        <v>5.0</v>
      </c>
      <c r="E18" s="1" t="s">
        <v>19</v>
      </c>
      <c r="F18" s="6">
        <f>F17*(1+B6)/(B8-B6)+F17*(B7/2)*(B4-B6)/(B8-B6)</f>
        <v>32.90041857</v>
      </c>
      <c r="G18" s="7">
        <f t="shared" si="2"/>
        <v>21.8802728</v>
      </c>
    </row>
    <row r="19">
      <c r="F19" s="1" t="s">
        <v>2</v>
      </c>
      <c r="G19" s="8">
        <f>SUM(G13:G18)</f>
        <v>24.74645242</v>
      </c>
      <c r="H19" s="9" t="s">
        <v>20</v>
      </c>
    </row>
    <row r="21">
      <c r="D21" s="1" t="s">
        <v>21</v>
      </c>
    </row>
  </sheetData>
  <drawing r:id="rId1"/>
</worksheet>
</file>