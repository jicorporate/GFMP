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GM H model" sheetId="1" r:id="rId4"/>
  </sheets>
  <definedNames/>
  <calcPr/>
  <extLst>
    <ext uri="GoogleSheetsCustomDataVersion2">
      <go:sheetsCustomData xmlns:go="http://customooxmlschemas.google.com/" r:id="rId5" roundtripDataChecksum="cbLk3oc+fcKYLB3j9iXxHS8HTmoT/npljt5DrQueb4A="/>
    </ext>
  </extLst>
</workbook>
</file>

<file path=xl/sharedStrings.xml><?xml version="1.0" encoding="utf-8"?>
<sst xmlns="http://schemas.openxmlformats.org/spreadsheetml/2006/main" count="18" uniqueCount="18">
  <si>
    <t>Description</t>
  </si>
  <si>
    <t>Name of variable</t>
  </si>
  <si>
    <t>Values</t>
  </si>
  <si>
    <t>Current share price</t>
  </si>
  <si>
    <t>P</t>
  </si>
  <si>
    <t>Cost of equity</t>
  </si>
  <si>
    <t>k</t>
  </si>
  <si>
    <t>Last dividend paid</t>
  </si>
  <si>
    <t>D_0</t>
  </si>
  <si>
    <t>growth rate stage 1</t>
  </si>
  <si>
    <t>g_H</t>
  </si>
  <si>
    <t>growth rate stage 3</t>
  </si>
  <si>
    <t>g_L</t>
  </si>
  <si>
    <t>years of linear decline</t>
  </si>
  <si>
    <t>H</t>
  </si>
  <si>
    <t>fair value</t>
  </si>
  <si>
    <t>P_0</t>
  </si>
  <si>
    <t>Over/Under valued?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</si>
</sst>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9" xfId="0" applyFont="1" applyNumberFormat="1"/>
    <xf borderId="0" fillId="0" fontId="1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15.3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3">
        <v>34.0</v>
      </c>
    </row>
    <row r="3" ht="15.75" customHeight="1">
      <c r="A3" s="2" t="s">
        <v>5</v>
      </c>
      <c r="B3" s="2" t="s">
        <v>6</v>
      </c>
      <c r="C3" s="4">
        <v>0.095</v>
      </c>
    </row>
    <row r="4" ht="15.75" customHeight="1">
      <c r="A4" s="2" t="s">
        <v>7</v>
      </c>
      <c r="B4" s="2" t="s">
        <v>8</v>
      </c>
      <c r="C4" s="3">
        <v>1.85</v>
      </c>
    </row>
    <row r="5" ht="15.75" customHeight="1">
      <c r="A5" s="2" t="s">
        <v>9</v>
      </c>
      <c r="B5" s="2" t="s">
        <v>10</v>
      </c>
      <c r="C5" s="5">
        <v>0.07</v>
      </c>
    </row>
    <row r="6" ht="15.75" customHeight="1">
      <c r="A6" s="2" t="s">
        <v>11</v>
      </c>
      <c r="B6" s="2" t="s">
        <v>12</v>
      </c>
      <c r="C6" s="5">
        <v>0.03</v>
      </c>
    </row>
    <row r="7" ht="15.75" customHeight="1">
      <c r="A7" s="2" t="s">
        <v>13</v>
      </c>
      <c r="B7" s="2" t="s">
        <v>14</v>
      </c>
      <c r="C7" s="2">
        <v>10.0</v>
      </c>
    </row>
    <row r="8" ht="15.75" customHeight="1"/>
    <row r="9" ht="15.75" customHeight="1">
      <c r="A9" s="1" t="s">
        <v>15</v>
      </c>
      <c r="B9" s="2" t="s">
        <v>16</v>
      </c>
      <c r="C9" s="6">
        <f>C4/(C3-C6)*((1+C6)+C7/2*(C5-C6))</f>
        <v>35.00769231</v>
      </c>
    </row>
    <row r="10" ht="15.75" customHeight="1">
      <c r="A10" s="2" t="s">
        <v>17</v>
      </c>
      <c r="C10" s="7" t="str">
        <f>IF(C9=C2,"Fairly Values", IF(C9&lt;C2,"Overvalued", "Undervalued"))</f>
        <v>Undervalued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