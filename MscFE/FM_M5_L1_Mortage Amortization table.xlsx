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tiso\Desktop\"/>
    </mc:Choice>
  </mc:AlternateContent>
  <xr:revisionPtr revIDLastSave="0" documentId="8_{DAFFC3D1-06EE-40FD-AA03-93C5E76CBF13}" xr6:coauthVersionLast="47" xr6:coauthVersionMax="47" xr10:uidLastSave="{00000000-0000-0000-0000-000000000000}"/>
  <bookViews>
    <workbookView xWindow="2330" yWindow="870" windowWidth="19070" windowHeight="11170" xr2:uid="{00000000-000D-0000-FFFF-FFFF00000000}"/>
  </bookViews>
  <sheets>
    <sheet name="mtgage amortiz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15" i="1"/>
  <c r="E1" i="1"/>
  <c r="B18" i="1"/>
  <c r="B17" i="1"/>
  <c r="B16" i="1"/>
  <c r="D15" i="1"/>
  <c r="E4" i="1"/>
  <c r="C15" i="1" s="1"/>
  <c r="E3" i="1"/>
  <c r="C3" i="1"/>
  <c r="F7" i="1" l="1"/>
  <c r="G15" i="1" s="1"/>
  <c r="F15" i="1"/>
  <c r="B19" i="1"/>
  <c r="C18" i="1"/>
  <c r="C17" i="1"/>
  <c r="C16" i="1"/>
  <c r="H15" i="1" l="1"/>
  <c r="D16" i="1" s="1"/>
  <c r="F16" i="1" s="1"/>
  <c r="B20" i="1"/>
  <c r="C19" i="1"/>
  <c r="G16" i="1" l="1"/>
  <c r="B21" i="1"/>
  <c r="C20" i="1"/>
  <c r="H16" i="1" l="1"/>
  <c r="D17" i="1" s="1"/>
  <c r="F17" i="1" s="1"/>
  <c r="G17" i="1" s="1"/>
  <c r="H17" i="1" s="1"/>
  <c r="D18" i="1" s="1"/>
  <c r="B22" i="1"/>
  <c r="C21" i="1"/>
  <c r="F18" i="1"/>
  <c r="G18" i="1" l="1"/>
  <c r="B23" i="1"/>
  <c r="C22" i="1"/>
  <c r="C23" i="1" l="1"/>
  <c r="B24" i="1"/>
  <c r="H18" i="1"/>
  <c r="D19" i="1" s="1"/>
  <c r="C24" i="1" l="1"/>
  <c r="B25" i="1"/>
  <c r="F19" i="1"/>
  <c r="G19" i="1" s="1"/>
  <c r="H19" i="1"/>
  <c r="D20" i="1" s="1"/>
  <c r="F20" i="1" l="1"/>
  <c r="G20" i="1" s="1"/>
  <c r="H20" i="1" s="1"/>
  <c r="D21" i="1" s="1"/>
  <c r="C25" i="1"/>
  <c r="B26" i="1"/>
  <c r="F21" i="1" l="1"/>
  <c r="G21" i="1" s="1"/>
  <c r="H21" i="1" s="1"/>
  <c r="D22" i="1" s="1"/>
  <c r="C26" i="1"/>
  <c r="B27" i="1"/>
  <c r="F22" i="1" l="1"/>
  <c r="G22" i="1" s="1"/>
  <c r="H22" i="1" s="1"/>
  <c r="D23" i="1" s="1"/>
  <c r="C27" i="1"/>
  <c r="B28" i="1"/>
  <c r="F23" i="1" l="1"/>
  <c r="G23" i="1" s="1"/>
  <c r="H23" i="1" s="1"/>
  <c r="D24" i="1" s="1"/>
  <c r="B29" i="1"/>
  <c r="C28" i="1"/>
  <c r="B30" i="1" l="1"/>
  <c r="C29" i="1"/>
  <c r="F24" i="1"/>
  <c r="G24" i="1" s="1"/>
  <c r="H24" i="1" s="1"/>
  <c r="D25" i="1" s="1"/>
  <c r="F25" i="1" l="1"/>
  <c r="G25" i="1" s="1"/>
  <c r="H25" i="1" s="1"/>
  <c r="D26" i="1" s="1"/>
  <c r="B31" i="1"/>
  <c r="C30" i="1"/>
  <c r="F26" i="1" l="1"/>
  <c r="G26" i="1" s="1"/>
  <c r="H26" i="1" s="1"/>
  <c r="D27" i="1" s="1"/>
  <c r="C31" i="1"/>
  <c r="B32" i="1"/>
  <c r="F27" i="1" l="1"/>
  <c r="G27" i="1" s="1"/>
  <c r="H27" i="1" s="1"/>
  <c r="D28" i="1" s="1"/>
  <c r="C32" i="1"/>
  <c r="B33" i="1"/>
  <c r="F28" i="1" l="1"/>
  <c r="G28" i="1" s="1"/>
  <c r="H28" i="1" s="1"/>
  <c r="D29" i="1" s="1"/>
  <c r="C33" i="1"/>
  <c r="B34" i="1"/>
  <c r="F29" i="1" l="1"/>
  <c r="G29" i="1" s="1"/>
  <c r="H29" i="1" s="1"/>
  <c r="D30" i="1" s="1"/>
  <c r="C34" i="1"/>
  <c r="B35" i="1"/>
  <c r="F30" i="1" l="1"/>
  <c r="G30" i="1" s="1"/>
  <c r="H30" i="1" s="1"/>
  <c r="D31" i="1" s="1"/>
  <c r="B36" i="1"/>
  <c r="C35" i="1"/>
  <c r="C36" i="1" l="1"/>
  <c r="B37" i="1"/>
  <c r="F31" i="1"/>
  <c r="G31" i="1" s="1"/>
  <c r="H31" i="1" s="1"/>
  <c r="D32" i="1" s="1"/>
  <c r="F32" i="1" l="1"/>
  <c r="G32" i="1" s="1"/>
  <c r="H32" i="1" s="1"/>
  <c r="D33" i="1" s="1"/>
  <c r="B38" i="1"/>
  <c r="C37" i="1"/>
  <c r="C38" i="1" l="1"/>
  <c r="B39" i="1"/>
  <c r="F33" i="1"/>
  <c r="G33" i="1" s="1"/>
  <c r="H33" i="1" s="1"/>
  <c r="D34" i="1" s="1"/>
  <c r="F34" i="1" l="1"/>
  <c r="G34" i="1" s="1"/>
  <c r="H34" i="1" s="1"/>
  <c r="D35" i="1" s="1"/>
  <c r="C39" i="1"/>
  <c r="B40" i="1"/>
  <c r="F35" i="1" l="1"/>
  <c r="G35" i="1" s="1"/>
  <c r="H35" i="1" s="1"/>
  <c r="D36" i="1" s="1"/>
  <c r="C40" i="1"/>
  <c r="B41" i="1"/>
  <c r="F36" i="1" l="1"/>
  <c r="G36" i="1" s="1"/>
  <c r="H36" i="1" s="1"/>
  <c r="D37" i="1" s="1"/>
  <c r="C41" i="1"/>
  <c r="B42" i="1"/>
  <c r="F37" i="1" l="1"/>
  <c r="G37" i="1" s="1"/>
  <c r="H37" i="1" s="1"/>
  <c r="D38" i="1" s="1"/>
  <c r="C42" i="1"/>
  <c r="B43" i="1"/>
  <c r="F38" i="1" l="1"/>
  <c r="G38" i="1" s="1"/>
  <c r="H38" i="1" s="1"/>
  <c r="D39" i="1" s="1"/>
  <c r="C43" i="1"/>
  <c r="B44" i="1"/>
  <c r="F39" i="1" l="1"/>
  <c r="G39" i="1" s="1"/>
  <c r="H39" i="1" s="1"/>
  <c r="D40" i="1" s="1"/>
  <c r="C44" i="1"/>
  <c r="B45" i="1"/>
  <c r="F40" i="1" l="1"/>
  <c r="G40" i="1" s="1"/>
  <c r="H40" i="1" s="1"/>
  <c r="D41" i="1" s="1"/>
  <c r="C45" i="1"/>
  <c r="B46" i="1"/>
  <c r="F41" i="1" l="1"/>
  <c r="G41" i="1" s="1"/>
  <c r="H41" i="1" s="1"/>
  <c r="D42" i="1" s="1"/>
  <c r="C46" i="1"/>
  <c r="B47" i="1"/>
  <c r="F42" i="1" l="1"/>
  <c r="G42" i="1" s="1"/>
  <c r="H42" i="1" s="1"/>
  <c r="D43" i="1" s="1"/>
  <c r="B48" i="1"/>
  <c r="C47" i="1"/>
  <c r="F43" i="1" l="1"/>
  <c r="G43" i="1" s="1"/>
  <c r="H43" i="1" s="1"/>
  <c r="D44" i="1" s="1"/>
  <c r="B49" i="1"/>
  <c r="C48" i="1"/>
  <c r="F44" i="1" l="1"/>
  <c r="G44" i="1" s="1"/>
  <c r="H44" i="1" s="1"/>
  <c r="D45" i="1" s="1"/>
  <c r="C49" i="1"/>
  <c r="B50" i="1"/>
  <c r="F45" i="1" l="1"/>
  <c r="G45" i="1" s="1"/>
  <c r="H45" i="1" s="1"/>
  <c r="D46" i="1" s="1"/>
  <c r="B51" i="1"/>
  <c r="C50" i="1"/>
  <c r="F46" i="1" l="1"/>
  <c r="G46" i="1" s="1"/>
  <c r="H46" i="1" s="1"/>
  <c r="D47" i="1" s="1"/>
  <c r="C51" i="1"/>
  <c r="B52" i="1"/>
  <c r="F47" i="1" l="1"/>
  <c r="G47" i="1" s="1"/>
  <c r="H47" i="1" s="1"/>
  <c r="D48" i="1" s="1"/>
  <c r="C52" i="1"/>
  <c r="B53" i="1"/>
  <c r="F48" i="1" l="1"/>
  <c r="G48" i="1" s="1"/>
  <c r="H48" i="1" s="1"/>
  <c r="D49" i="1" s="1"/>
  <c r="B54" i="1"/>
  <c r="C53" i="1"/>
  <c r="F49" i="1" l="1"/>
  <c r="G49" i="1" s="1"/>
  <c r="H49" i="1"/>
  <c r="D50" i="1" s="1"/>
  <c r="C54" i="1"/>
  <c r="B55" i="1"/>
  <c r="C55" i="1" l="1"/>
  <c r="B56" i="1"/>
  <c r="F50" i="1"/>
  <c r="G50" i="1" s="1"/>
  <c r="H50" i="1" s="1"/>
  <c r="D51" i="1" s="1"/>
  <c r="F51" i="1" l="1"/>
  <c r="G51" i="1" s="1"/>
  <c r="H51" i="1" s="1"/>
  <c r="D52" i="1" s="1"/>
  <c r="B57" i="1"/>
  <c r="C56" i="1"/>
  <c r="F52" i="1" l="1"/>
  <c r="G52" i="1" s="1"/>
  <c r="H52" i="1" s="1"/>
  <c r="D53" i="1" s="1"/>
  <c r="B58" i="1"/>
  <c r="C57" i="1"/>
  <c r="F53" i="1" l="1"/>
  <c r="G53" i="1" s="1"/>
  <c r="H53" i="1" s="1"/>
  <c r="D54" i="1" s="1"/>
  <c r="B59" i="1"/>
  <c r="C58" i="1"/>
  <c r="F54" i="1" l="1"/>
  <c r="G54" i="1" s="1"/>
  <c r="H54" i="1" s="1"/>
  <c r="D55" i="1" s="1"/>
  <c r="B60" i="1"/>
  <c r="C59" i="1"/>
  <c r="C60" i="1" l="1"/>
  <c r="B61" i="1"/>
  <c r="F55" i="1"/>
  <c r="G55" i="1" s="1"/>
  <c r="H55" i="1" s="1"/>
  <c r="D56" i="1" s="1"/>
  <c r="F56" i="1" l="1"/>
  <c r="G56" i="1" s="1"/>
  <c r="H56" i="1" s="1"/>
  <c r="D57" i="1" s="1"/>
  <c r="C61" i="1"/>
  <c r="B62" i="1"/>
  <c r="F57" i="1" l="1"/>
  <c r="G57" i="1" s="1"/>
  <c r="H57" i="1" s="1"/>
  <c r="D58" i="1" s="1"/>
  <c r="C62" i="1"/>
  <c r="B63" i="1"/>
  <c r="F58" i="1" l="1"/>
  <c r="G58" i="1" s="1"/>
  <c r="H58" i="1" s="1"/>
  <c r="D59" i="1" s="1"/>
  <c r="C63" i="1"/>
  <c r="B64" i="1"/>
  <c r="F59" i="1" l="1"/>
  <c r="G59" i="1" s="1"/>
  <c r="H59" i="1" s="1"/>
  <c r="D60" i="1" s="1"/>
  <c r="C64" i="1"/>
  <c r="B65" i="1"/>
  <c r="F60" i="1" l="1"/>
  <c r="G60" i="1" s="1"/>
  <c r="H60" i="1" s="1"/>
  <c r="D61" i="1" s="1"/>
  <c r="C65" i="1"/>
  <c r="B66" i="1"/>
  <c r="F61" i="1" l="1"/>
  <c r="G61" i="1" s="1"/>
  <c r="H61" i="1" s="1"/>
  <c r="D62" i="1" s="1"/>
  <c r="B67" i="1"/>
  <c r="C66" i="1"/>
  <c r="F62" i="1" l="1"/>
  <c r="G62" i="1" s="1"/>
  <c r="H62" i="1" s="1"/>
  <c r="D63" i="1" s="1"/>
  <c r="B68" i="1"/>
  <c r="C67" i="1"/>
  <c r="F63" i="1" l="1"/>
  <c r="G63" i="1" s="1"/>
  <c r="H63" i="1" s="1"/>
  <c r="D64" i="1" s="1"/>
  <c r="C68" i="1"/>
  <c r="B69" i="1"/>
  <c r="F64" i="1" l="1"/>
  <c r="G64" i="1" s="1"/>
  <c r="H64" i="1" s="1"/>
  <c r="D65" i="1" s="1"/>
  <c r="C69" i="1"/>
  <c r="B70" i="1"/>
  <c r="F65" i="1" l="1"/>
  <c r="G65" i="1" s="1"/>
  <c r="H65" i="1" s="1"/>
  <c r="D66" i="1" s="1"/>
  <c r="C70" i="1"/>
  <c r="B71" i="1"/>
  <c r="F66" i="1" l="1"/>
  <c r="G66" i="1" s="1"/>
  <c r="H66" i="1" s="1"/>
  <c r="D67" i="1" s="1"/>
  <c r="C71" i="1"/>
  <c r="B72" i="1"/>
  <c r="F67" i="1" l="1"/>
  <c r="G67" i="1" s="1"/>
  <c r="H67" i="1" s="1"/>
  <c r="D68" i="1" s="1"/>
  <c r="B73" i="1"/>
  <c r="C72" i="1"/>
  <c r="F68" i="1" l="1"/>
  <c r="G68" i="1" s="1"/>
  <c r="H68" i="1" s="1"/>
  <c r="D69" i="1" s="1"/>
  <c r="C73" i="1"/>
  <c r="B74" i="1"/>
  <c r="F69" i="1" l="1"/>
  <c r="G69" i="1" s="1"/>
  <c r="H69" i="1" s="1"/>
  <c r="D70" i="1" s="1"/>
  <c r="B75" i="1"/>
  <c r="C74" i="1"/>
  <c r="F70" i="1" l="1"/>
  <c r="G70" i="1" s="1"/>
  <c r="H70" i="1" s="1"/>
  <c r="D71" i="1" s="1"/>
  <c r="B76" i="1"/>
  <c r="C75" i="1"/>
  <c r="C76" i="1" l="1"/>
  <c r="B77" i="1"/>
  <c r="F71" i="1"/>
  <c r="G71" i="1" s="1"/>
  <c r="H71" i="1" s="1"/>
  <c r="D72" i="1" s="1"/>
  <c r="F72" i="1" l="1"/>
  <c r="G72" i="1" s="1"/>
  <c r="H72" i="1" s="1"/>
  <c r="D73" i="1" s="1"/>
  <c r="C77" i="1"/>
  <c r="B78" i="1"/>
  <c r="F73" i="1" l="1"/>
  <c r="G73" i="1" s="1"/>
  <c r="H73" i="1" s="1"/>
  <c r="D74" i="1" s="1"/>
  <c r="C78" i="1"/>
  <c r="B79" i="1"/>
  <c r="C79" i="1" l="1"/>
  <c r="B80" i="1"/>
  <c r="F74" i="1"/>
  <c r="G74" i="1" s="1"/>
  <c r="H74" i="1" s="1"/>
  <c r="D75" i="1" s="1"/>
  <c r="F75" i="1" l="1"/>
  <c r="G75" i="1" s="1"/>
  <c r="H75" i="1" s="1"/>
  <c r="D76" i="1" s="1"/>
  <c r="C80" i="1"/>
  <c r="B81" i="1"/>
  <c r="F76" i="1" l="1"/>
  <c r="G76" i="1" s="1"/>
  <c r="H76" i="1" s="1"/>
  <c r="D77" i="1" s="1"/>
  <c r="C81" i="1"/>
  <c r="B82" i="1"/>
  <c r="F77" i="1" l="1"/>
  <c r="G77" i="1" s="1"/>
  <c r="H77" i="1" s="1"/>
  <c r="D78" i="1" s="1"/>
  <c r="B83" i="1"/>
  <c r="C82" i="1"/>
  <c r="F78" i="1" l="1"/>
  <c r="G78" i="1" s="1"/>
  <c r="H78" i="1" s="1"/>
  <c r="D79" i="1" s="1"/>
  <c r="B84" i="1"/>
  <c r="C83" i="1"/>
  <c r="F79" i="1" l="1"/>
  <c r="G79" i="1" s="1"/>
  <c r="H79" i="1" s="1"/>
  <c r="D80" i="1" s="1"/>
  <c r="C84" i="1"/>
  <c r="B85" i="1"/>
  <c r="F80" i="1" l="1"/>
  <c r="G80" i="1" s="1"/>
  <c r="H80" i="1" s="1"/>
  <c r="D81" i="1" s="1"/>
  <c r="C85" i="1"/>
  <c r="B86" i="1"/>
  <c r="C86" i="1" l="1"/>
  <c r="B87" i="1"/>
  <c r="F81" i="1"/>
  <c r="G81" i="1" s="1"/>
  <c r="H81" i="1" s="1"/>
  <c r="D82" i="1" s="1"/>
  <c r="F82" i="1" l="1"/>
  <c r="G82" i="1" s="1"/>
  <c r="H82" i="1" s="1"/>
  <c r="D83" i="1" s="1"/>
  <c r="C87" i="1"/>
  <c r="B88" i="1"/>
  <c r="C88" i="1" l="1"/>
  <c r="B89" i="1"/>
  <c r="F83" i="1"/>
  <c r="G83" i="1" s="1"/>
  <c r="H83" i="1" s="1"/>
  <c r="D84" i="1" s="1"/>
  <c r="C89" i="1" l="1"/>
  <c r="B90" i="1"/>
  <c r="F84" i="1"/>
  <c r="G84" i="1" s="1"/>
  <c r="H84" i="1" s="1"/>
  <c r="D85" i="1" s="1"/>
  <c r="F85" i="1" l="1"/>
  <c r="G85" i="1" s="1"/>
  <c r="H85" i="1" s="1"/>
  <c r="D86" i="1" s="1"/>
  <c r="B91" i="1"/>
  <c r="C90" i="1"/>
  <c r="F86" i="1" l="1"/>
  <c r="G86" i="1" s="1"/>
  <c r="H86" i="1" s="1"/>
  <c r="D87" i="1" s="1"/>
  <c r="B92" i="1"/>
  <c r="C91" i="1"/>
  <c r="F87" i="1" l="1"/>
  <c r="G87" i="1" s="1"/>
  <c r="H87" i="1" s="1"/>
  <c r="D88" i="1" s="1"/>
  <c r="C92" i="1"/>
  <c r="B93" i="1"/>
  <c r="F88" i="1" l="1"/>
  <c r="G88" i="1" s="1"/>
  <c r="H88" i="1" s="1"/>
  <c r="D89" i="1" s="1"/>
  <c r="C93" i="1"/>
  <c r="B94" i="1"/>
  <c r="F89" i="1" l="1"/>
  <c r="G89" i="1" s="1"/>
  <c r="H89" i="1" s="1"/>
  <c r="D90" i="1" s="1"/>
  <c r="C94" i="1"/>
  <c r="B95" i="1"/>
  <c r="F90" i="1" l="1"/>
  <c r="G90" i="1" s="1"/>
  <c r="H90" i="1" s="1"/>
  <c r="D91" i="1" s="1"/>
  <c r="C95" i="1"/>
  <c r="B96" i="1"/>
  <c r="F91" i="1" l="1"/>
  <c r="G91" i="1" s="1"/>
  <c r="H91" i="1" s="1"/>
  <c r="D92" i="1" s="1"/>
  <c r="C96" i="1"/>
  <c r="B97" i="1"/>
  <c r="F92" i="1" l="1"/>
  <c r="G92" i="1" s="1"/>
  <c r="H92" i="1" s="1"/>
  <c r="D93" i="1" s="1"/>
  <c r="C97" i="1"/>
  <c r="B98" i="1"/>
  <c r="F93" i="1" l="1"/>
  <c r="G93" i="1" s="1"/>
  <c r="H93" i="1" s="1"/>
  <c r="D94" i="1" s="1"/>
  <c r="B99" i="1"/>
  <c r="C98" i="1"/>
  <c r="F94" i="1" l="1"/>
  <c r="G94" i="1" s="1"/>
  <c r="H94" i="1" s="1"/>
  <c r="D95" i="1" s="1"/>
  <c r="B100" i="1"/>
  <c r="C99" i="1"/>
  <c r="F95" i="1" l="1"/>
  <c r="G95" i="1" s="1"/>
  <c r="H95" i="1" s="1"/>
  <c r="D96" i="1" s="1"/>
  <c r="C100" i="1"/>
  <c r="B101" i="1"/>
  <c r="F96" i="1" l="1"/>
  <c r="G96" i="1" s="1"/>
  <c r="H96" i="1" s="1"/>
  <c r="D97" i="1" s="1"/>
  <c r="C101" i="1"/>
  <c r="B102" i="1"/>
  <c r="F97" i="1" l="1"/>
  <c r="G97" i="1" s="1"/>
  <c r="H97" i="1" s="1"/>
  <c r="D98" i="1" s="1"/>
  <c r="C102" i="1"/>
  <c r="B103" i="1"/>
  <c r="F98" i="1" l="1"/>
  <c r="G98" i="1" s="1"/>
  <c r="H98" i="1"/>
  <c r="D99" i="1" s="1"/>
  <c r="C103" i="1"/>
  <c r="B104" i="1"/>
  <c r="F99" i="1" l="1"/>
  <c r="G99" i="1" s="1"/>
  <c r="H99" i="1" s="1"/>
  <c r="D100" i="1" s="1"/>
  <c r="C104" i="1"/>
  <c r="B105" i="1"/>
  <c r="F100" i="1" l="1"/>
  <c r="G100" i="1" s="1"/>
  <c r="H100" i="1" s="1"/>
  <c r="D101" i="1" s="1"/>
  <c r="C105" i="1"/>
  <c r="B106" i="1"/>
  <c r="F101" i="1" l="1"/>
  <c r="G101" i="1" s="1"/>
  <c r="H101" i="1" s="1"/>
  <c r="D102" i="1" s="1"/>
  <c r="B107" i="1"/>
  <c r="C106" i="1"/>
  <c r="F102" i="1" l="1"/>
  <c r="G102" i="1" s="1"/>
  <c r="H102" i="1" s="1"/>
  <c r="D103" i="1" s="1"/>
  <c r="B108" i="1"/>
  <c r="C107" i="1"/>
  <c r="F103" i="1" l="1"/>
  <c r="G103" i="1" s="1"/>
  <c r="H103" i="1" s="1"/>
  <c r="D104" i="1" s="1"/>
  <c r="C108" i="1"/>
  <c r="B109" i="1"/>
  <c r="C109" i="1" l="1"/>
  <c r="B110" i="1"/>
  <c r="F104" i="1"/>
  <c r="G104" i="1" s="1"/>
  <c r="H104" i="1" s="1"/>
  <c r="D105" i="1" s="1"/>
  <c r="F105" i="1" l="1"/>
  <c r="G105" i="1" s="1"/>
  <c r="H105" i="1" s="1"/>
  <c r="D106" i="1" s="1"/>
  <c r="C110" i="1"/>
  <c r="B111" i="1"/>
  <c r="F106" i="1" l="1"/>
  <c r="G106" i="1" s="1"/>
  <c r="H106" i="1" s="1"/>
  <c r="D107" i="1" s="1"/>
  <c r="C111" i="1"/>
  <c r="B112" i="1"/>
  <c r="F107" i="1" l="1"/>
  <c r="G107" i="1" s="1"/>
  <c r="H107" i="1" s="1"/>
  <c r="D108" i="1" s="1"/>
  <c r="C112" i="1"/>
  <c r="B113" i="1"/>
  <c r="F108" i="1" l="1"/>
  <c r="G108" i="1" s="1"/>
  <c r="H108" i="1" s="1"/>
  <c r="D109" i="1" s="1"/>
  <c r="C113" i="1"/>
  <c r="B114" i="1"/>
  <c r="F109" i="1" l="1"/>
  <c r="G109" i="1" s="1"/>
  <c r="H109" i="1" s="1"/>
  <c r="D110" i="1" s="1"/>
  <c r="B115" i="1"/>
  <c r="C114" i="1"/>
  <c r="F110" i="1" l="1"/>
  <c r="G110" i="1" s="1"/>
  <c r="H110" i="1" s="1"/>
  <c r="D111" i="1" s="1"/>
  <c r="B116" i="1"/>
  <c r="C115" i="1"/>
  <c r="C116" i="1" l="1"/>
  <c r="B117" i="1"/>
  <c r="F111" i="1"/>
  <c r="G111" i="1" s="1"/>
  <c r="H111" i="1" s="1"/>
  <c r="D112" i="1" s="1"/>
  <c r="C117" i="1" l="1"/>
  <c r="B118" i="1"/>
  <c r="F112" i="1"/>
  <c r="G112" i="1" s="1"/>
  <c r="H112" i="1" s="1"/>
  <c r="D113" i="1" s="1"/>
  <c r="F113" i="1" l="1"/>
  <c r="G113" i="1" s="1"/>
  <c r="H113" i="1" s="1"/>
  <c r="D114" i="1" s="1"/>
  <c r="C118" i="1"/>
  <c r="B119" i="1"/>
  <c r="F114" i="1" l="1"/>
  <c r="G114" i="1" s="1"/>
  <c r="H114" i="1" s="1"/>
  <c r="D115" i="1" s="1"/>
  <c r="C119" i="1"/>
  <c r="B120" i="1"/>
  <c r="F115" i="1" l="1"/>
  <c r="G115" i="1" s="1"/>
  <c r="H115" i="1" s="1"/>
  <c r="D116" i="1" s="1"/>
  <c r="C120" i="1"/>
  <c r="B121" i="1"/>
  <c r="F116" i="1" l="1"/>
  <c r="G116" i="1" s="1"/>
  <c r="H116" i="1" s="1"/>
  <c r="D117" i="1" s="1"/>
  <c r="B122" i="1"/>
  <c r="C121" i="1"/>
  <c r="F117" i="1" l="1"/>
  <c r="G117" i="1" s="1"/>
  <c r="H117" i="1" s="1"/>
  <c r="D118" i="1" s="1"/>
  <c r="C122" i="1"/>
  <c r="B123" i="1"/>
  <c r="C123" i="1" l="1"/>
  <c r="B124" i="1"/>
  <c r="F118" i="1"/>
  <c r="G118" i="1" s="1"/>
  <c r="H118" i="1" s="1"/>
  <c r="D119" i="1" s="1"/>
  <c r="F119" i="1" l="1"/>
  <c r="G119" i="1" s="1"/>
  <c r="H119" i="1" s="1"/>
  <c r="D120" i="1" s="1"/>
  <c r="C124" i="1"/>
  <c r="B125" i="1"/>
  <c r="F120" i="1" l="1"/>
  <c r="G120" i="1" s="1"/>
  <c r="H120" i="1" s="1"/>
  <c r="D121" i="1" s="1"/>
  <c r="B126" i="1"/>
  <c r="C125" i="1"/>
  <c r="F121" i="1" l="1"/>
  <c r="G121" i="1" s="1"/>
  <c r="H121" i="1" s="1"/>
  <c r="D122" i="1" s="1"/>
  <c r="B127" i="1"/>
  <c r="C126" i="1"/>
  <c r="F122" i="1" l="1"/>
  <c r="G122" i="1" s="1"/>
  <c r="H122" i="1" s="1"/>
  <c r="D123" i="1" s="1"/>
  <c r="B128" i="1"/>
  <c r="C127" i="1"/>
  <c r="F123" i="1" l="1"/>
  <c r="G123" i="1" s="1"/>
  <c r="H123" i="1"/>
  <c r="D124" i="1" s="1"/>
  <c r="C128" i="1"/>
  <c r="B129" i="1"/>
  <c r="F124" i="1" l="1"/>
  <c r="G124" i="1" s="1"/>
  <c r="H124" i="1" s="1"/>
  <c r="D125" i="1" s="1"/>
  <c r="C129" i="1"/>
  <c r="B130" i="1"/>
  <c r="C130" i="1" l="1"/>
  <c r="B131" i="1"/>
  <c r="F125" i="1"/>
  <c r="G125" i="1" s="1"/>
  <c r="H125" i="1" s="1"/>
  <c r="D126" i="1" s="1"/>
  <c r="F126" i="1" l="1"/>
  <c r="G126" i="1" s="1"/>
  <c r="H126" i="1" s="1"/>
  <c r="D127" i="1" s="1"/>
  <c r="B132" i="1"/>
  <c r="C131" i="1"/>
  <c r="F127" i="1" l="1"/>
  <c r="G127" i="1" s="1"/>
  <c r="H127" i="1" s="1"/>
  <c r="D128" i="1" s="1"/>
  <c r="B133" i="1"/>
  <c r="C132" i="1"/>
  <c r="C133" i="1" l="1"/>
  <c r="B134" i="1"/>
  <c r="F128" i="1"/>
  <c r="G128" i="1" s="1"/>
  <c r="H128" i="1" s="1"/>
  <c r="D129" i="1" s="1"/>
  <c r="F129" i="1" l="1"/>
  <c r="G129" i="1" s="1"/>
  <c r="H129" i="1"/>
  <c r="D130" i="1" s="1"/>
  <c r="B135" i="1"/>
  <c r="C134" i="1"/>
  <c r="B136" i="1" l="1"/>
  <c r="C135" i="1"/>
  <c r="F130" i="1"/>
  <c r="G130" i="1" s="1"/>
  <c r="H130" i="1" s="1"/>
  <c r="D131" i="1" s="1"/>
  <c r="F131" i="1" l="1"/>
  <c r="G131" i="1" s="1"/>
  <c r="H131" i="1"/>
  <c r="D132" i="1" s="1"/>
  <c r="C136" i="1"/>
  <c r="B137" i="1"/>
  <c r="C137" i="1" l="1"/>
  <c r="B138" i="1"/>
  <c r="F132" i="1"/>
  <c r="G132" i="1" s="1"/>
  <c r="H132" i="1" s="1"/>
  <c r="D133" i="1" s="1"/>
  <c r="F133" i="1" l="1"/>
  <c r="G133" i="1" s="1"/>
  <c r="H133" i="1" s="1"/>
  <c r="D134" i="1" s="1"/>
  <c r="C138" i="1"/>
  <c r="B139" i="1"/>
  <c r="F134" i="1" l="1"/>
  <c r="G134" i="1" s="1"/>
  <c r="H134" i="1" s="1"/>
  <c r="D135" i="1" s="1"/>
  <c r="B140" i="1"/>
  <c r="C139" i="1"/>
  <c r="F135" i="1" l="1"/>
  <c r="G135" i="1" s="1"/>
  <c r="H135" i="1" s="1"/>
  <c r="D136" i="1" s="1"/>
  <c r="C140" i="1"/>
  <c r="B141" i="1"/>
  <c r="F136" i="1" l="1"/>
  <c r="G136" i="1" s="1"/>
  <c r="H136" i="1"/>
  <c r="D137" i="1" s="1"/>
  <c r="B142" i="1"/>
  <c r="C141" i="1"/>
  <c r="F137" i="1" l="1"/>
  <c r="G137" i="1" s="1"/>
  <c r="H137" i="1" s="1"/>
  <c r="D138" i="1" s="1"/>
  <c r="B143" i="1"/>
  <c r="C142" i="1"/>
  <c r="F138" i="1" l="1"/>
  <c r="G138" i="1" s="1"/>
  <c r="H138" i="1"/>
  <c r="D139" i="1" s="1"/>
  <c r="B144" i="1"/>
  <c r="C143" i="1"/>
  <c r="F139" i="1" l="1"/>
  <c r="G139" i="1" s="1"/>
  <c r="H139" i="1"/>
  <c r="D140" i="1" s="1"/>
  <c r="C144" i="1"/>
  <c r="B145" i="1"/>
  <c r="F140" i="1" l="1"/>
  <c r="G140" i="1" s="1"/>
  <c r="H140" i="1"/>
  <c r="D141" i="1" s="1"/>
  <c r="C145" i="1"/>
  <c r="B146" i="1"/>
  <c r="F141" i="1" l="1"/>
  <c r="G141" i="1" s="1"/>
  <c r="H141" i="1"/>
  <c r="D142" i="1" s="1"/>
  <c r="C146" i="1"/>
  <c r="B147" i="1"/>
  <c r="F142" i="1" l="1"/>
  <c r="G142" i="1" s="1"/>
  <c r="H142" i="1" s="1"/>
  <c r="D143" i="1" s="1"/>
  <c r="C147" i="1"/>
  <c r="B148" i="1"/>
  <c r="F143" i="1" l="1"/>
  <c r="G143" i="1" s="1"/>
  <c r="H143" i="1" s="1"/>
  <c r="D144" i="1" s="1"/>
  <c r="B149" i="1"/>
  <c r="C148" i="1"/>
  <c r="F144" i="1" l="1"/>
  <c r="G144" i="1" s="1"/>
  <c r="H144" i="1" s="1"/>
  <c r="D145" i="1" s="1"/>
  <c r="C149" i="1"/>
  <c r="B150" i="1"/>
  <c r="F145" i="1" l="1"/>
  <c r="G145" i="1" s="1"/>
  <c r="H145" i="1" s="1"/>
  <c r="D146" i="1" s="1"/>
  <c r="B151" i="1"/>
  <c r="C150" i="1"/>
  <c r="F146" i="1" l="1"/>
  <c r="G146" i="1" s="1"/>
  <c r="H146" i="1" s="1"/>
  <c r="D147" i="1" s="1"/>
  <c r="B152" i="1"/>
  <c r="C151" i="1"/>
  <c r="F147" i="1" l="1"/>
  <c r="G147" i="1" s="1"/>
  <c r="H147" i="1"/>
  <c r="D148" i="1" s="1"/>
  <c r="C152" i="1"/>
  <c r="B153" i="1"/>
  <c r="F148" i="1" l="1"/>
  <c r="G148" i="1" s="1"/>
  <c r="H148" i="1"/>
  <c r="D149" i="1" s="1"/>
  <c r="C153" i="1"/>
  <c r="B154" i="1"/>
  <c r="F149" i="1" l="1"/>
  <c r="G149" i="1" s="1"/>
  <c r="H149" i="1" s="1"/>
  <c r="D150" i="1" s="1"/>
  <c r="C154" i="1"/>
  <c r="B155" i="1"/>
  <c r="F150" i="1" l="1"/>
  <c r="G150" i="1" s="1"/>
  <c r="H150" i="1" s="1"/>
  <c r="D151" i="1" s="1"/>
  <c r="B156" i="1"/>
  <c r="C155" i="1"/>
  <c r="F151" i="1" l="1"/>
  <c r="G151" i="1" s="1"/>
  <c r="H151" i="1" s="1"/>
  <c r="D152" i="1" s="1"/>
  <c r="B157" i="1"/>
  <c r="C156" i="1"/>
  <c r="F152" i="1" l="1"/>
  <c r="G152" i="1" s="1"/>
  <c r="H152" i="1" s="1"/>
  <c r="D153" i="1" s="1"/>
  <c r="B158" i="1"/>
  <c r="C157" i="1"/>
  <c r="F153" i="1" l="1"/>
  <c r="G153" i="1" s="1"/>
  <c r="H153" i="1" s="1"/>
  <c r="D154" i="1" s="1"/>
  <c r="B159" i="1"/>
  <c r="C158" i="1"/>
  <c r="F154" i="1" l="1"/>
  <c r="G154" i="1" s="1"/>
  <c r="H154" i="1" s="1"/>
  <c r="D155" i="1" s="1"/>
  <c r="C159" i="1"/>
  <c r="B160" i="1"/>
  <c r="F155" i="1" l="1"/>
  <c r="G155" i="1" s="1"/>
  <c r="H155" i="1"/>
  <c r="D156" i="1" s="1"/>
  <c r="C160" i="1"/>
  <c r="B161" i="1"/>
  <c r="F156" i="1" l="1"/>
  <c r="G156" i="1" s="1"/>
  <c r="H156" i="1" s="1"/>
  <c r="D157" i="1" s="1"/>
  <c r="C161" i="1"/>
  <c r="B162" i="1"/>
  <c r="F157" i="1" l="1"/>
  <c r="G157" i="1" s="1"/>
  <c r="H157" i="1" s="1"/>
  <c r="D158" i="1" s="1"/>
  <c r="C162" i="1"/>
  <c r="B163" i="1"/>
  <c r="F158" i="1" l="1"/>
  <c r="G158" i="1" s="1"/>
  <c r="H158" i="1" s="1"/>
  <c r="D159" i="1" s="1"/>
  <c r="C163" i="1"/>
  <c r="B164" i="1"/>
  <c r="F159" i="1" l="1"/>
  <c r="G159" i="1" s="1"/>
  <c r="H159" i="1" s="1"/>
  <c r="D160" i="1" s="1"/>
  <c r="C164" i="1"/>
  <c r="B165" i="1"/>
  <c r="F160" i="1" l="1"/>
  <c r="G160" i="1" s="1"/>
  <c r="H160" i="1" s="1"/>
  <c r="D161" i="1" s="1"/>
  <c r="B166" i="1"/>
  <c r="C165" i="1"/>
  <c r="F161" i="1" l="1"/>
  <c r="G161" i="1" s="1"/>
  <c r="H161" i="1" s="1"/>
  <c r="D162" i="1" s="1"/>
  <c r="B167" i="1"/>
  <c r="C166" i="1"/>
  <c r="F162" i="1" l="1"/>
  <c r="G162" i="1" s="1"/>
  <c r="H162" i="1"/>
  <c r="D163" i="1" s="1"/>
  <c r="C167" i="1"/>
  <c r="B168" i="1"/>
  <c r="F163" i="1" l="1"/>
  <c r="G163" i="1" s="1"/>
  <c r="H163" i="1"/>
  <c r="D164" i="1" s="1"/>
  <c r="C168" i="1"/>
  <c r="B169" i="1"/>
  <c r="F164" i="1" l="1"/>
  <c r="G164" i="1" s="1"/>
  <c r="H164" i="1"/>
  <c r="D165" i="1" s="1"/>
  <c r="C169" i="1"/>
  <c r="B170" i="1"/>
  <c r="F165" i="1" l="1"/>
  <c r="G165" i="1" s="1"/>
  <c r="H165" i="1" s="1"/>
  <c r="D166" i="1" s="1"/>
  <c r="C170" i="1"/>
  <c r="B171" i="1"/>
  <c r="F166" i="1" l="1"/>
  <c r="G166" i="1" s="1"/>
  <c r="H166" i="1" s="1"/>
  <c r="D167" i="1" s="1"/>
  <c r="C171" i="1"/>
  <c r="B172" i="1"/>
  <c r="F167" i="1" l="1"/>
  <c r="G167" i="1" s="1"/>
  <c r="H167" i="1" s="1"/>
  <c r="D168" i="1" s="1"/>
  <c r="C172" i="1"/>
  <c r="B173" i="1"/>
  <c r="F168" i="1" l="1"/>
  <c r="G168" i="1" s="1"/>
  <c r="H168" i="1" s="1"/>
  <c r="D169" i="1" s="1"/>
  <c r="B174" i="1"/>
  <c r="C173" i="1"/>
  <c r="F169" i="1" l="1"/>
  <c r="G169" i="1" s="1"/>
  <c r="H169" i="1" s="1"/>
  <c r="D170" i="1" s="1"/>
  <c r="B175" i="1"/>
  <c r="C174" i="1"/>
  <c r="F170" i="1" l="1"/>
  <c r="G170" i="1" s="1"/>
  <c r="H170" i="1"/>
  <c r="D171" i="1" s="1"/>
  <c r="C175" i="1"/>
  <c r="B176" i="1"/>
  <c r="F171" i="1" l="1"/>
  <c r="G171" i="1" s="1"/>
  <c r="H171" i="1"/>
  <c r="D172" i="1" s="1"/>
  <c r="C176" i="1"/>
  <c r="B177" i="1"/>
  <c r="F172" i="1" l="1"/>
  <c r="G172" i="1" s="1"/>
  <c r="H172" i="1" s="1"/>
  <c r="D173" i="1" s="1"/>
  <c r="C177" i="1"/>
  <c r="B178" i="1"/>
  <c r="F173" i="1" l="1"/>
  <c r="G173" i="1" s="1"/>
  <c r="H173" i="1"/>
  <c r="D174" i="1" s="1"/>
  <c r="C178" i="1"/>
  <c r="B179" i="1"/>
  <c r="F174" i="1" l="1"/>
  <c r="G174" i="1" s="1"/>
  <c r="H174" i="1" s="1"/>
  <c r="D175" i="1" s="1"/>
  <c r="C179" i="1"/>
  <c r="B180" i="1"/>
  <c r="F175" i="1" l="1"/>
  <c r="G175" i="1" s="1"/>
  <c r="H175" i="1" s="1"/>
  <c r="D176" i="1" s="1"/>
  <c r="C180" i="1"/>
  <c r="B181" i="1"/>
  <c r="F176" i="1" l="1"/>
  <c r="G176" i="1" s="1"/>
  <c r="H176" i="1" s="1"/>
  <c r="D177" i="1" s="1"/>
  <c r="B182" i="1"/>
  <c r="C181" i="1"/>
  <c r="F177" i="1" l="1"/>
  <c r="G177" i="1" s="1"/>
  <c r="H177" i="1" s="1"/>
  <c r="D178" i="1" s="1"/>
  <c r="B183" i="1"/>
  <c r="C182" i="1"/>
  <c r="F178" i="1" l="1"/>
  <c r="G178" i="1" s="1"/>
  <c r="H178" i="1"/>
  <c r="D179" i="1" s="1"/>
  <c r="C183" i="1"/>
  <c r="B184" i="1"/>
  <c r="F179" i="1" l="1"/>
  <c r="G179" i="1" s="1"/>
  <c r="H179" i="1"/>
  <c r="D180" i="1" s="1"/>
  <c r="C184" i="1"/>
  <c r="B185" i="1"/>
  <c r="F180" i="1" l="1"/>
  <c r="G180" i="1" s="1"/>
  <c r="H180" i="1" s="1"/>
  <c r="D181" i="1" s="1"/>
  <c r="C185" i="1"/>
  <c r="B186" i="1"/>
  <c r="F181" i="1" l="1"/>
  <c r="G181" i="1" s="1"/>
  <c r="H181" i="1" s="1"/>
  <c r="D182" i="1" s="1"/>
  <c r="C186" i="1"/>
  <c r="B187" i="1"/>
  <c r="F182" i="1" l="1"/>
  <c r="G182" i="1" s="1"/>
  <c r="H182" i="1" s="1"/>
  <c r="D183" i="1" s="1"/>
  <c r="C187" i="1"/>
  <c r="B188" i="1"/>
  <c r="F183" i="1" l="1"/>
  <c r="G183" i="1" s="1"/>
  <c r="H183" i="1" s="1"/>
  <c r="D184" i="1" s="1"/>
  <c r="C188" i="1"/>
  <c r="B189" i="1"/>
  <c r="F184" i="1" l="1"/>
  <c r="G184" i="1" s="1"/>
  <c r="H184" i="1" s="1"/>
  <c r="D185" i="1" s="1"/>
  <c r="B190" i="1"/>
  <c r="C189" i="1"/>
  <c r="F185" i="1" l="1"/>
  <c r="G185" i="1" s="1"/>
  <c r="H185" i="1" s="1"/>
  <c r="D186" i="1" s="1"/>
  <c r="B191" i="1"/>
  <c r="C190" i="1"/>
  <c r="F186" i="1" l="1"/>
  <c r="G186" i="1" s="1"/>
  <c r="H186" i="1"/>
  <c r="D187" i="1" s="1"/>
  <c r="C191" i="1"/>
  <c r="B192" i="1"/>
  <c r="F187" i="1" l="1"/>
  <c r="G187" i="1" s="1"/>
  <c r="H187" i="1"/>
  <c r="D188" i="1" s="1"/>
  <c r="C192" i="1"/>
  <c r="B193" i="1"/>
  <c r="F188" i="1" l="1"/>
  <c r="G188" i="1" s="1"/>
  <c r="H188" i="1" s="1"/>
  <c r="D189" i="1" s="1"/>
  <c r="C193" i="1"/>
  <c r="B194" i="1"/>
  <c r="F189" i="1" l="1"/>
  <c r="G189" i="1" s="1"/>
  <c r="H189" i="1" s="1"/>
  <c r="D190" i="1" s="1"/>
  <c r="C194" i="1"/>
  <c r="B195" i="1"/>
  <c r="F190" i="1" l="1"/>
  <c r="G190" i="1" s="1"/>
  <c r="H190" i="1" s="1"/>
  <c r="D191" i="1" s="1"/>
  <c r="C195" i="1"/>
  <c r="B196" i="1"/>
  <c r="F191" i="1" l="1"/>
  <c r="G191" i="1" s="1"/>
  <c r="H191" i="1" s="1"/>
  <c r="D192" i="1" s="1"/>
  <c r="C196" i="1"/>
  <c r="B197" i="1"/>
  <c r="F192" i="1" l="1"/>
  <c r="G192" i="1" s="1"/>
  <c r="H192" i="1" s="1"/>
  <c r="D193" i="1" s="1"/>
  <c r="B198" i="1"/>
  <c r="C197" i="1"/>
  <c r="F193" i="1" l="1"/>
  <c r="G193" i="1" s="1"/>
  <c r="H193" i="1" s="1"/>
  <c r="D194" i="1" s="1"/>
  <c r="B199" i="1"/>
  <c r="C198" i="1"/>
  <c r="F194" i="1" l="1"/>
  <c r="G194" i="1" s="1"/>
  <c r="H194" i="1"/>
  <c r="D195" i="1" s="1"/>
  <c r="C199" i="1"/>
  <c r="B200" i="1"/>
  <c r="F195" i="1" l="1"/>
  <c r="G195" i="1" s="1"/>
  <c r="H195" i="1" s="1"/>
  <c r="D196" i="1" s="1"/>
  <c r="C200" i="1"/>
  <c r="B201" i="1"/>
  <c r="F196" i="1" l="1"/>
  <c r="G196" i="1" s="1"/>
  <c r="H196" i="1"/>
  <c r="D197" i="1" s="1"/>
  <c r="C201" i="1"/>
  <c r="B202" i="1"/>
  <c r="F197" i="1" l="1"/>
  <c r="G197" i="1" s="1"/>
  <c r="H197" i="1"/>
  <c r="D198" i="1" s="1"/>
  <c r="C202" i="1"/>
  <c r="B203" i="1"/>
  <c r="F198" i="1" l="1"/>
  <c r="G198" i="1" s="1"/>
  <c r="H198" i="1"/>
  <c r="D199" i="1" s="1"/>
  <c r="C203" i="1"/>
  <c r="B204" i="1"/>
  <c r="F199" i="1" l="1"/>
  <c r="G199" i="1" s="1"/>
  <c r="H199" i="1" s="1"/>
  <c r="D200" i="1" s="1"/>
  <c r="C204" i="1"/>
  <c r="B205" i="1"/>
  <c r="F200" i="1" l="1"/>
  <c r="G200" i="1" s="1"/>
  <c r="H200" i="1" s="1"/>
  <c r="D201" i="1" s="1"/>
  <c r="B206" i="1"/>
  <c r="C205" i="1"/>
  <c r="F201" i="1" l="1"/>
  <c r="G201" i="1" s="1"/>
  <c r="H201" i="1" s="1"/>
  <c r="D202" i="1" s="1"/>
  <c r="B207" i="1"/>
  <c r="C206" i="1"/>
  <c r="F202" i="1" l="1"/>
  <c r="G202" i="1" s="1"/>
  <c r="H202" i="1"/>
  <c r="D203" i="1" s="1"/>
  <c r="C207" i="1"/>
  <c r="B208" i="1"/>
  <c r="F203" i="1" l="1"/>
  <c r="G203" i="1" s="1"/>
  <c r="H203" i="1"/>
  <c r="D204" i="1" s="1"/>
  <c r="C208" i="1"/>
  <c r="B209" i="1"/>
  <c r="F204" i="1" l="1"/>
  <c r="G204" i="1" s="1"/>
  <c r="H204" i="1" s="1"/>
  <c r="D205" i="1" s="1"/>
  <c r="B210" i="1"/>
  <c r="C209" i="1"/>
  <c r="F205" i="1" l="1"/>
  <c r="G205" i="1" s="1"/>
  <c r="H205" i="1"/>
  <c r="D206" i="1" s="1"/>
  <c r="C210" i="1"/>
  <c r="B211" i="1"/>
  <c r="F206" i="1" l="1"/>
  <c r="G206" i="1" s="1"/>
  <c r="H206" i="1"/>
  <c r="D207" i="1" s="1"/>
  <c r="C211" i="1"/>
  <c r="B212" i="1"/>
  <c r="F207" i="1" l="1"/>
  <c r="G207" i="1" s="1"/>
  <c r="H207" i="1" s="1"/>
  <c r="D208" i="1" s="1"/>
  <c r="B213" i="1"/>
  <c r="C212" i="1"/>
  <c r="F208" i="1" l="1"/>
  <c r="G208" i="1" s="1"/>
  <c r="H208" i="1" s="1"/>
  <c r="D209" i="1" s="1"/>
  <c r="C213" i="1"/>
  <c r="B214" i="1"/>
  <c r="F209" i="1" l="1"/>
  <c r="G209" i="1" s="1"/>
  <c r="H209" i="1" s="1"/>
  <c r="D210" i="1" s="1"/>
  <c r="B215" i="1"/>
  <c r="C214" i="1"/>
  <c r="F210" i="1" l="1"/>
  <c r="G210" i="1" s="1"/>
  <c r="H210" i="1"/>
  <c r="D211" i="1" s="1"/>
  <c r="B216" i="1"/>
  <c r="C215" i="1"/>
  <c r="F211" i="1" l="1"/>
  <c r="G211" i="1" s="1"/>
  <c r="H211" i="1"/>
  <c r="D212" i="1" s="1"/>
  <c r="C216" i="1"/>
  <c r="B217" i="1"/>
  <c r="F212" i="1" l="1"/>
  <c r="G212" i="1" s="1"/>
  <c r="H212" i="1" s="1"/>
  <c r="D213" i="1" s="1"/>
  <c r="C217" i="1"/>
  <c r="B218" i="1"/>
  <c r="F213" i="1" l="1"/>
  <c r="G213" i="1" s="1"/>
  <c r="H213" i="1" s="1"/>
  <c r="D214" i="1" s="1"/>
  <c r="C218" i="1"/>
  <c r="B219" i="1"/>
  <c r="F214" i="1" l="1"/>
  <c r="G214" i="1" s="1"/>
  <c r="H214" i="1"/>
  <c r="D215" i="1" s="1"/>
  <c r="C219" i="1"/>
  <c r="B220" i="1"/>
  <c r="F215" i="1" l="1"/>
  <c r="G215" i="1" s="1"/>
  <c r="H215" i="1" s="1"/>
  <c r="D216" i="1" s="1"/>
  <c r="B221" i="1"/>
  <c r="C220" i="1"/>
  <c r="F216" i="1" l="1"/>
  <c r="G216" i="1" s="1"/>
  <c r="H216" i="1" s="1"/>
  <c r="D217" i="1" s="1"/>
  <c r="B222" i="1"/>
  <c r="C221" i="1"/>
  <c r="F217" i="1" l="1"/>
  <c r="G217" i="1" s="1"/>
  <c r="H217" i="1" s="1"/>
  <c r="D218" i="1" s="1"/>
  <c r="B223" i="1"/>
  <c r="C222" i="1"/>
  <c r="F218" i="1" l="1"/>
  <c r="G218" i="1" s="1"/>
  <c r="H218" i="1"/>
  <c r="D219" i="1" s="1"/>
  <c r="C223" i="1"/>
  <c r="B224" i="1"/>
  <c r="F219" i="1" l="1"/>
  <c r="G219" i="1" s="1"/>
  <c r="H219" i="1" s="1"/>
  <c r="D220" i="1" s="1"/>
  <c r="C224" i="1"/>
  <c r="B225" i="1"/>
  <c r="F220" i="1" l="1"/>
  <c r="G220" i="1" s="1"/>
  <c r="H220" i="1" s="1"/>
  <c r="D221" i="1" s="1"/>
  <c r="C225" i="1"/>
  <c r="B226" i="1"/>
  <c r="F221" i="1" l="1"/>
  <c r="G221" i="1" s="1"/>
  <c r="H221" i="1" s="1"/>
  <c r="D222" i="1" s="1"/>
  <c r="C226" i="1"/>
  <c r="B227" i="1"/>
  <c r="F222" i="1" l="1"/>
  <c r="G222" i="1" s="1"/>
  <c r="H222" i="1" s="1"/>
  <c r="D223" i="1" s="1"/>
  <c r="C227" i="1"/>
  <c r="B228" i="1"/>
  <c r="F223" i="1" l="1"/>
  <c r="G223" i="1" s="1"/>
  <c r="H223" i="1" s="1"/>
  <c r="D224" i="1" s="1"/>
  <c r="B229" i="1"/>
  <c r="C228" i="1"/>
  <c r="F224" i="1" l="1"/>
  <c r="G224" i="1" s="1"/>
  <c r="H224" i="1" s="1"/>
  <c r="D225" i="1" s="1"/>
  <c r="B230" i="1"/>
  <c r="C229" i="1"/>
  <c r="F225" i="1" l="1"/>
  <c r="G225" i="1" s="1"/>
  <c r="H225" i="1" s="1"/>
  <c r="D226" i="1" s="1"/>
  <c r="B231" i="1"/>
  <c r="C230" i="1"/>
  <c r="F226" i="1" l="1"/>
  <c r="G226" i="1" s="1"/>
  <c r="H226" i="1"/>
  <c r="D227" i="1" s="1"/>
  <c r="C231" i="1"/>
  <c r="B232" i="1"/>
  <c r="F227" i="1" l="1"/>
  <c r="G227" i="1" s="1"/>
  <c r="H227" i="1"/>
  <c r="D228" i="1" s="1"/>
  <c r="C232" i="1"/>
  <c r="B233" i="1"/>
  <c r="F228" i="1" l="1"/>
  <c r="G228" i="1" s="1"/>
  <c r="H228" i="1" s="1"/>
  <c r="D229" i="1" s="1"/>
  <c r="C233" i="1"/>
  <c r="B234" i="1"/>
  <c r="F229" i="1" l="1"/>
  <c r="G229" i="1" s="1"/>
  <c r="H229" i="1" s="1"/>
  <c r="D230" i="1" s="1"/>
  <c r="C234" i="1"/>
  <c r="B235" i="1"/>
  <c r="F230" i="1" l="1"/>
  <c r="G230" i="1" s="1"/>
  <c r="H230" i="1" s="1"/>
  <c r="D231" i="1" s="1"/>
  <c r="C235" i="1"/>
  <c r="B236" i="1"/>
  <c r="F231" i="1" l="1"/>
  <c r="G231" i="1" s="1"/>
  <c r="H231" i="1" s="1"/>
  <c r="D232" i="1" s="1"/>
  <c r="B237" i="1"/>
  <c r="C236" i="1"/>
  <c r="F232" i="1" l="1"/>
  <c r="G232" i="1" s="1"/>
  <c r="H232" i="1" s="1"/>
  <c r="D233" i="1" s="1"/>
  <c r="B238" i="1"/>
  <c r="C237" i="1"/>
  <c r="F233" i="1" l="1"/>
  <c r="G233" i="1" s="1"/>
  <c r="H233" i="1" s="1"/>
  <c r="D234" i="1" s="1"/>
  <c r="B239" i="1"/>
  <c r="C238" i="1"/>
  <c r="F234" i="1" l="1"/>
  <c r="G234" i="1" s="1"/>
  <c r="H234" i="1"/>
  <c r="D235" i="1" s="1"/>
  <c r="C239" i="1"/>
  <c r="B240" i="1"/>
  <c r="F235" i="1" l="1"/>
  <c r="G235" i="1" s="1"/>
  <c r="H235" i="1"/>
  <c r="D236" i="1" s="1"/>
  <c r="C240" i="1"/>
  <c r="B241" i="1"/>
  <c r="F236" i="1" l="1"/>
  <c r="G236" i="1" s="1"/>
  <c r="H236" i="1" s="1"/>
  <c r="D237" i="1" s="1"/>
  <c r="C241" i="1"/>
  <c r="B242" i="1"/>
  <c r="F237" i="1" l="1"/>
  <c r="G237" i="1" s="1"/>
  <c r="H237" i="1" s="1"/>
  <c r="D238" i="1" s="1"/>
  <c r="C242" i="1"/>
  <c r="B243" i="1"/>
  <c r="F238" i="1" l="1"/>
  <c r="G238" i="1" s="1"/>
  <c r="H238" i="1" s="1"/>
  <c r="D239" i="1" s="1"/>
  <c r="C243" i="1"/>
  <c r="B244" i="1"/>
  <c r="F239" i="1" l="1"/>
  <c r="G239" i="1" s="1"/>
  <c r="H239" i="1"/>
  <c r="D240" i="1" s="1"/>
  <c r="B245" i="1"/>
  <c r="C244" i="1"/>
  <c r="F240" i="1" l="1"/>
  <c r="G240" i="1" s="1"/>
  <c r="H240" i="1" s="1"/>
  <c r="D241" i="1" s="1"/>
  <c r="B246" i="1"/>
  <c r="C245" i="1"/>
  <c r="F241" i="1" l="1"/>
  <c r="G241" i="1" s="1"/>
  <c r="H241" i="1" s="1"/>
  <c r="D242" i="1" s="1"/>
  <c r="B247" i="1"/>
  <c r="C246" i="1"/>
  <c r="F242" i="1" l="1"/>
  <c r="G242" i="1" s="1"/>
  <c r="H242" i="1"/>
  <c r="D243" i="1" s="1"/>
  <c r="C247" i="1"/>
  <c r="B248" i="1"/>
  <c r="F243" i="1" l="1"/>
  <c r="G243" i="1" s="1"/>
  <c r="H243" i="1"/>
  <c r="D244" i="1" s="1"/>
  <c r="C248" i="1"/>
  <c r="B249" i="1"/>
  <c r="F244" i="1" l="1"/>
  <c r="G244" i="1" s="1"/>
  <c r="H244" i="1" s="1"/>
  <c r="D245" i="1" s="1"/>
  <c r="C249" i="1"/>
  <c r="B250" i="1"/>
  <c r="F245" i="1" l="1"/>
  <c r="G245" i="1" s="1"/>
  <c r="H245" i="1" s="1"/>
  <c r="D246" i="1" s="1"/>
  <c r="C250" i="1"/>
  <c r="B251" i="1"/>
  <c r="F246" i="1" l="1"/>
  <c r="G246" i="1" s="1"/>
  <c r="H246" i="1" s="1"/>
  <c r="D247" i="1" s="1"/>
  <c r="C251" i="1"/>
  <c r="B252" i="1"/>
  <c r="F247" i="1" l="1"/>
  <c r="G247" i="1" s="1"/>
  <c r="H247" i="1"/>
  <c r="D248" i="1" s="1"/>
  <c r="B253" i="1"/>
  <c r="C252" i="1"/>
  <c r="F248" i="1" l="1"/>
  <c r="G248" i="1" s="1"/>
  <c r="H248" i="1" s="1"/>
  <c r="D249" i="1" s="1"/>
  <c r="B254" i="1"/>
  <c r="C253" i="1"/>
  <c r="F249" i="1" l="1"/>
  <c r="G249" i="1" s="1"/>
  <c r="H249" i="1" s="1"/>
  <c r="D250" i="1" s="1"/>
  <c r="B255" i="1"/>
  <c r="C254" i="1"/>
  <c r="F250" i="1" l="1"/>
  <c r="G250" i="1" s="1"/>
  <c r="H250" i="1" s="1"/>
  <c r="D251" i="1" s="1"/>
  <c r="C255" i="1"/>
  <c r="B256" i="1"/>
  <c r="H255" i="1"/>
  <c r="G255" i="1"/>
  <c r="F255" i="1"/>
  <c r="D255" i="1"/>
  <c r="F251" i="1" l="1"/>
  <c r="G251" i="1" s="1"/>
  <c r="H251" i="1"/>
  <c r="D252" i="1" s="1"/>
  <c r="D256" i="1"/>
  <c r="C256" i="1"/>
  <c r="B257" i="1"/>
  <c r="H256" i="1"/>
  <c r="F256" i="1"/>
  <c r="G256" i="1"/>
  <c r="F252" i="1" l="1"/>
  <c r="G252" i="1" s="1"/>
  <c r="H252" i="1" s="1"/>
  <c r="D253" i="1" s="1"/>
  <c r="D257" i="1"/>
  <c r="C257" i="1"/>
  <c r="B258" i="1"/>
  <c r="G257" i="1"/>
  <c r="H257" i="1"/>
  <c r="F257" i="1"/>
  <c r="F253" i="1" l="1"/>
  <c r="G253" i="1" s="1"/>
  <c r="H253" i="1" s="1"/>
  <c r="D254" i="1" s="1"/>
  <c r="F258" i="1"/>
  <c r="D258" i="1"/>
  <c r="C258" i="1"/>
  <c r="H258" i="1"/>
  <c r="B259" i="1"/>
  <c r="G258" i="1"/>
  <c r="F254" i="1" l="1"/>
  <c r="G254" i="1" s="1"/>
  <c r="H254" i="1" s="1"/>
  <c r="G259" i="1"/>
  <c r="F259" i="1"/>
  <c r="D259" i="1"/>
  <c r="C259" i="1"/>
  <c r="B260" i="1"/>
  <c r="H259" i="1"/>
  <c r="H260" i="1" l="1"/>
  <c r="G260" i="1"/>
  <c r="F260" i="1"/>
  <c r="D260" i="1"/>
  <c r="C260" i="1"/>
  <c r="B261" i="1"/>
  <c r="B262" i="1" l="1"/>
  <c r="H261" i="1"/>
  <c r="G261" i="1"/>
  <c r="F261" i="1"/>
  <c r="C261" i="1"/>
  <c r="D261" i="1"/>
  <c r="B263" i="1" l="1"/>
  <c r="H262" i="1"/>
  <c r="G262" i="1"/>
  <c r="F262" i="1"/>
  <c r="D262" i="1"/>
  <c r="C262" i="1"/>
  <c r="C263" i="1" l="1"/>
  <c r="B264" i="1"/>
  <c r="H263" i="1"/>
  <c r="G263" i="1"/>
  <c r="F263" i="1"/>
  <c r="D263" i="1"/>
  <c r="D264" i="1" l="1"/>
  <c r="C264" i="1"/>
  <c r="B265" i="1"/>
  <c r="H264" i="1"/>
  <c r="G264" i="1"/>
  <c r="F264" i="1"/>
  <c r="D265" i="1" l="1"/>
  <c r="C265" i="1"/>
  <c r="B266" i="1"/>
  <c r="H265" i="1"/>
  <c r="G265" i="1"/>
  <c r="F265" i="1"/>
  <c r="F266" i="1" l="1"/>
  <c r="D266" i="1"/>
  <c r="C266" i="1"/>
  <c r="B267" i="1"/>
  <c r="H266" i="1"/>
  <c r="G266" i="1"/>
  <c r="G267" i="1" l="1"/>
  <c r="F267" i="1"/>
  <c r="D267" i="1"/>
  <c r="C267" i="1"/>
  <c r="B268" i="1"/>
  <c r="H267" i="1"/>
  <c r="H268" i="1" l="1"/>
  <c r="G268" i="1"/>
  <c r="F268" i="1"/>
  <c r="D268" i="1"/>
  <c r="C268" i="1"/>
  <c r="B269" i="1"/>
  <c r="B270" i="1" l="1"/>
  <c r="H269" i="1"/>
  <c r="G269" i="1"/>
  <c r="F269" i="1"/>
  <c r="D269" i="1"/>
  <c r="C269" i="1"/>
  <c r="B271" i="1" l="1"/>
  <c r="H270" i="1"/>
  <c r="G270" i="1"/>
  <c r="F270" i="1"/>
  <c r="D270" i="1"/>
  <c r="C270" i="1"/>
  <c r="C271" i="1" l="1"/>
  <c r="B272" i="1"/>
  <c r="H271" i="1"/>
  <c r="G271" i="1"/>
  <c r="F271" i="1"/>
  <c r="D271" i="1"/>
  <c r="D272" i="1" l="1"/>
  <c r="C272" i="1"/>
  <c r="B273" i="1"/>
  <c r="H272" i="1"/>
  <c r="G272" i="1"/>
  <c r="F272" i="1"/>
  <c r="D273" i="1" l="1"/>
  <c r="C273" i="1"/>
  <c r="B274" i="1"/>
  <c r="H273" i="1"/>
  <c r="G273" i="1"/>
  <c r="F273" i="1"/>
  <c r="F274" i="1" l="1"/>
  <c r="D274" i="1"/>
  <c r="C274" i="1"/>
  <c r="B275" i="1"/>
  <c r="H274" i="1"/>
  <c r="G274" i="1"/>
  <c r="G275" i="1" l="1"/>
  <c r="F275" i="1"/>
  <c r="D275" i="1"/>
  <c r="C275" i="1"/>
  <c r="B276" i="1"/>
  <c r="H275" i="1"/>
  <c r="H276" i="1" l="1"/>
  <c r="G276" i="1"/>
  <c r="F276" i="1"/>
  <c r="D276" i="1"/>
  <c r="C276" i="1"/>
  <c r="B277" i="1"/>
  <c r="B278" i="1" l="1"/>
  <c r="H277" i="1"/>
  <c r="G277" i="1"/>
  <c r="F277" i="1"/>
  <c r="D277" i="1"/>
  <c r="C277" i="1"/>
  <c r="H278" i="1" l="1"/>
  <c r="F278" i="1"/>
  <c r="C278" i="1"/>
  <c r="B279" i="1"/>
  <c r="G278" i="1"/>
  <c r="D278" i="1"/>
  <c r="B280" i="1" l="1"/>
  <c r="H279" i="1"/>
  <c r="G279" i="1"/>
  <c r="C279" i="1"/>
  <c r="F279" i="1"/>
  <c r="D279" i="1"/>
  <c r="B281" i="1" l="1"/>
  <c r="H280" i="1"/>
  <c r="G280" i="1"/>
  <c r="D280" i="1"/>
  <c r="C280" i="1"/>
  <c r="F280" i="1"/>
  <c r="C281" i="1" l="1"/>
  <c r="B282" i="1"/>
  <c r="H281" i="1"/>
  <c r="G281" i="1"/>
  <c r="F281" i="1"/>
  <c r="D281" i="1"/>
  <c r="D282" i="1" l="1"/>
  <c r="C282" i="1"/>
  <c r="B283" i="1"/>
  <c r="F282" i="1"/>
  <c r="H282" i="1"/>
  <c r="G282" i="1"/>
  <c r="D283" i="1" l="1"/>
  <c r="C283" i="1"/>
  <c r="B284" i="1"/>
  <c r="G283" i="1"/>
  <c r="H283" i="1"/>
  <c r="F283" i="1"/>
  <c r="F284" i="1" l="1"/>
  <c r="D284" i="1"/>
  <c r="C284" i="1"/>
  <c r="H284" i="1"/>
  <c r="B285" i="1"/>
  <c r="G284" i="1"/>
  <c r="G285" i="1" l="1"/>
  <c r="F285" i="1"/>
  <c r="D285" i="1"/>
  <c r="C285" i="1"/>
  <c r="B286" i="1"/>
  <c r="H285" i="1"/>
  <c r="H286" i="1" l="1"/>
  <c r="G286" i="1"/>
  <c r="F286" i="1"/>
  <c r="D286" i="1"/>
  <c r="B287" i="1"/>
  <c r="C286" i="1"/>
  <c r="B288" i="1" l="1"/>
  <c r="H287" i="1"/>
  <c r="G287" i="1"/>
  <c r="F287" i="1"/>
  <c r="C287" i="1"/>
  <c r="D287" i="1"/>
  <c r="B289" i="1" l="1"/>
  <c r="H288" i="1"/>
  <c r="G288" i="1"/>
  <c r="F288" i="1"/>
  <c r="D288" i="1"/>
  <c r="C288" i="1"/>
  <c r="C289" i="1" l="1"/>
  <c r="B290" i="1"/>
  <c r="H289" i="1"/>
  <c r="G289" i="1"/>
  <c r="F289" i="1"/>
  <c r="D289" i="1"/>
  <c r="D290" i="1" l="1"/>
  <c r="C290" i="1"/>
  <c r="B291" i="1"/>
  <c r="H290" i="1"/>
  <c r="F290" i="1"/>
  <c r="G290" i="1"/>
  <c r="D291" i="1" l="1"/>
  <c r="C291" i="1"/>
  <c r="B292" i="1"/>
  <c r="G291" i="1"/>
  <c r="H291" i="1"/>
  <c r="F291" i="1"/>
  <c r="F292" i="1" l="1"/>
  <c r="D292" i="1"/>
  <c r="C292" i="1"/>
  <c r="H292" i="1"/>
  <c r="B293" i="1"/>
  <c r="G292" i="1"/>
  <c r="G293" i="1" l="1"/>
  <c r="F293" i="1"/>
  <c r="D293" i="1"/>
  <c r="C293" i="1"/>
  <c r="B294" i="1"/>
  <c r="H293" i="1"/>
  <c r="H294" i="1" l="1"/>
  <c r="G294" i="1"/>
  <c r="F294" i="1"/>
  <c r="D294" i="1"/>
  <c r="B295" i="1"/>
  <c r="C294" i="1"/>
  <c r="B296" i="1" l="1"/>
  <c r="H295" i="1"/>
  <c r="G295" i="1"/>
  <c r="F295" i="1"/>
  <c r="C295" i="1"/>
  <c r="D295" i="1"/>
  <c r="B297" i="1" l="1"/>
  <c r="H296" i="1"/>
  <c r="G296" i="1"/>
  <c r="F296" i="1"/>
  <c r="D296" i="1"/>
  <c r="C296" i="1"/>
  <c r="C297" i="1" l="1"/>
  <c r="B298" i="1"/>
  <c r="H297" i="1"/>
  <c r="G297" i="1"/>
  <c r="F297" i="1"/>
  <c r="D297" i="1"/>
  <c r="D298" i="1" l="1"/>
  <c r="C298" i="1"/>
  <c r="B299" i="1"/>
  <c r="H298" i="1"/>
  <c r="F298" i="1"/>
  <c r="G298" i="1"/>
  <c r="D299" i="1" l="1"/>
  <c r="C299" i="1"/>
  <c r="B300" i="1"/>
  <c r="G299" i="1"/>
  <c r="H299" i="1"/>
  <c r="F299" i="1"/>
  <c r="F300" i="1" l="1"/>
  <c r="D300" i="1"/>
  <c r="C300" i="1"/>
  <c r="H300" i="1"/>
  <c r="B301" i="1"/>
  <c r="G300" i="1"/>
  <c r="G301" i="1" l="1"/>
  <c r="F301" i="1"/>
  <c r="D301" i="1"/>
  <c r="C301" i="1"/>
  <c r="B302" i="1"/>
  <c r="H301" i="1"/>
  <c r="H302" i="1" l="1"/>
  <c r="G302" i="1"/>
  <c r="F302" i="1"/>
  <c r="D302" i="1"/>
  <c r="B303" i="1"/>
  <c r="C302" i="1"/>
  <c r="B304" i="1" l="1"/>
  <c r="H303" i="1"/>
  <c r="G303" i="1"/>
  <c r="F303" i="1"/>
  <c r="C303" i="1"/>
  <c r="D303" i="1"/>
  <c r="B305" i="1" l="1"/>
  <c r="H304" i="1"/>
  <c r="G304" i="1"/>
  <c r="F304" i="1"/>
  <c r="D304" i="1"/>
  <c r="C304" i="1"/>
  <c r="C305" i="1" l="1"/>
  <c r="B306" i="1"/>
  <c r="H305" i="1"/>
  <c r="G305" i="1"/>
  <c r="F305" i="1"/>
  <c r="D305" i="1"/>
  <c r="D306" i="1" l="1"/>
  <c r="C306" i="1"/>
  <c r="B307" i="1"/>
  <c r="H306" i="1"/>
  <c r="F306" i="1"/>
  <c r="G306" i="1"/>
  <c r="D307" i="1" l="1"/>
  <c r="C307" i="1"/>
  <c r="B308" i="1"/>
  <c r="G307" i="1"/>
  <c r="H307" i="1"/>
  <c r="F307" i="1"/>
  <c r="F308" i="1" l="1"/>
  <c r="D308" i="1"/>
  <c r="C308" i="1"/>
  <c r="H308" i="1"/>
  <c r="B309" i="1"/>
  <c r="G308" i="1"/>
  <c r="G309" i="1" l="1"/>
  <c r="F309" i="1"/>
  <c r="D309" i="1"/>
  <c r="C309" i="1"/>
  <c r="B310" i="1"/>
  <c r="H309" i="1"/>
  <c r="H310" i="1" l="1"/>
  <c r="G310" i="1"/>
  <c r="F310" i="1"/>
  <c r="D310" i="1"/>
  <c r="C310" i="1"/>
  <c r="B311" i="1"/>
  <c r="B312" i="1" l="1"/>
  <c r="H311" i="1"/>
  <c r="G311" i="1"/>
  <c r="F311" i="1"/>
  <c r="C311" i="1"/>
  <c r="D311" i="1"/>
  <c r="B313" i="1" l="1"/>
  <c r="H312" i="1"/>
  <c r="G312" i="1"/>
  <c r="F312" i="1"/>
  <c r="D312" i="1"/>
  <c r="C312" i="1"/>
  <c r="C313" i="1" l="1"/>
  <c r="B314" i="1"/>
  <c r="H313" i="1"/>
  <c r="G313" i="1"/>
  <c r="F313" i="1"/>
  <c r="D313" i="1"/>
  <c r="D314" i="1" l="1"/>
  <c r="C314" i="1"/>
  <c r="B315" i="1"/>
  <c r="H314" i="1"/>
  <c r="F314" i="1"/>
  <c r="G314" i="1"/>
  <c r="D315" i="1" l="1"/>
  <c r="C315" i="1"/>
  <c r="B316" i="1"/>
  <c r="G315" i="1"/>
  <c r="H315" i="1"/>
  <c r="F315" i="1"/>
  <c r="F316" i="1" l="1"/>
  <c r="D316" i="1"/>
  <c r="C316" i="1"/>
  <c r="H316" i="1"/>
  <c r="B317" i="1"/>
  <c r="G316" i="1"/>
  <c r="G317" i="1" l="1"/>
  <c r="F317" i="1"/>
  <c r="D317" i="1"/>
  <c r="C317" i="1"/>
  <c r="B318" i="1"/>
  <c r="H317" i="1"/>
  <c r="H318" i="1" l="1"/>
  <c r="G318" i="1"/>
  <c r="F318" i="1"/>
  <c r="D318" i="1"/>
  <c r="B319" i="1"/>
  <c r="C318" i="1"/>
  <c r="B320" i="1" l="1"/>
  <c r="H319" i="1"/>
  <c r="G319" i="1"/>
  <c r="F319" i="1"/>
  <c r="C319" i="1"/>
  <c r="D319" i="1"/>
  <c r="B321" i="1" l="1"/>
  <c r="H320" i="1"/>
  <c r="G320" i="1"/>
  <c r="F320" i="1"/>
  <c r="D320" i="1"/>
  <c r="C320" i="1"/>
  <c r="C321" i="1" l="1"/>
  <c r="B322" i="1"/>
  <c r="H321" i="1"/>
  <c r="G321" i="1"/>
  <c r="F321" i="1"/>
  <c r="D321" i="1"/>
  <c r="D322" i="1" l="1"/>
  <c r="C322" i="1"/>
  <c r="B323" i="1"/>
  <c r="H322" i="1"/>
  <c r="F322" i="1"/>
  <c r="G322" i="1"/>
  <c r="D323" i="1" l="1"/>
  <c r="C323" i="1"/>
  <c r="B324" i="1"/>
  <c r="G323" i="1"/>
  <c r="H323" i="1"/>
  <c r="F323" i="1"/>
  <c r="F324" i="1" l="1"/>
  <c r="D324" i="1"/>
  <c r="C324" i="1"/>
  <c r="H324" i="1"/>
  <c r="B325" i="1"/>
  <c r="G324" i="1"/>
  <c r="G325" i="1" l="1"/>
  <c r="F325" i="1"/>
  <c r="D325" i="1"/>
  <c r="C325" i="1"/>
  <c r="B326" i="1"/>
  <c r="H325" i="1"/>
  <c r="H326" i="1" l="1"/>
  <c r="G326" i="1"/>
  <c r="F326" i="1"/>
  <c r="D326" i="1"/>
  <c r="B327" i="1"/>
  <c r="C326" i="1"/>
  <c r="B328" i="1" l="1"/>
  <c r="H327" i="1"/>
  <c r="G327" i="1"/>
  <c r="F327" i="1"/>
  <c r="C327" i="1"/>
  <c r="D327" i="1"/>
  <c r="B329" i="1" l="1"/>
  <c r="H328" i="1"/>
  <c r="G328" i="1"/>
  <c r="F328" i="1"/>
  <c r="D328" i="1"/>
  <c r="C328" i="1"/>
  <c r="C329" i="1" l="1"/>
  <c r="B330" i="1"/>
  <c r="H329" i="1"/>
  <c r="G329" i="1"/>
  <c r="F329" i="1"/>
  <c r="D329" i="1"/>
  <c r="D330" i="1" l="1"/>
  <c r="C330" i="1"/>
  <c r="B331" i="1"/>
  <c r="H330" i="1"/>
  <c r="F330" i="1"/>
  <c r="G330" i="1"/>
  <c r="D331" i="1" l="1"/>
  <c r="C331" i="1"/>
  <c r="B332" i="1"/>
  <c r="G331" i="1"/>
  <c r="H331" i="1"/>
  <c r="F331" i="1"/>
  <c r="F332" i="1" l="1"/>
  <c r="D332" i="1"/>
  <c r="C332" i="1"/>
  <c r="H332" i="1"/>
  <c r="B333" i="1"/>
  <c r="G332" i="1"/>
  <c r="G333" i="1" l="1"/>
  <c r="F333" i="1"/>
  <c r="D333" i="1"/>
  <c r="C333" i="1"/>
  <c r="B334" i="1"/>
  <c r="H333" i="1"/>
  <c r="H334" i="1" l="1"/>
  <c r="G334" i="1"/>
  <c r="F334" i="1"/>
  <c r="D334" i="1"/>
  <c r="B335" i="1"/>
  <c r="C334" i="1"/>
  <c r="B336" i="1" l="1"/>
  <c r="H335" i="1"/>
  <c r="G335" i="1"/>
  <c r="F335" i="1"/>
  <c r="C335" i="1"/>
  <c r="D335" i="1"/>
  <c r="B337" i="1" l="1"/>
  <c r="H336" i="1"/>
  <c r="G336" i="1"/>
  <c r="F336" i="1"/>
  <c r="D336" i="1"/>
  <c r="C336" i="1"/>
  <c r="C337" i="1" l="1"/>
  <c r="B338" i="1"/>
  <c r="H337" i="1"/>
  <c r="G337" i="1"/>
  <c r="F337" i="1"/>
  <c r="D337" i="1"/>
  <c r="D338" i="1" l="1"/>
  <c r="C338" i="1"/>
  <c r="B339" i="1"/>
  <c r="H338" i="1"/>
  <c r="F338" i="1"/>
  <c r="G338" i="1"/>
  <c r="D339" i="1" l="1"/>
  <c r="C339" i="1"/>
  <c r="B340" i="1"/>
  <c r="G339" i="1"/>
  <c r="H339" i="1"/>
  <c r="F339" i="1"/>
  <c r="F340" i="1" l="1"/>
  <c r="D340" i="1"/>
  <c r="C340" i="1"/>
  <c r="H340" i="1"/>
  <c r="B341" i="1"/>
  <c r="G340" i="1"/>
  <c r="G341" i="1" l="1"/>
  <c r="F341" i="1"/>
  <c r="D341" i="1"/>
  <c r="C341" i="1"/>
  <c r="B342" i="1"/>
  <c r="H341" i="1"/>
  <c r="H342" i="1" l="1"/>
  <c r="G342" i="1"/>
  <c r="F342" i="1"/>
  <c r="D342" i="1"/>
  <c r="C342" i="1"/>
  <c r="B343" i="1"/>
  <c r="B344" i="1" l="1"/>
  <c r="H343" i="1"/>
  <c r="G343" i="1"/>
  <c r="F343" i="1"/>
  <c r="C343" i="1"/>
  <c r="D343" i="1"/>
  <c r="B345" i="1" l="1"/>
  <c r="H344" i="1"/>
  <c r="G344" i="1"/>
  <c r="F344" i="1"/>
  <c r="D344" i="1"/>
  <c r="C344" i="1"/>
  <c r="C345" i="1" l="1"/>
  <c r="B346" i="1"/>
  <c r="H345" i="1"/>
  <c r="G345" i="1"/>
  <c r="F345" i="1"/>
  <c r="D345" i="1"/>
  <c r="D346" i="1" l="1"/>
  <c r="C346" i="1"/>
  <c r="B347" i="1"/>
  <c r="H346" i="1"/>
  <c r="F346" i="1"/>
  <c r="G346" i="1"/>
  <c r="D347" i="1" l="1"/>
  <c r="C347" i="1"/>
  <c r="B348" i="1"/>
  <c r="G347" i="1"/>
  <c r="H347" i="1"/>
  <c r="F347" i="1"/>
  <c r="F348" i="1" l="1"/>
  <c r="D348" i="1"/>
  <c r="C348" i="1"/>
  <c r="H348" i="1"/>
  <c r="B349" i="1"/>
  <c r="G348" i="1"/>
  <c r="G349" i="1" l="1"/>
  <c r="F349" i="1"/>
  <c r="D349" i="1"/>
  <c r="C349" i="1"/>
  <c r="B350" i="1"/>
  <c r="H349" i="1"/>
  <c r="H350" i="1" l="1"/>
  <c r="G350" i="1"/>
  <c r="F350" i="1"/>
  <c r="D350" i="1"/>
  <c r="B351" i="1"/>
  <c r="C350" i="1"/>
  <c r="B352" i="1" l="1"/>
  <c r="H351" i="1"/>
  <c r="G351" i="1"/>
  <c r="F351" i="1"/>
  <c r="C351" i="1"/>
  <c r="D351" i="1"/>
  <c r="B353" i="1" l="1"/>
  <c r="H352" i="1"/>
  <c r="G352" i="1"/>
  <c r="F352" i="1"/>
  <c r="D352" i="1"/>
  <c r="C352" i="1"/>
  <c r="C353" i="1" l="1"/>
  <c r="B354" i="1"/>
  <c r="H353" i="1"/>
  <c r="G353" i="1"/>
  <c r="F353" i="1"/>
  <c r="D353" i="1"/>
  <c r="D354" i="1" l="1"/>
  <c r="C354" i="1"/>
  <c r="B355" i="1"/>
  <c r="H354" i="1"/>
  <c r="F354" i="1"/>
  <c r="G354" i="1"/>
  <c r="D355" i="1" l="1"/>
  <c r="C355" i="1"/>
  <c r="B356" i="1"/>
  <c r="G355" i="1"/>
  <c r="H355" i="1"/>
  <c r="F355" i="1"/>
  <c r="F356" i="1" l="1"/>
  <c r="D356" i="1"/>
  <c r="C356" i="1"/>
  <c r="H356" i="1"/>
  <c r="B357" i="1"/>
  <c r="G356" i="1"/>
  <c r="G357" i="1" l="1"/>
  <c r="F357" i="1"/>
  <c r="D357" i="1"/>
  <c r="C357" i="1"/>
  <c r="B358" i="1"/>
  <c r="H357" i="1"/>
  <c r="H358" i="1" l="1"/>
  <c r="G358" i="1"/>
  <c r="F358" i="1"/>
  <c r="D358" i="1"/>
  <c r="B359" i="1"/>
  <c r="C358" i="1"/>
  <c r="B360" i="1" l="1"/>
  <c r="H359" i="1"/>
  <c r="G359" i="1"/>
  <c r="F359" i="1"/>
  <c r="C359" i="1"/>
  <c r="D359" i="1"/>
  <c r="B361" i="1" l="1"/>
  <c r="H360" i="1"/>
  <c r="G360" i="1"/>
  <c r="F360" i="1"/>
  <c r="D360" i="1"/>
  <c r="C360" i="1"/>
  <c r="C361" i="1" l="1"/>
  <c r="B362" i="1"/>
  <c r="H361" i="1"/>
  <c r="G361" i="1"/>
  <c r="F361" i="1"/>
  <c r="D361" i="1"/>
  <c r="D362" i="1" l="1"/>
  <c r="C362" i="1"/>
  <c r="B363" i="1"/>
  <c r="H362" i="1"/>
  <c r="F362" i="1"/>
  <c r="G362" i="1"/>
  <c r="D363" i="1" l="1"/>
  <c r="C363" i="1"/>
  <c r="B364" i="1"/>
  <c r="G363" i="1"/>
  <c r="H363" i="1"/>
  <c r="F363" i="1"/>
  <c r="F364" i="1" l="1"/>
  <c r="D364" i="1"/>
  <c r="C364" i="1"/>
  <c r="H364" i="1"/>
  <c r="B365" i="1"/>
  <c r="G364" i="1"/>
  <c r="G365" i="1" l="1"/>
  <c r="F365" i="1"/>
  <c r="D365" i="1"/>
  <c r="C365" i="1"/>
  <c r="B366" i="1"/>
  <c r="H365" i="1"/>
  <c r="H366" i="1" l="1"/>
  <c r="G366" i="1"/>
  <c r="F366" i="1"/>
  <c r="D366" i="1"/>
  <c r="B367" i="1"/>
  <c r="C366" i="1"/>
  <c r="B368" i="1" l="1"/>
  <c r="H367" i="1"/>
  <c r="G367" i="1"/>
  <c r="F367" i="1"/>
  <c r="C367" i="1"/>
  <c r="D367" i="1"/>
  <c r="B369" i="1" l="1"/>
  <c r="H368" i="1"/>
  <c r="G368" i="1"/>
  <c r="F368" i="1"/>
  <c r="D368" i="1"/>
  <c r="C368" i="1"/>
  <c r="C369" i="1" l="1"/>
  <c r="B370" i="1"/>
  <c r="H369" i="1"/>
  <c r="G369" i="1"/>
  <c r="F369" i="1"/>
  <c r="D369" i="1"/>
  <c r="D370" i="1" l="1"/>
  <c r="C370" i="1"/>
  <c r="B371" i="1"/>
  <c r="H370" i="1"/>
  <c r="F370" i="1"/>
  <c r="G370" i="1"/>
  <c r="D371" i="1" l="1"/>
  <c r="C371" i="1"/>
  <c r="B372" i="1"/>
  <c r="G371" i="1"/>
  <c r="H371" i="1"/>
  <c r="F371" i="1"/>
  <c r="F372" i="1" l="1"/>
  <c r="D372" i="1"/>
  <c r="C372" i="1"/>
  <c r="H372" i="1"/>
  <c r="B373" i="1"/>
  <c r="G372" i="1"/>
  <c r="G373" i="1" l="1"/>
  <c r="F373" i="1"/>
  <c r="D373" i="1"/>
  <c r="C373" i="1"/>
  <c r="B374" i="1"/>
  <c r="H373" i="1"/>
  <c r="H374" i="1" l="1"/>
  <c r="G374" i="1"/>
  <c r="K2" i="1" s="1"/>
  <c r="F374" i="1"/>
  <c r="K3" i="1" s="1"/>
  <c r="D374" i="1"/>
  <c r="C374" i="1"/>
  <c r="K4" i="1" l="1"/>
  <c r="L2" i="1" s="1"/>
  <c r="L3" i="1" l="1"/>
</calcChain>
</file>

<file path=xl/sharedStrings.xml><?xml version="1.0" encoding="utf-8"?>
<sst xmlns="http://schemas.openxmlformats.org/spreadsheetml/2006/main" count="31" uniqueCount="27">
  <si>
    <t>Amount borrowed</t>
  </si>
  <si>
    <t>PV</t>
  </si>
  <si>
    <t>Mortgage rate</t>
  </si>
  <si>
    <t>FV</t>
  </si>
  <si>
    <t>Principal Repaid</t>
  </si>
  <si>
    <t>No. of years (10-30)</t>
  </si>
  <si>
    <t>Interest</t>
  </si>
  <si>
    <t>Interest Paid</t>
  </si>
  <si>
    <t>No. of payments per year</t>
  </si>
  <si>
    <t>No. of payments</t>
  </si>
  <si>
    <t>Total Paid</t>
  </si>
  <si>
    <t>Payment begins</t>
  </si>
  <si>
    <t xml:space="preserve"> </t>
  </si>
  <si>
    <t>Monthly Payments</t>
  </si>
  <si>
    <t xml:space="preserve">This is  the monthly payment  required under </t>
  </si>
  <si>
    <t>the terms of the mortgage</t>
  </si>
  <si>
    <t>LOAN AMORTIZATION SCHEDULE</t>
  </si>
  <si>
    <t>Beginning</t>
  </si>
  <si>
    <t xml:space="preserve">Total </t>
  </si>
  <si>
    <t>Principal</t>
  </si>
  <si>
    <t xml:space="preserve">Ending </t>
  </si>
  <si>
    <t>Period</t>
  </si>
  <si>
    <t>Date</t>
  </si>
  <si>
    <t>Balance</t>
  </si>
  <si>
    <t>Payments</t>
  </si>
  <si>
    <t>Paid</t>
  </si>
  <si>
    <t>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</si>
</sst>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0%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0000"/>
      <name val="Arial"/>
      <scheme val="minor"/>
    </font>
    <font>
      <b/>
      <sz val="10"/>
      <color rgb="FFFFFFFF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0" fontId="3" fillId="0" borderId="0" xfId="0" applyFont="1"/>
    <xf numFmtId="165" fontId="2" fillId="0" borderId="0" xfId="0" applyNumberFormat="1" applyFont="1"/>
    <xf numFmtId="14" fontId="2" fillId="0" borderId="0" xfId="0" applyNumberFormat="1" applyFont="1"/>
    <xf numFmtId="0" fontId="1" fillId="2" borderId="0" xfId="0" applyFont="1" applyFill="1"/>
    <xf numFmtId="0" fontId="2" fillId="2" borderId="0" xfId="0" applyFont="1" applyFill="1"/>
    <xf numFmtId="164" fontId="1" fillId="2" borderId="0" xfId="0" applyNumberFormat="1" applyFont="1" applyFill="1"/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4" borderId="0" xfId="0" applyFont="1" applyFill="1"/>
    <xf numFmtId="9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74"/>
  <sheetViews>
    <sheetView tabSelected="1" topLeftCell="A241" workbookViewId="0">
      <selection activeCell="H368" sqref="H368"/>
    </sheetView>
  </sheetViews>
  <sheetFormatPr defaultColWidth="12.54296875" defaultRowHeight="15.75" customHeight="1" x14ac:dyDescent="0.25"/>
  <cols>
    <col min="1" max="1" width="25.7265625" customWidth="1"/>
    <col min="10" max="10" width="17.453125" customWidth="1"/>
    <col min="11" max="11" width="15.26953125" customWidth="1"/>
  </cols>
  <sheetData>
    <row r="1" spans="1:12" ht="15.75" customHeight="1" x14ac:dyDescent="0.3">
      <c r="A1" s="1" t="s">
        <v>0</v>
      </c>
      <c r="B1" s="16">
        <v>1000000</v>
      </c>
      <c r="D1" s="2" t="s">
        <v>1</v>
      </c>
      <c r="E1" s="2">
        <f>B1</f>
        <v>1000000</v>
      </c>
    </row>
    <row r="2" spans="1:12" ht="15.75" customHeight="1" x14ac:dyDescent="0.3">
      <c r="A2" s="1" t="s">
        <v>2</v>
      </c>
      <c r="B2" s="17">
        <v>0.11</v>
      </c>
      <c r="D2" s="2" t="s">
        <v>3</v>
      </c>
      <c r="E2" s="2">
        <v>0</v>
      </c>
      <c r="J2" s="1" t="s">
        <v>4</v>
      </c>
      <c r="K2" s="3">
        <f>-SUM(G15:G374)</f>
        <v>-1000000.0000000006</v>
      </c>
      <c r="L2" s="4">
        <f>K2/K4</f>
        <v>-2.0953284702560611</v>
      </c>
    </row>
    <row r="3" spans="1:12" ht="15.75" customHeight="1" x14ac:dyDescent="0.3">
      <c r="A3" s="1" t="s">
        <v>5</v>
      </c>
      <c r="B3" s="16">
        <v>20</v>
      </c>
      <c r="C3" s="5" t="str">
        <f>IF(OR(B3&lt;10,B3&gt;30),"ERROR","OK")</f>
        <v>OK</v>
      </c>
      <c r="D3" s="2" t="s">
        <v>6</v>
      </c>
      <c r="E3" s="6">
        <f>B2/B4</f>
        <v>9.1666666666666667E-3</v>
      </c>
      <c r="J3" s="1" t="s">
        <v>7</v>
      </c>
      <c r="K3" s="3">
        <f>SUM(F15:F374)</f>
        <v>1477252.1417025351</v>
      </c>
      <c r="L3" s="4">
        <f>K3/K4</f>
        <v>3.0953284702560611</v>
      </c>
    </row>
    <row r="4" spans="1:12" ht="15.75" customHeight="1" x14ac:dyDescent="0.3">
      <c r="A4" s="1" t="s">
        <v>8</v>
      </c>
      <c r="B4" s="2">
        <v>12</v>
      </c>
      <c r="D4" s="2" t="s">
        <v>9</v>
      </c>
      <c r="E4" s="2">
        <f>B3*B4</f>
        <v>240</v>
      </c>
      <c r="J4" s="1" t="s">
        <v>10</v>
      </c>
      <c r="K4" s="3">
        <f>K2+K3</f>
        <v>477252.14170253451</v>
      </c>
    </row>
    <row r="5" spans="1:12" ht="15.75" customHeight="1" x14ac:dyDescent="0.3">
      <c r="A5" s="1" t="s">
        <v>11</v>
      </c>
      <c r="B5" s="7">
        <v>45474</v>
      </c>
    </row>
    <row r="7" spans="1:12" ht="15.75" customHeight="1" x14ac:dyDescent="0.3">
      <c r="B7" s="2" t="s">
        <v>12</v>
      </c>
      <c r="D7" s="8" t="s">
        <v>13</v>
      </c>
      <c r="E7" s="9"/>
      <c r="F7" s="10">
        <f>-PMT(E3,E4,E1)</f>
        <v>10321.883923760568</v>
      </c>
      <c r="G7" s="2" t="s">
        <v>14</v>
      </c>
    </row>
    <row r="8" spans="1:12" ht="15.75" customHeight="1" x14ac:dyDescent="0.25">
      <c r="G8" s="2" t="s">
        <v>15</v>
      </c>
    </row>
    <row r="11" spans="1:12" ht="15.75" customHeight="1" x14ac:dyDescent="0.25">
      <c r="K11" s="2" t="s">
        <v>12</v>
      </c>
    </row>
    <row r="12" spans="1:12" ht="15.75" customHeight="1" x14ac:dyDescent="0.3">
      <c r="A12" s="1" t="s">
        <v>16</v>
      </c>
    </row>
    <row r="13" spans="1:12" ht="15.75" customHeight="1" x14ac:dyDescent="0.3">
      <c r="B13" s="11"/>
      <c r="C13" s="11"/>
      <c r="D13" s="11" t="s">
        <v>17</v>
      </c>
      <c r="E13" s="11" t="s">
        <v>18</v>
      </c>
      <c r="F13" s="11" t="s">
        <v>6</v>
      </c>
      <c r="G13" s="11" t="s">
        <v>19</v>
      </c>
      <c r="H13" s="11" t="s">
        <v>20</v>
      </c>
    </row>
    <row r="14" spans="1:12" ht="15.75" customHeight="1" x14ac:dyDescent="0.3">
      <c r="B14" s="11" t="s">
        <v>21</v>
      </c>
      <c r="C14" s="11" t="s">
        <v>22</v>
      </c>
      <c r="D14" s="11" t="s">
        <v>23</v>
      </c>
      <c r="E14" s="11" t="s">
        <v>24</v>
      </c>
      <c r="F14" s="11" t="s">
        <v>25</v>
      </c>
      <c r="G14" s="11" t="s">
        <v>26</v>
      </c>
      <c r="H14" s="11" t="s">
        <v>23</v>
      </c>
    </row>
    <row r="15" spans="1:12" ht="15.75" customHeight="1" x14ac:dyDescent="0.25">
      <c r="B15" s="12">
        <v>1</v>
      </c>
      <c r="C15" s="13">
        <f>IF(B15&lt;=E4,B5,"")</f>
        <v>45474</v>
      </c>
      <c r="D15" s="14">
        <f>B1</f>
        <v>1000000</v>
      </c>
      <c r="E15" s="14">
        <f>IF(B15&lt;=$E$4,$F$7,"")</f>
        <v>10321.883923760568</v>
      </c>
      <c r="F15" s="14">
        <f t="shared" ref="F15:F269" si="0">IF(B15&lt;= $E$4, D15*$E$3,"")</f>
        <v>9166.6666666666661</v>
      </c>
      <c r="G15" s="14">
        <f t="shared" ref="G15:G269" si="1">IF(B15&lt;=$E$4,E15-F15,"")</f>
        <v>1155.2172570939019</v>
      </c>
      <c r="H15" s="14">
        <f t="shared" ref="H15:H269" si="2">IF(B15&lt;=$E$4,D15-G15,"")</f>
        <v>998844.78274290613</v>
      </c>
    </row>
    <row r="16" spans="1:12" ht="15.75" customHeight="1" x14ac:dyDescent="0.25">
      <c r="B16" s="12">
        <f t="shared" ref="B16:B270" si="3">B15+1</f>
        <v>2</v>
      </c>
      <c r="C16" s="13">
        <f t="shared" ref="C16:C270" si="4">IF(B16&lt;=$E$4, EDATE($C$15,B15), "")</f>
        <v>45505</v>
      </c>
      <c r="D16" s="14">
        <f t="shared" ref="D16:D270" si="5">IF(B16&lt;=$E$4,H15,"")</f>
        <v>998844.78274290613</v>
      </c>
      <c r="E16" s="14">
        <f t="shared" ref="E16:E79" si="6">IF(B16&lt;=$E$4,$F$7,"")</f>
        <v>10321.883923760568</v>
      </c>
      <c r="F16" s="14">
        <f t="shared" si="0"/>
        <v>9156.0771751433058</v>
      </c>
      <c r="G16" s="14">
        <f t="shared" si="1"/>
        <v>1165.8067486172622</v>
      </c>
      <c r="H16" s="14">
        <f t="shared" si="2"/>
        <v>997678.97599428892</v>
      </c>
    </row>
    <row r="17" spans="2:8" ht="15.75" customHeight="1" x14ac:dyDescent="0.25">
      <c r="B17" s="12">
        <f t="shared" si="3"/>
        <v>3</v>
      </c>
      <c r="C17" s="13">
        <f t="shared" si="4"/>
        <v>45536</v>
      </c>
      <c r="D17" s="14">
        <f t="shared" si="5"/>
        <v>997678.97599428892</v>
      </c>
      <c r="E17" s="14">
        <f t="shared" si="6"/>
        <v>10321.883923760568</v>
      </c>
      <c r="F17" s="14">
        <f t="shared" si="0"/>
        <v>9145.3906132809825</v>
      </c>
      <c r="G17" s="14">
        <f t="shared" si="1"/>
        <v>1176.4933104795855</v>
      </c>
      <c r="H17" s="14">
        <f t="shared" si="2"/>
        <v>996502.48268380936</v>
      </c>
    </row>
    <row r="18" spans="2:8" ht="15.75" customHeight="1" x14ac:dyDescent="0.25">
      <c r="B18" s="12">
        <f t="shared" si="3"/>
        <v>4</v>
      </c>
      <c r="C18" s="13">
        <f t="shared" si="4"/>
        <v>45566</v>
      </c>
      <c r="D18" s="14">
        <f t="shared" si="5"/>
        <v>996502.48268380936</v>
      </c>
      <c r="E18" s="14">
        <f t="shared" si="6"/>
        <v>10321.883923760568</v>
      </c>
      <c r="F18" s="14">
        <f t="shared" si="0"/>
        <v>9134.6060912682533</v>
      </c>
      <c r="G18" s="14">
        <f t="shared" si="1"/>
        <v>1187.2778324923147</v>
      </c>
      <c r="H18" s="15">
        <f t="shared" si="2"/>
        <v>995315.20485131699</v>
      </c>
    </row>
    <row r="19" spans="2:8" ht="15.75" customHeight="1" x14ac:dyDescent="0.25">
      <c r="B19" s="12">
        <f t="shared" si="3"/>
        <v>5</v>
      </c>
      <c r="C19" s="13">
        <f t="shared" si="4"/>
        <v>45597</v>
      </c>
      <c r="D19" s="14">
        <f t="shared" si="5"/>
        <v>995315.20485131699</v>
      </c>
      <c r="E19" s="14">
        <f t="shared" si="6"/>
        <v>10321.883923760568</v>
      </c>
      <c r="F19" s="14">
        <f t="shared" si="0"/>
        <v>9123.7227111370721</v>
      </c>
      <c r="G19" s="14">
        <f t="shared" si="1"/>
        <v>1198.1612126234959</v>
      </c>
      <c r="H19" s="14">
        <f t="shared" si="2"/>
        <v>994117.04363869352</v>
      </c>
    </row>
    <row r="20" spans="2:8" ht="15.75" customHeight="1" x14ac:dyDescent="0.25">
      <c r="B20" s="12">
        <f t="shared" si="3"/>
        <v>6</v>
      </c>
      <c r="C20" s="13">
        <f t="shared" si="4"/>
        <v>45627</v>
      </c>
      <c r="D20" s="14">
        <f t="shared" si="5"/>
        <v>994117.04363869352</v>
      </c>
      <c r="E20" s="14">
        <f t="shared" si="6"/>
        <v>10321.883923760568</v>
      </c>
      <c r="F20" s="14">
        <f t="shared" si="0"/>
        <v>9112.7395666880238</v>
      </c>
      <c r="G20" s="14">
        <f t="shared" si="1"/>
        <v>1209.1443570725442</v>
      </c>
      <c r="H20" s="14">
        <f t="shared" si="2"/>
        <v>992907.89928162098</v>
      </c>
    </row>
    <row r="21" spans="2:8" ht="15.75" customHeight="1" x14ac:dyDescent="0.25">
      <c r="B21" s="12">
        <f t="shared" si="3"/>
        <v>7</v>
      </c>
      <c r="C21" s="13">
        <f t="shared" si="4"/>
        <v>45658</v>
      </c>
      <c r="D21" s="14">
        <f t="shared" si="5"/>
        <v>992907.89928162098</v>
      </c>
      <c r="E21" s="14">
        <f t="shared" si="6"/>
        <v>10321.883923760568</v>
      </c>
      <c r="F21" s="14">
        <f t="shared" si="0"/>
        <v>9101.6557434148599</v>
      </c>
      <c r="G21" s="14">
        <f t="shared" si="1"/>
        <v>1220.2281803457081</v>
      </c>
      <c r="H21" s="14">
        <f t="shared" si="2"/>
        <v>991687.67110127525</v>
      </c>
    </row>
    <row r="22" spans="2:8" ht="15.75" customHeight="1" x14ac:dyDescent="0.25">
      <c r="B22" s="12">
        <f t="shared" si="3"/>
        <v>8</v>
      </c>
      <c r="C22" s="13">
        <f t="shared" si="4"/>
        <v>45689</v>
      </c>
      <c r="D22" s="14">
        <f t="shared" si="5"/>
        <v>991687.67110127525</v>
      </c>
      <c r="E22" s="14">
        <f t="shared" si="6"/>
        <v>10321.883923760568</v>
      </c>
      <c r="F22" s="14">
        <f t="shared" si="0"/>
        <v>9090.4703184283571</v>
      </c>
      <c r="G22" s="14">
        <f t="shared" si="1"/>
        <v>1231.4136053322109</v>
      </c>
      <c r="H22" s="14">
        <f t="shared" si="2"/>
        <v>990456.25749594299</v>
      </c>
    </row>
    <row r="23" spans="2:8" ht="15.75" customHeight="1" x14ac:dyDescent="0.25">
      <c r="B23" s="12">
        <f t="shared" si="3"/>
        <v>9</v>
      </c>
      <c r="C23" s="13">
        <f t="shared" si="4"/>
        <v>45717</v>
      </c>
      <c r="D23" s="14">
        <f t="shared" si="5"/>
        <v>990456.25749594299</v>
      </c>
      <c r="E23" s="14">
        <f t="shared" si="6"/>
        <v>10321.883923760568</v>
      </c>
      <c r="F23" s="14">
        <f t="shared" si="0"/>
        <v>9079.1823603794783</v>
      </c>
      <c r="G23" s="14">
        <f t="shared" si="1"/>
        <v>1242.7015633810897</v>
      </c>
      <c r="H23" s="14">
        <f t="shared" si="2"/>
        <v>989213.55593256187</v>
      </c>
    </row>
    <row r="24" spans="2:8" ht="15.75" customHeight="1" x14ac:dyDescent="0.25">
      <c r="B24" s="12">
        <f t="shared" si="3"/>
        <v>10</v>
      </c>
      <c r="C24" s="13">
        <f t="shared" si="4"/>
        <v>45748</v>
      </c>
      <c r="D24" s="14">
        <f t="shared" si="5"/>
        <v>989213.55593256187</v>
      </c>
      <c r="E24" s="14">
        <f t="shared" si="6"/>
        <v>10321.883923760568</v>
      </c>
      <c r="F24" s="14">
        <f t="shared" si="0"/>
        <v>9067.7909293818175</v>
      </c>
      <c r="G24" s="14">
        <f t="shared" si="1"/>
        <v>1254.0929943787505</v>
      </c>
      <c r="H24" s="14">
        <f t="shared" si="2"/>
        <v>987959.4629381831</v>
      </c>
    </row>
    <row r="25" spans="2:8" ht="15.75" customHeight="1" x14ac:dyDescent="0.25">
      <c r="B25" s="12">
        <f t="shared" si="3"/>
        <v>11</v>
      </c>
      <c r="C25" s="13">
        <f t="shared" si="4"/>
        <v>45778</v>
      </c>
      <c r="D25" s="14">
        <f t="shared" si="5"/>
        <v>987959.4629381831</v>
      </c>
      <c r="E25" s="14">
        <f t="shared" si="6"/>
        <v>10321.883923760568</v>
      </c>
      <c r="F25" s="14">
        <f t="shared" si="0"/>
        <v>9056.2950769333456</v>
      </c>
      <c r="G25" s="14">
        <f t="shared" si="1"/>
        <v>1265.5888468272224</v>
      </c>
      <c r="H25" s="14">
        <f t="shared" si="2"/>
        <v>986693.87409135583</v>
      </c>
    </row>
    <row r="26" spans="2:8" ht="12.5" x14ac:dyDescent="0.25">
      <c r="B26" s="12">
        <f t="shared" si="3"/>
        <v>12</v>
      </c>
      <c r="C26" s="13">
        <f t="shared" si="4"/>
        <v>45809</v>
      </c>
      <c r="D26" s="14">
        <f t="shared" si="5"/>
        <v>986693.87409135583</v>
      </c>
      <c r="E26" s="14">
        <f t="shared" si="6"/>
        <v>10321.883923760568</v>
      </c>
      <c r="F26" s="14">
        <f t="shared" si="0"/>
        <v>9044.6938458374279</v>
      </c>
      <c r="G26" s="14">
        <f t="shared" si="1"/>
        <v>1277.1900779231401</v>
      </c>
      <c r="H26" s="14">
        <f t="shared" si="2"/>
        <v>985416.68401343271</v>
      </c>
    </row>
    <row r="27" spans="2:8" ht="12.5" x14ac:dyDescent="0.25">
      <c r="B27" s="12">
        <f t="shared" si="3"/>
        <v>13</v>
      </c>
      <c r="C27" s="13">
        <f t="shared" si="4"/>
        <v>45839</v>
      </c>
      <c r="D27" s="14">
        <f t="shared" si="5"/>
        <v>985416.68401343271</v>
      </c>
      <c r="E27" s="14">
        <f t="shared" si="6"/>
        <v>10321.883923760568</v>
      </c>
      <c r="F27" s="14">
        <f t="shared" si="0"/>
        <v>9032.9862701231341</v>
      </c>
      <c r="G27" s="14">
        <f t="shared" si="1"/>
        <v>1288.8976536374339</v>
      </c>
      <c r="H27" s="14">
        <f t="shared" si="2"/>
        <v>984127.78635979525</v>
      </c>
    </row>
    <row r="28" spans="2:8" ht="12.5" x14ac:dyDescent="0.25">
      <c r="B28" s="12">
        <f t="shared" si="3"/>
        <v>14</v>
      </c>
      <c r="C28" s="13">
        <f t="shared" si="4"/>
        <v>45870</v>
      </c>
      <c r="D28" s="14">
        <f t="shared" si="5"/>
        <v>984127.78635979525</v>
      </c>
      <c r="E28" s="14">
        <f t="shared" si="6"/>
        <v>10321.883923760568</v>
      </c>
      <c r="F28" s="14">
        <f t="shared" si="0"/>
        <v>9021.1713749647897</v>
      </c>
      <c r="G28" s="14">
        <f t="shared" si="1"/>
        <v>1300.7125487957783</v>
      </c>
      <c r="H28" s="14">
        <f t="shared" si="2"/>
        <v>982827.07381099951</v>
      </c>
    </row>
    <row r="29" spans="2:8" ht="12.5" x14ac:dyDescent="0.25">
      <c r="B29" s="12">
        <f t="shared" si="3"/>
        <v>15</v>
      </c>
      <c r="C29" s="13">
        <f t="shared" si="4"/>
        <v>45901</v>
      </c>
      <c r="D29" s="14">
        <f t="shared" si="5"/>
        <v>982827.07381099951</v>
      </c>
      <c r="E29" s="14">
        <f t="shared" si="6"/>
        <v>10321.883923760568</v>
      </c>
      <c r="F29" s="14">
        <f t="shared" si="0"/>
        <v>9009.2481766008295</v>
      </c>
      <c r="G29" s="14">
        <f t="shared" si="1"/>
        <v>1312.6357471597385</v>
      </c>
      <c r="H29" s="14">
        <f t="shared" si="2"/>
        <v>981514.4380638398</v>
      </c>
    </row>
    <row r="30" spans="2:8" ht="12.5" x14ac:dyDescent="0.25">
      <c r="B30" s="12">
        <f t="shared" si="3"/>
        <v>16</v>
      </c>
      <c r="C30" s="13">
        <f t="shared" si="4"/>
        <v>45931</v>
      </c>
      <c r="D30" s="14">
        <f t="shared" si="5"/>
        <v>981514.4380638398</v>
      </c>
      <c r="E30" s="14">
        <f t="shared" si="6"/>
        <v>10321.883923760568</v>
      </c>
      <c r="F30" s="14">
        <f t="shared" si="0"/>
        <v>8997.2156822518646</v>
      </c>
      <c r="G30" s="14">
        <f t="shared" si="1"/>
        <v>1324.6682415087034</v>
      </c>
      <c r="H30" s="14">
        <f t="shared" si="2"/>
        <v>980189.76982233115</v>
      </c>
    </row>
    <row r="31" spans="2:8" ht="12.5" x14ac:dyDescent="0.25">
      <c r="B31" s="12">
        <f t="shared" si="3"/>
        <v>17</v>
      </c>
      <c r="C31" s="13">
        <f t="shared" si="4"/>
        <v>45962</v>
      </c>
      <c r="D31" s="14">
        <f t="shared" si="5"/>
        <v>980189.76982233115</v>
      </c>
      <c r="E31" s="14">
        <f t="shared" si="6"/>
        <v>10321.883923760568</v>
      </c>
      <c r="F31" s="14">
        <f t="shared" si="0"/>
        <v>8985.0728900380363</v>
      </c>
      <c r="G31" s="14">
        <f t="shared" si="1"/>
        <v>1336.8110337225316</v>
      </c>
      <c r="H31" s="14">
        <f t="shared" si="2"/>
        <v>978852.95878860867</v>
      </c>
    </row>
    <row r="32" spans="2:8" ht="12.5" x14ac:dyDescent="0.25">
      <c r="B32" s="12">
        <f t="shared" si="3"/>
        <v>18</v>
      </c>
      <c r="C32" s="13">
        <f t="shared" si="4"/>
        <v>45992</v>
      </c>
      <c r="D32" s="14">
        <f t="shared" si="5"/>
        <v>978852.95878860867</v>
      </c>
      <c r="E32" s="14">
        <f t="shared" si="6"/>
        <v>10321.883923760568</v>
      </c>
      <c r="F32" s="14">
        <f t="shared" si="0"/>
        <v>8972.8187888955799</v>
      </c>
      <c r="G32" s="14">
        <f t="shared" si="1"/>
        <v>1349.0651348649881</v>
      </c>
      <c r="H32" s="14">
        <f t="shared" si="2"/>
        <v>977503.89365374367</v>
      </c>
    </row>
    <row r="33" spans="2:8" ht="12.5" x14ac:dyDescent="0.25">
      <c r="B33" s="12">
        <f t="shared" si="3"/>
        <v>19</v>
      </c>
      <c r="C33" s="13">
        <f t="shared" si="4"/>
        <v>46023</v>
      </c>
      <c r="D33" s="14">
        <f t="shared" si="5"/>
        <v>977503.89365374367</v>
      </c>
      <c r="E33" s="14">
        <f t="shared" si="6"/>
        <v>10321.883923760568</v>
      </c>
      <c r="F33" s="14">
        <f t="shared" si="0"/>
        <v>8960.4523584926501</v>
      </c>
      <c r="G33" s="14">
        <f t="shared" si="1"/>
        <v>1361.4315652679179</v>
      </c>
      <c r="H33" s="14">
        <f t="shared" si="2"/>
        <v>976142.4620884757</v>
      </c>
    </row>
    <row r="34" spans="2:8" ht="12.5" x14ac:dyDescent="0.25">
      <c r="B34" s="12">
        <f t="shared" si="3"/>
        <v>20</v>
      </c>
      <c r="C34" s="13">
        <f t="shared" si="4"/>
        <v>46054</v>
      </c>
      <c r="D34" s="14">
        <f t="shared" si="5"/>
        <v>976142.4620884757</v>
      </c>
      <c r="E34" s="14">
        <f t="shared" si="6"/>
        <v>10321.883923760568</v>
      </c>
      <c r="F34" s="14">
        <f t="shared" si="0"/>
        <v>8947.97256914436</v>
      </c>
      <c r="G34" s="14">
        <f t="shared" si="1"/>
        <v>1373.911354616208</v>
      </c>
      <c r="H34" s="14">
        <f t="shared" si="2"/>
        <v>974768.55073385953</v>
      </c>
    </row>
    <row r="35" spans="2:8" ht="12.5" x14ac:dyDescent="0.25">
      <c r="B35" s="12">
        <f t="shared" si="3"/>
        <v>21</v>
      </c>
      <c r="C35" s="13">
        <f t="shared" si="4"/>
        <v>46082</v>
      </c>
      <c r="D35" s="14">
        <f t="shared" si="5"/>
        <v>974768.55073385953</v>
      </c>
      <c r="E35" s="14">
        <f t="shared" si="6"/>
        <v>10321.883923760568</v>
      </c>
      <c r="F35" s="14">
        <f t="shared" si="0"/>
        <v>8935.3783817270451</v>
      </c>
      <c r="G35" s="14">
        <f t="shared" si="1"/>
        <v>1386.5055420335229</v>
      </c>
      <c r="H35" s="14">
        <f t="shared" si="2"/>
        <v>973382.04519182607</v>
      </c>
    </row>
    <row r="36" spans="2:8" ht="12.5" x14ac:dyDescent="0.25">
      <c r="B36" s="12">
        <f t="shared" si="3"/>
        <v>22</v>
      </c>
      <c r="C36" s="13">
        <f t="shared" si="4"/>
        <v>46113</v>
      </c>
      <c r="D36" s="14">
        <f t="shared" si="5"/>
        <v>973382.04519182607</v>
      </c>
      <c r="E36" s="14">
        <f t="shared" si="6"/>
        <v>10321.883923760568</v>
      </c>
      <c r="F36" s="14">
        <f t="shared" si="0"/>
        <v>8922.6687475917388</v>
      </c>
      <c r="G36" s="14">
        <f t="shared" si="1"/>
        <v>1399.2151761688292</v>
      </c>
      <c r="H36" s="14">
        <f t="shared" si="2"/>
        <v>971982.83001565724</v>
      </c>
    </row>
    <row r="37" spans="2:8" ht="12.5" x14ac:dyDescent="0.25">
      <c r="B37" s="12">
        <f t="shared" si="3"/>
        <v>23</v>
      </c>
      <c r="C37" s="13">
        <f t="shared" si="4"/>
        <v>46143</v>
      </c>
      <c r="D37" s="14">
        <f t="shared" si="5"/>
        <v>971982.83001565724</v>
      </c>
      <c r="E37" s="14">
        <f t="shared" si="6"/>
        <v>10321.883923760568</v>
      </c>
      <c r="F37" s="14">
        <f t="shared" si="0"/>
        <v>8909.842608476858</v>
      </c>
      <c r="G37" s="14">
        <f t="shared" si="1"/>
        <v>1412.04131528371</v>
      </c>
      <c r="H37" s="14">
        <f t="shared" si="2"/>
        <v>970570.78870037349</v>
      </c>
    </row>
    <row r="38" spans="2:8" ht="12.5" x14ac:dyDescent="0.25">
      <c r="B38" s="12">
        <f t="shared" si="3"/>
        <v>24</v>
      </c>
      <c r="C38" s="13">
        <f t="shared" si="4"/>
        <v>46174</v>
      </c>
      <c r="D38" s="14">
        <f t="shared" si="5"/>
        <v>970570.78870037349</v>
      </c>
      <c r="E38" s="14">
        <f t="shared" si="6"/>
        <v>10321.883923760568</v>
      </c>
      <c r="F38" s="14">
        <f t="shared" si="0"/>
        <v>8896.8988964200908</v>
      </c>
      <c r="G38" s="14">
        <f t="shared" si="1"/>
        <v>1424.9850273404772</v>
      </c>
      <c r="H38" s="14">
        <f t="shared" si="2"/>
        <v>969145.80367303302</v>
      </c>
    </row>
    <row r="39" spans="2:8" ht="12.5" x14ac:dyDescent="0.25">
      <c r="B39" s="12">
        <f t="shared" si="3"/>
        <v>25</v>
      </c>
      <c r="C39" s="13">
        <f t="shared" si="4"/>
        <v>46204</v>
      </c>
      <c r="D39" s="14">
        <f t="shared" si="5"/>
        <v>969145.80367303302</v>
      </c>
      <c r="E39" s="14">
        <f t="shared" si="6"/>
        <v>10321.883923760568</v>
      </c>
      <c r="F39" s="14">
        <f t="shared" si="0"/>
        <v>8883.8365336694696</v>
      </c>
      <c r="G39" s="14">
        <f t="shared" si="1"/>
        <v>1438.0473900910984</v>
      </c>
      <c r="H39" s="14">
        <f t="shared" si="2"/>
        <v>967707.7562829419</v>
      </c>
    </row>
    <row r="40" spans="2:8" ht="12.5" x14ac:dyDescent="0.25">
      <c r="B40" s="12">
        <f t="shared" si="3"/>
        <v>26</v>
      </c>
      <c r="C40" s="13">
        <f t="shared" si="4"/>
        <v>46235</v>
      </c>
      <c r="D40" s="14">
        <f t="shared" si="5"/>
        <v>967707.7562829419</v>
      </c>
      <c r="E40" s="14">
        <f t="shared" si="6"/>
        <v>10321.883923760568</v>
      </c>
      <c r="F40" s="14">
        <f t="shared" si="0"/>
        <v>8870.6544325936338</v>
      </c>
      <c r="G40" s="14">
        <f t="shared" si="1"/>
        <v>1451.2294911669342</v>
      </c>
      <c r="H40" s="14">
        <f t="shared" si="2"/>
        <v>966256.52679177502</v>
      </c>
    </row>
    <row r="41" spans="2:8" ht="12.5" x14ac:dyDescent="0.25">
      <c r="B41" s="12">
        <f t="shared" si="3"/>
        <v>27</v>
      </c>
      <c r="C41" s="13">
        <f t="shared" si="4"/>
        <v>46266</v>
      </c>
      <c r="D41" s="14">
        <f t="shared" si="5"/>
        <v>966256.52679177502</v>
      </c>
      <c r="E41" s="14">
        <f t="shared" si="6"/>
        <v>10321.883923760568</v>
      </c>
      <c r="F41" s="14">
        <f t="shared" si="0"/>
        <v>8857.3514955912706</v>
      </c>
      <c r="G41" s="14">
        <f t="shared" si="1"/>
        <v>1464.5324281692974</v>
      </c>
      <c r="H41" s="14">
        <f t="shared" si="2"/>
        <v>964791.99436360574</v>
      </c>
    </row>
    <row r="42" spans="2:8" ht="12.5" x14ac:dyDescent="0.25">
      <c r="B42" s="12">
        <f t="shared" si="3"/>
        <v>28</v>
      </c>
      <c r="C42" s="13">
        <f t="shared" si="4"/>
        <v>46296</v>
      </c>
      <c r="D42" s="14">
        <f t="shared" si="5"/>
        <v>964791.99436360574</v>
      </c>
      <c r="E42" s="14">
        <f t="shared" si="6"/>
        <v>10321.883923760568</v>
      </c>
      <c r="F42" s="14">
        <f t="shared" si="0"/>
        <v>8843.9266149997202</v>
      </c>
      <c r="G42" s="14">
        <f t="shared" si="1"/>
        <v>1477.9573087608478</v>
      </c>
      <c r="H42" s="14">
        <f t="shared" si="2"/>
        <v>963314.0370548449</v>
      </c>
    </row>
    <row r="43" spans="2:8" ht="12.5" x14ac:dyDescent="0.25">
      <c r="B43" s="12">
        <f t="shared" si="3"/>
        <v>29</v>
      </c>
      <c r="C43" s="13">
        <f t="shared" si="4"/>
        <v>46327</v>
      </c>
      <c r="D43" s="14">
        <f t="shared" si="5"/>
        <v>963314.0370548449</v>
      </c>
      <c r="E43" s="14">
        <f t="shared" si="6"/>
        <v>10321.883923760568</v>
      </c>
      <c r="F43" s="14">
        <f t="shared" si="0"/>
        <v>8830.3786730027441</v>
      </c>
      <c r="G43" s="14">
        <f t="shared" si="1"/>
        <v>1491.5052507578239</v>
      </c>
      <c r="H43" s="14">
        <f t="shared" si="2"/>
        <v>961822.53180408711</v>
      </c>
    </row>
    <row r="44" spans="2:8" ht="12.5" x14ac:dyDescent="0.25">
      <c r="B44" s="12">
        <f t="shared" si="3"/>
        <v>30</v>
      </c>
      <c r="C44" s="13">
        <f t="shared" si="4"/>
        <v>46357</v>
      </c>
      <c r="D44" s="14">
        <f t="shared" si="5"/>
        <v>961822.53180408711</v>
      </c>
      <c r="E44" s="14">
        <f t="shared" si="6"/>
        <v>10321.883923760568</v>
      </c>
      <c r="F44" s="14">
        <f t="shared" si="0"/>
        <v>8816.7065415374655</v>
      </c>
      <c r="G44" s="14">
        <f t="shared" si="1"/>
        <v>1505.1773822231025</v>
      </c>
      <c r="H44" s="14">
        <f t="shared" si="2"/>
        <v>960317.35442186403</v>
      </c>
    </row>
    <row r="45" spans="2:8" ht="12.5" x14ac:dyDescent="0.25">
      <c r="B45" s="12">
        <f t="shared" si="3"/>
        <v>31</v>
      </c>
      <c r="C45" s="13">
        <f t="shared" si="4"/>
        <v>46388</v>
      </c>
      <c r="D45" s="14">
        <f t="shared" si="5"/>
        <v>960317.35442186403</v>
      </c>
      <c r="E45" s="14">
        <f t="shared" si="6"/>
        <v>10321.883923760568</v>
      </c>
      <c r="F45" s="14">
        <f t="shared" si="0"/>
        <v>8802.90908220042</v>
      </c>
      <c r="G45" s="14">
        <f t="shared" si="1"/>
        <v>1518.974841560148</v>
      </c>
      <c r="H45" s="14">
        <f t="shared" si="2"/>
        <v>958798.37958030391</v>
      </c>
    </row>
    <row r="46" spans="2:8" ht="12.5" x14ac:dyDescent="0.25">
      <c r="B46" s="12">
        <f t="shared" si="3"/>
        <v>32</v>
      </c>
      <c r="C46" s="13">
        <f t="shared" si="4"/>
        <v>46419</v>
      </c>
      <c r="D46" s="14">
        <f t="shared" si="5"/>
        <v>958798.37958030391</v>
      </c>
      <c r="E46" s="14">
        <f t="shared" si="6"/>
        <v>10321.883923760568</v>
      </c>
      <c r="F46" s="14">
        <f t="shared" si="0"/>
        <v>8788.9851461527851</v>
      </c>
      <c r="G46" s="14">
        <f t="shared" si="1"/>
        <v>1532.8987776077829</v>
      </c>
      <c r="H46" s="14">
        <f t="shared" si="2"/>
        <v>957265.48080269608</v>
      </c>
    </row>
    <row r="47" spans="2:8" ht="12.5" x14ac:dyDescent="0.25">
      <c r="B47" s="12">
        <f t="shared" si="3"/>
        <v>33</v>
      </c>
      <c r="C47" s="13">
        <f t="shared" si="4"/>
        <v>46447</v>
      </c>
      <c r="D47" s="14">
        <f t="shared" si="5"/>
        <v>957265.48080269608</v>
      </c>
      <c r="E47" s="14">
        <f t="shared" si="6"/>
        <v>10321.883923760568</v>
      </c>
      <c r="F47" s="14">
        <f t="shared" si="0"/>
        <v>8774.9335740247134</v>
      </c>
      <c r="G47" s="14">
        <f t="shared" si="1"/>
        <v>1546.9503497358546</v>
      </c>
      <c r="H47" s="14">
        <f t="shared" si="2"/>
        <v>955718.53045296017</v>
      </c>
    </row>
    <row r="48" spans="2:8" ht="12.5" x14ac:dyDescent="0.25">
      <c r="B48" s="12">
        <f t="shared" si="3"/>
        <v>34</v>
      </c>
      <c r="C48" s="13">
        <f t="shared" si="4"/>
        <v>46478</v>
      </c>
      <c r="D48" s="14">
        <f t="shared" si="5"/>
        <v>955718.53045296017</v>
      </c>
      <c r="E48" s="14">
        <f t="shared" si="6"/>
        <v>10321.883923760568</v>
      </c>
      <c r="F48" s="14">
        <f t="shared" si="0"/>
        <v>8760.753195818801</v>
      </c>
      <c r="G48" s="14">
        <f t="shared" si="1"/>
        <v>1561.130727941767</v>
      </c>
      <c r="H48" s="14">
        <f t="shared" si="2"/>
        <v>954157.39972501842</v>
      </c>
    </row>
    <row r="49" spans="2:8" ht="12.5" x14ac:dyDescent="0.25">
      <c r="B49" s="12">
        <f t="shared" si="3"/>
        <v>35</v>
      </c>
      <c r="C49" s="13">
        <f t="shared" si="4"/>
        <v>46508</v>
      </c>
      <c r="D49" s="14">
        <f t="shared" si="5"/>
        <v>954157.39972501842</v>
      </c>
      <c r="E49" s="14">
        <f t="shared" si="6"/>
        <v>10321.883923760568</v>
      </c>
      <c r="F49" s="14">
        <f t="shared" si="0"/>
        <v>8746.442830812668</v>
      </c>
      <c r="G49" s="14">
        <f t="shared" si="1"/>
        <v>1575.4410929479</v>
      </c>
      <c r="H49" s="14">
        <f t="shared" si="2"/>
        <v>952581.95863207057</v>
      </c>
    </row>
    <row r="50" spans="2:8" ht="12.5" x14ac:dyDescent="0.25">
      <c r="B50" s="12">
        <f t="shared" si="3"/>
        <v>36</v>
      </c>
      <c r="C50" s="13">
        <f t="shared" si="4"/>
        <v>46539</v>
      </c>
      <c r="D50" s="14">
        <f t="shared" si="5"/>
        <v>952581.95863207057</v>
      </c>
      <c r="E50" s="14">
        <f t="shared" si="6"/>
        <v>10321.883923760568</v>
      </c>
      <c r="F50" s="14">
        <f t="shared" si="0"/>
        <v>8732.0012874606473</v>
      </c>
      <c r="G50" s="14">
        <f t="shared" si="1"/>
        <v>1589.8826362999207</v>
      </c>
      <c r="H50" s="14">
        <f t="shared" si="2"/>
        <v>950992.07599577063</v>
      </c>
    </row>
    <row r="51" spans="2:8" ht="12.5" x14ac:dyDescent="0.25">
      <c r="B51" s="12">
        <f t="shared" si="3"/>
        <v>37</v>
      </c>
      <c r="C51" s="13">
        <f t="shared" si="4"/>
        <v>46569</v>
      </c>
      <c r="D51" s="14">
        <f t="shared" si="5"/>
        <v>950992.07599577063</v>
      </c>
      <c r="E51" s="14">
        <f t="shared" si="6"/>
        <v>10321.883923760568</v>
      </c>
      <c r="F51" s="14">
        <f t="shared" si="0"/>
        <v>8717.4273632945642</v>
      </c>
      <c r="G51" s="14">
        <f t="shared" si="1"/>
        <v>1604.4565604660038</v>
      </c>
      <c r="H51" s="14">
        <f t="shared" si="2"/>
        <v>949387.61943530466</v>
      </c>
    </row>
    <row r="52" spans="2:8" ht="12.5" x14ac:dyDescent="0.25">
      <c r="B52" s="12">
        <f t="shared" si="3"/>
        <v>38</v>
      </c>
      <c r="C52" s="13">
        <f t="shared" si="4"/>
        <v>46600</v>
      </c>
      <c r="D52" s="14">
        <f t="shared" si="5"/>
        <v>949387.61943530466</v>
      </c>
      <c r="E52" s="14">
        <f t="shared" si="6"/>
        <v>10321.883923760568</v>
      </c>
      <c r="F52" s="14">
        <f t="shared" si="0"/>
        <v>8702.7198448236268</v>
      </c>
      <c r="G52" s="14">
        <f t="shared" si="1"/>
        <v>1619.1640789369412</v>
      </c>
      <c r="H52" s="14">
        <f t="shared" si="2"/>
        <v>947768.45535636775</v>
      </c>
    </row>
    <row r="53" spans="2:8" ht="12.5" x14ac:dyDescent="0.25">
      <c r="B53" s="12">
        <f t="shared" si="3"/>
        <v>39</v>
      </c>
      <c r="C53" s="13">
        <f t="shared" si="4"/>
        <v>46631</v>
      </c>
      <c r="D53" s="14">
        <f t="shared" si="5"/>
        <v>947768.45535636775</v>
      </c>
      <c r="E53" s="14">
        <f t="shared" si="6"/>
        <v>10321.883923760568</v>
      </c>
      <c r="F53" s="14">
        <f t="shared" si="0"/>
        <v>8687.8775074333716</v>
      </c>
      <c r="G53" s="14">
        <f t="shared" si="1"/>
        <v>1634.0064163271963</v>
      </c>
      <c r="H53" s="14">
        <f t="shared" si="2"/>
        <v>946134.44894004054</v>
      </c>
    </row>
    <row r="54" spans="2:8" ht="12.5" x14ac:dyDescent="0.25">
      <c r="B54" s="12">
        <f t="shared" si="3"/>
        <v>40</v>
      </c>
      <c r="C54" s="13">
        <f t="shared" si="4"/>
        <v>46661</v>
      </c>
      <c r="D54" s="14">
        <f t="shared" si="5"/>
        <v>946134.44894004054</v>
      </c>
      <c r="E54" s="14">
        <f t="shared" si="6"/>
        <v>10321.883923760568</v>
      </c>
      <c r="F54" s="14">
        <f t="shared" si="0"/>
        <v>8672.8991152837043</v>
      </c>
      <c r="G54" s="14">
        <f t="shared" si="1"/>
        <v>1648.9848084768637</v>
      </c>
      <c r="H54" s="14">
        <f t="shared" si="2"/>
        <v>944485.46413156367</v>
      </c>
    </row>
    <row r="55" spans="2:8" ht="12.5" x14ac:dyDescent="0.25">
      <c r="B55" s="12">
        <f t="shared" si="3"/>
        <v>41</v>
      </c>
      <c r="C55" s="13">
        <f t="shared" si="4"/>
        <v>46692</v>
      </c>
      <c r="D55" s="14">
        <f t="shared" si="5"/>
        <v>944485.46413156367</v>
      </c>
      <c r="E55" s="14">
        <f t="shared" si="6"/>
        <v>10321.883923760568</v>
      </c>
      <c r="F55" s="14">
        <f t="shared" si="0"/>
        <v>8657.7834212060006</v>
      </c>
      <c r="G55" s="14">
        <f t="shared" si="1"/>
        <v>1664.1005025545674</v>
      </c>
      <c r="H55" s="14">
        <f t="shared" si="2"/>
        <v>942821.36362900911</v>
      </c>
    </row>
    <row r="56" spans="2:8" ht="12.5" x14ac:dyDescent="0.25">
      <c r="B56" s="12">
        <f t="shared" si="3"/>
        <v>42</v>
      </c>
      <c r="C56" s="13">
        <f t="shared" si="4"/>
        <v>46722</v>
      </c>
      <c r="D56" s="14">
        <f t="shared" si="5"/>
        <v>942821.36362900911</v>
      </c>
      <c r="E56" s="14">
        <f t="shared" si="6"/>
        <v>10321.883923760568</v>
      </c>
      <c r="F56" s="14">
        <f t="shared" si="0"/>
        <v>8642.5291665992499</v>
      </c>
      <c r="G56" s="14">
        <f t="shared" si="1"/>
        <v>1679.354757161318</v>
      </c>
      <c r="H56" s="14">
        <f t="shared" si="2"/>
        <v>941142.00887184776</v>
      </c>
    </row>
    <row r="57" spans="2:8" ht="12.5" x14ac:dyDescent="0.25">
      <c r="B57" s="12">
        <f t="shared" si="3"/>
        <v>43</v>
      </c>
      <c r="C57" s="13">
        <f t="shared" si="4"/>
        <v>46753</v>
      </c>
      <c r="D57" s="14">
        <f t="shared" si="5"/>
        <v>941142.00887184776</v>
      </c>
      <c r="E57" s="14">
        <f t="shared" si="6"/>
        <v>10321.883923760568</v>
      </c>
      <c r="F57" s="14">
        <f t="shared" si="0"/>
        <v>8627.135081325272</v>
      </c>
      <c r="G57" s="14">
        <f t="shared" si="1"/>
        <v>1694.748842435296</v>
      </c>
      <c r="H57" s="14">
        <f t="shared" si="2"/>
        <v>939447.26002941246</v>
      </c>
    </row>
    <row r="58" spans="2:8" ht="12.5" x14ac:dyDescent="0.25">
      <c r="B58" s="12">
        <f t="shared" si="3"/>
        <v>44</v>
      </c>
      <c r="C58" s="13">
        <f t="shared" si="4"/>
        <v>46784</v>
      </c>
      <c r="D58" s="14">
        <f t="shared" si="5"/>
        <v>939447.26002941246</v>
      </c>
      <c r="E58" s="14">
        <f t="shared" si="6"/>
        <v>10321.883923760568</v>
      </c>
      <c r="F58" s="14">
        <f t="shared" si="0"/>
        <v>8611.5998836029485</v>
      </c>
      <c r="G58" s="14">
        <f t="shared" si="1"/>
        <v>1710.2840401576195</v>
      </c>
      <c r="H58" s="14">
        <f t="shared" si="2"/>
        <v>937736.97598925489</v>
      </c>
    </row>
    <row r="59" spans="2:8" ht="12.5" x14ac:dyDescent="0.25">
      <c r="B59" s="12">
        <f t="shared" si="3"/>
        <v>45</v>
      </c>
      <c r="C59" s="13">
        <f t="shared" si="4"/>
        <v>46813</v>
      </c>
      <c r="D59" s="14">
        <f t="shared" si="5"/>
        <v>937736.97598925489</v>
      </c>
      <c r="E59" s="14">
        <f t="shared" si="6"/>
        <v>10321.883923760568</v>
      </c>
      <c r="F59" s="14">
        <f t="shared" si="0"/>
        <v>8595.9222799015024</v>
      </c>
      <c r="G59" s="14">
        <f t="shared" si="1"/>
        <v>1725.9616438590656</v>
      </c>
      <c r="H59" s="14">
        <f t="shared" si="2"/>
        <v>936011.01434539584</v>
      </c>
    </row>
    <row r="60" spans="2:8" ht="12.5" x14ac:dyDescent="0.25">
      <c r="B60" s="12">
        <f t="shared" si="3"/>
        <v>46</v>
      </c>
      <c r="C60" s="13">
        <f t="shared" si="4"/>
        <v>46844</v>
      </c>
      <c r="D60" s="14">
        <f t="shared" si="5"/>
        <v>936011.01434539584</v>
      </c>
      <c r="E60" s="14">
        <f t="shared" si="6"/>
        <v>10321.883923760568</v>
      </c>
      <c r="F60" s="14">
        <f t="shared" si="0"/>
        <v>8580.1009648327945</v>
      </c>
      <c r="G60" s="14">
        <f t="shared" si="1"/>
        <v>1741.7829589277735</v>
      </c>
      <c r="H60" s="14">
        <f t="shared" si="2"/>
        <v>934269.23138646805</v>
      </c>
    </row>
    <row r="61" spans="2:8" ht="12.5" x14ac:dyDescent="0.25">
      <c r="B61" s="12">
        <f t="shared" si="3"/>
        <v>47</v>
      </c>
      <c r="C61" s="13">
        <f t="shared" si="4"/>
        <v>46874</v>
      </c>
      <c r="D61" s="14">
        <f t="shared" si="5"/>
        <v>934269.23138646805</v>
      </c>
      <c r="E61" s="14">
        <f t="shared" si="6"/>
        <v>10321.883923760568</v>
      </c>
      <c r="F61" s="14">
        <f t="shared" si="0"/>
        <v>8564.1346210426236</v>
      </c>
      <c r="G61" s="14">
        <f t="shared" si="1"/>
        <v>1757.7493027179444</v>
      </c>
      <c r="H61" s="14">
        <f t="shared" si="2"/>
        <v>932511.48208375007</v>
      </c>
    </row>
    <row r="62" spans="2:8" ht="12.5" x14ac:dyDescent="0.25">
      <c r="B62" s="12">
        <f t="shared" si="3"/>
        <v>48</v>
      </c>
      <c r="C62" s="13">
        <f t="shared" si="4"/>
        <v>46905</v>
      </c>
      <c r="D62" s="14">
        <f t="shared" si="5"/>
        <v>932511.48208375007</v>
      </c>
      <c r="E62" s="14">
        <f t="shared" si="6"/>
        <v>10321.883923760568</v>
      </c>
      <c r="F62" s="14">
        <f t="shared" si="0"/>
        <v>8548.0219191010419</v>
      </c>
      <c r="G62" s="14">
        <f t="shared" si="1"/>
        <v>1773.8620046595261</v>
      </c>
      <c r="H62" s="14">
        <f t="shared" si="2"/>
        <v>930737.62007909059</v>
      </c>
    </row>
    <row r="63" spans="2:8" ht="12.5" x14ac:dyDescent="0.25">
      <c r="B63" s="12">
        <f t="shared" si="3"/>
        <v>49</v>
      </c>
      <c r="C63" s="13">
        <f t="shared" si="4"/>
        <v>46935</v>
      </c>
      <c r="D63" s="14">
        <f t="shared" si="5"/>
        <v>930737.62007909059</v>
      </c>
      <c r="E63" s="14">
        <f t="shared" si="6"/>
        <v>10321.883923760568</v>
      </c>
      <c r="F63" s="14">
        <f t="shared" si="0"/>
        <v>8531.7615173916638</v>
      </c>
      <c r="G63" s="14">
        <f t="shared" si="1"/>
        <v>1790.1224063689042</v>
      </c>
      <c r="H63" s="14">
        <f t="shared" si="2"/>
        <v>928947.49767272163</v>
      </c>
    </row>
    <row r="64" spans="2:8" ht="12.5" x14ac:dyDescent="0.25">
      <c r="B64" s="12">
        <f t="shared" si="3"/>
        <v>50</v>
      </c>
      <c r="C64" s="13">
        <f t="shared" si="4"/>
        <v>46966</v>
      </c>
      <c r="D64" s="14">
        <f t="shared" si="5"/>
        <v>928947.49767272163</v>
      </c>
      <c r="E64" s="14">
        <f t="shared" si="6"/>
        <v>10321.883923760568</v>
      </c>
      <c r="F64" s="14">
        <f t="shared" si="0"/>
        <v>8515.352061999949</v>
      </c>
      <c r="G64" s="14">
        <f t="shared" si="1"/>
        <v>1806.531861760619</v>
      </c>
      <c r="H64" s="14">
        <f t="shared" si="2"/>
        <v>927140.96581096097</v>
      </c>
    </row>
    <row r="65" spans="2:8" ht="12.5" x14ac:dyDescent="0.25">
      <c r="B65" s="12">
        <f t="shared" si="3"/>
        <v>51</v>
      </c>
      <c r="C65" s="13">
        <f t="shared" si="4"/>
        <v>46997</v>
      </c>
      <c r="D65" s="14">
        <f t="shared" si="5"/>
        <v>927140.96581096097</v>
      </c>
      <c r="E65" s="14">
        <f t="shared" si="6"/>
        <v>10321.883923760568</v>
      </c>
      <c r="F65" s="14">
        <f t="shared" si="0"/>
        <v>8498.7921866004763</v>
      </c>
      <c r="G65" s="14">
        <f t="shared" si="1"/>
        <v>1823.0917371600917</v>
      </c>
      <c r="H65" s="14">
        <f t="shared" si="2"/>
        <v>925317.87407380086</v>
      </c>
    </row>
    <row r="66" spans="2:8" ht="12.5" x14ac:dyDescent="0.25">
      <c r="B66" s="12">
        <f t="shared" si="3"/>
        <v>52</v>
      </c>
      <c r="C66" s="13">
        <f t="shared" si="4"/>
        <v>47027</v>
      </c>
      <c r="D66" s="14">
        <f t="shared" si="5"/>
        <v>925317.87407380086</v>
      </c>
      <c r="E66" s="14">
        <f t="shared" si="6"/>
        <v>10321.883923760568</v>
      </c>
      <c r="F66" s="14">
        <f t="shared" si="0"/>
        <v>8482.0805123431746</v>
      </c>
      <c r="G66" s="14">
        <f t="shared" si="1"/>
        <v>1839.8034114173934</v>
      </c>
      <c r="H66" s="14">
        <f t="shared" si="2"/>
        <v>923478.07066238346</v>
      </c>
    </row>
    <row r="67" spans="2:8" ht="12.5" x14ac:dyDescent="0.25">
      <c r="B67" s="12">
        <f t="shared" si="3"/>
        <v>53</v>
      </c>
      <c r="C67" s="13">
        <f t="shared" si="4"/>
        <v>47058</v>
      </c>
      <c r="D67" s="14">
        <f t="shared" si="5"/>
        <v>923478.07066238346</v>
      </c>
      <c r="E67" s="14">
        <f t="shared" si="6"/>
        <v>10321.883923760568</v>
      </c>
      <c r="F67" s="14">
        <f t="shared" si="0"/>
        <v>8465.2156477385142</v>
      </c>
      <c r="G67" s="14">
        <f t="shared" si="1"/>
        <v>1856.6682760220538</v>
      </c>
      <c r="H67" s="14">
        <f t="shared" si="2"/>
        <v>921621.40238636138</v>
      </c>
    </row>
    <row r="68" spans="2:8" ht="12.5" x14ac:dyDescent="0.25">
      <c r="B68" s="12">
        <f t="shared" si="3"/>
        <v>54</v>
      </c>
      <c r="C68" s="13">
        <f t="shared" si="4"/>
        <v>47088</v>
      </c>
      <c r="D68" s="14">
        <f t="shared" si="5"/>
        <v>921621.40238636138</v>
      </c>
      <c r="E68" s="14">
        <f t="shared" si="6"/>
        <v>10321.883923760568</v>
      </c>
      <c r="F68" s="14">
        <f t="shared" si="0"/>
        <v>8448.1961885416458</v>
      </c>
      <c r="G68" s="14">
        <f t="shared" si="1"/>
        <v>1873.6877352189222</v>
      </c>
      <c r="H68" s="14">
        <f t="shared" si="2"/>
        <v>919747.71465114248</v>
      </c>
    </row>
    <row r="69" spans="2:8" ht="12.5" x14ac:dyDescent="0.25">
      <c r="B69" s="12">
        <f t="shared" si="3"/>
        <v>55</v>
      </c>
      <c r="C69" s="13">
        <f t="shared" si="4"/>
        <v>47119</v>
      </c>
      <c r="D69" s="14">
        <f t="shared" si="5"/>
        <v>919747.71465114248</v>
      </c>
      <c r="E69" s="14">
        <f t="shared" si="6"/>
        <v>10321.883923760568</v>
      </c>
      <c r="F69" s="14">
        <f t="shared" si="0"/>
        <v>8431.0207176354725</v>
      </c>
      <c r="G69" s="14">
        <f t="shared" si="1"/>
        <v>1890.8632061250955</v>
      </c>
      <c r="H69" s="14">
        <f t="shared" si="2"/>
        <v>917856.85144501738</v>
      </c>
    </row>
    <row r="70" spans="2:8" ht="12.5" x14ac:dyDescent="0.25">
      <c r="B70" s="12">
        <f t="shared" si="3"/>
        <v>56</v>
      </c>
      <c r="C70" s="13">
        <f t="shared" si="4"/>
        <v>47150</v>
      </c>
      <c r="D70" s="14">
        <f t="shared" si="5"/>
        <v>917856.85144501738</v>
      </c>
      <c r="E70" s="14">
        <f t="shared" si="6"/>
        <v>10321.883923760568</v>
      </c>
      <c r="F70" s="14">
        <f t="shared" si="0"/>
        <v>8413.687804912659</v>
      </c>
      <c r="G70" s="14">
        <f t="shared" si="1"/>
        <v>1908.196118847909</v>
      </c>
      <c r="H70" s="14">
        <f t="shared" si="2"/>
        <v>915948.65532616945</v>
      </c>
    </row>
    <row r="71" spans="2:8" ht="12.5" x14ac:dyDescent="0.25">
      <c r="B71" s="12">
        <f t="shared" si="3"/>
        <v>57</v>
      </c>
      <c r="C71" s="13">
        <f t="shared" si="4"/>
        <v>47178</v>
      </c>
      <c r="D71" s="14">
        <f t="shared" si="5"/>
        <v>915948.65532616945</v>
      </c>
      <c r="E71" s="14">
        <f t="shared" si="6"/>
        <v>10321.883923760568</v>
      </c>
      <c r="F71" s="14">
        <f t="shared" si="0"/>
        <v>8396.1960071565536</v>
      </c>
      <c r="G71" s="14">
        <f t="shared" si="1"/>
        <v>1925.6879166040144</v>
      </c>
      <c r="H71" s="14">
        <f t="shared" si="2"/>
        <v>914022.96740956546</v>
      </c>
    </row>
    <row r="72" spans="2:8" ht="12.5" x14ac:dyDescent="0.25">
      <c r="B72" s="12">
        <f t="shared" si="3"/>
        <v>58</v>
      </c>
      <c r="C72" s="13">
        <f t="shared" si="4"/>
        <v>47209</v>
      </c>
      <c r="D72" s="14">
        <f t="shared" si="5"/>
        <v>914022.96740956546</v>
      </c>
      <c r="E72" s="14">
        <f t="shared" si="6"/>
        <v>10321.883923760568</v>
      </c>
      <c r="F72" s="14">
        <f t="shared" si="0"/>
        <v>8378.5438679210165</v>
      </c>
      <c r="G72" s="14">
        <f t="shared" si="1"/>
        <v>1943.3400558395515</v>
      </c>
      <c r="H72" s="14">
        <f t="shared" si="2"/>
        <v>912079.62735372595</v>
      </c>
    </row>
    <row r="73" spans="2:8" ht="12.5" x14ac:dyDescent="0.25">
      <c r="B73" s="12">
        <f t="shared" si="3"/>
        <v>59</v>
      </c>
      <c r="C73" s="13">
        <f t="shared" si="4"/>
        <v>47239</v>
      </c>
      <c r="D73" s="14">
        <f t="shared" si="5"/>
        <v>912079.62735372595</v>
      </c>
      <c r="E73" s="14">
        <f t="shared" si="6"/>
        <v>10321.883923760568</v>
      </c>
      <c r="F73" s="14">
        <f t="shared" si="0"/>
        <v>8360.729917409155</v>
      </c>
      <c r="G73" s="14">
        <f t="shared" si="1"/>
        <v>1961.154006351413</v>
      </c>
      <c r="H73" s="14">
        <f t="shared" si="2"/>
        <v>910118.47334737459</v>
      </c>
    </row>
    <row r="74" spans="2:8" ht="12.5" x14ac:dyDescent="0.25">
      <c r="B74" s="12">
        <f t="shared" si="3"/>
        <v>60</v>
      </c>
      <c r="C74" s="13">
        <f t="shared" si="4"/>
        <v>47270</v>
      </c>
      <c r="D74" s="14">
        <f t="shared" si="5"/>
        <v>910118.47334737459</v>
      </c>
      <c r="E74" s="14">
        <f t="shared" si="6"/>
        <v>10321.883923760568</v>
      </c>
      <c r="F74" s="14">
        <f t="shared" si="0"/>
        <v>8342.7526723509345</v>
      </c>
      <c r="G74" s="14">
        <f t="shared" si="1"/>
        <v>1979.1312514096335</v>
      </c>
      <c r="H74" s="14">
        <f t="shared" si="2"/>
        <v>908139.34209596494</v>
      </c>
    </row>
    <row r="75" spans="2:8" ht="12.5" x14ac:dyDescent="0.25">
      <c r="B75" s="12">
        <f t="shared" si="3"/>
        <v>61</v>
      </c>
      <c r="C75" s="13">
        <f t="shared" si="4"/>
        <v>47300</v>
      </c>
      <c r="D75" s="14">
        <f t="shared" si="5"/>
        <v>908139.34209596494</v>
      </c>
      <c r="E75" s="14">
        <f t="shared" si="6"/>
        <v>10321.883923760568</v>
      </c>
      <c r="F75" s="14">
        <f t="shared" si="0"/>
        <v>8324.6106358796787</v>
      </c>
      <c r="G75" s="14">
        <f t="shared" si="1"/>
        <v>1997.2732878808893</v>
      </c>
      <c r="H75" s="14">
        <f t="shared" si="2"/>
        <v>906142.068808084</v>
      </c>
    </row>
    <row r="76" spans="2:8" ht="12.5" x14ac:dyDescent="0.25">
      <c r="B76" s="12">
        <f t="shared" si="3"/>
        <v>62</v>
      </c>
      <c r="C76" s="13">
        <f t="shared" si="4"/>
        <v>47331</v>
      </c>
      <c r="D76" s="14">
        <f t="shared" si="5"/>
        <v>906142.068808084</v>
      </c>
      <c r="E76" s="14">
        <f t="shared" si="6"/>
        <v>10321.883923760568</v>
      </c>
      <c r="F76" s="14">
        <f t="shared" si="0"/>
        <v>8306.3022974074374</v>
      </c>
      <c r="G76" s="14">
        <f t="shared" si="1"/>
        <v>2015.5816263531306</v>
      </c>
      <c r="H76" s="14">
        <f t="shared" si="2"/>
        <v>904126.48718173092</v>
      </c>
    </row>
    <row r="77" spans="2:8" ht="12.5" x14ac:dyDescent="0.25">
      <c r="B77" s="12">
        <f t="shared" si="3"/>
        <v>63</v>
      </c>
      <c r="C77" s="13">
        <f t="shared" si="4"/>
        <v>47362</v>
      </c>
      <c r="D77" s="14">
        <f t="shared" si="5"/>
        <v>904126.48718173092</v>
      </c>
      <c r="E77" s="14">
        <f t="shared" si="6"/>
        <v>10321.883923760568</v>
      </c>
      <c r="F77" s="14">
        <f t="shared" si="0"/>
        <v>8287.8261324992</v>
      </c>
      <c r="G77" s="14">
        <f t="shared" si="1"/>
        <v>2034.057791261368</v>
      </c>
      <c r="H77" s="14">
        <f t="shared" si="2"/>
        <v>902092.42939046957</v>
      </c>
    </row>
    <row r="78" spans="2:8" ht="12.5" x14ac:dyDescent="0.25">
      <c r="B78" s="12">
        <f t="shared" si="3"/>
        <v>64</v>
      </c>
      <c r="C78" s="13">
        <f t="shared" si="4"/>
        <v>47392</v>
      </c>
      <c r="D78" s="14">
        <f t="shared" si="5"/>
        <v>902092.42939046957</v>
      </c>
      <c r="E78" s="14">
        <f t="shared" si="6"/>
        <v>10321.883923760568</v>
      </c>
      <c r="F78" s="14">
        <f t="shared" si="0"/>
        <v>8269.1806027459716</v>
      </c>
      <c r="G78" s="14">
        <f t="shared" si="1"/>
        <v>2052.7033210145964</v>
      </c>
      <c r="H78" s="14">
        <f t="shared" si="2"/>
        <v>900039.72606945492</v>
      </c>
    </row>
    <row r="79" spans="2:8" ht="12.5" x14ac:dyDescent="0.25">
      <c r="B79" s="12">
        <f t="shared" si="3"/>
        <v>65</v>
      </c>
      <c r="C79" s="13">
        <f t="shared" si="4"/>
        <v>47423</v>
      </c>
      <c r="D79" s="14">
        <f t="shared" si="5"/>
        <v>900039.72606945492</v>
      </c>
      <c r="E79" s="14">
        <f t="shared" si="6"/>
        <v>10321.883923760568</v>
      </c>
      <c r="F79" s="14">
        <f t="shared" si="0"/>
        <v>8250.3641556366692</v>
      </c>
      <c r="G79" s="14">
        <f t="shared" si="1"/>
        <v>2071.5197681238988</v>
      </c>
      <c r="H79" s="14">
        <f t="shared" si="2"/>
        <v>897968.20630133105</v>
      </c>
    </row>
    <row r="80" spans="2:8" ht="12.5" x14ac:dyDescent="0.25">
      <c r="B80" s="12">
        <f t="shared" si="3"/>
        <v>66</v>
      </c>
      <c r="C80" s="13">
        <f t="shared" si="4"/>
        <v>47453</v>
      </c>
      <c r="D80" s="14">
        <f t="shared" si="5"/>
        <v>897968.20630133105</v>
      </c>
      <c r="E80" s="14">
        <f t="shared" ref="E80:E143" si="7">IF(B80&lt;=$E$4,$F$7,"")</f>
        <v>10321.883923760568</v>
      </c>
      <c r="F80" s="14">
        <f t="shared" si="0"/>
        <v>8231.375224428868</v>
      </c>
      <c r="G80" s="14">
        <f t="shared" si="1"/>
        <v>2090.5086993317</v>
      </c>
      <c r="H80" s="14">
        <f t="shared" si="2"/>
        <v>895877.69760199939</v>
      </c>
    </row>
    <row r="81" spans="2:8" ht="12.5" x14ac:dyDescent="0.25">
      <c r="B81" s="12">
        <f t="shared" si="3"/>
        <v>67</v>
      </c>
      <c r="C81" s="13">
        <f t="shared" si="4"/>
        <v>47484</v>
      </c>
      <c r="D81" s="14">
        <f t="shared" si="5"/>
        <v>895877.69760199939</v>
      </c>
      <c r="E81" s="14">
        <f t="shared" si="7"/>
        <v>10321.883923760568</v>
      </c>
      <c r="F81" s="14">
        <f t="shared" si="0"/>
        <v>8212.2122280183285</v>
      </c>
      <c r="G81" s="14">
        <f t="shared" si="1"/>
        <v>2109.6716957422395</v>
      </c>
      <c r="H81" s="14">
        <f t="shared" si="2"/>
        <v>893768.0259062571</v>
      </c>
    </row>
    <row r="82" spans="2:8" ht="12.5" x14ac:dyDescent="0.25">
      <c r="B82" s="12">
        <f t="shared" si="3"/>
        <v>68</v>
      </c>
      <c r="C82" s="13">
        <f t="shared" si="4"/>
        <v>47515</v>
      </c>
      <c r="D82" s="14">
        <f t="shared" si="5"/>
        <v>893768.0259062571</v>
      </c>
      <c r="E82" s="14">
        <f t="shared" si="7"/>
        <v>10321.883923760568</v>
      </c>
      <c r="F82" s="14">
        <f t="shared" si="0"/>
        <v>8192.8735708073564</v>
      </c>
      <c r="G82" s="14">
        <f t="shared" si="1"/>
        <v>2129.0103529532116</v>
      </c>
      <c r="H82" s="14">
        <f t="shared" si="2"/>
        <v>891639.01555330388</v>
      </c>
    </row>
    <row r="83" spans="2:8" ht="12.5" x14ac:dyDescent="0.25">
      <c r="B83" s="12">
        <f t="shared" si="3"/>
        <v>69</v>
      </c>
      <c r="C83" s="13">
        <f t="shared" si="4"/>
        <v>47543</v>
      </c>
      <c r="D83" s="14">
        <f t="shared" si="5"/>
        <v>891639.01555330388</v>
      </c>
      <c r="E83" s="14">
        <f t="shared" si="7"/>
        <v>10321.883923760568</v>
      </c>
      <c r="F83" s="14">
        <f t="shared" si="0"/>
        <v>8173.3576425719521</v>
      </c>
      <c r="G83" s="14">
        <f t="shared" si="1"/>
        <v>2148.5262811886159</v>
      </c>
      <c r="H83" s="14">
        <f t="shared" si="2"/>
        <v>889490.48927211529</v>
      </c>
    </row>
    <row r="84" spans="2:8" ht="12.5" x14ac:dyDescent="0.25">
      <c r="B84" s="12">
        <f t="shared" si="3"/>
        <v>70</v>
      </c>
      <c r="C84" s="13">
        <f t="shared" si="4"/>
        <v>47574</v>
      </c>
      <c r="D84" s="14">
        <f t="shared" si="5"/>
        <v>889490.48927211529</v>
      </c>
      <c r="E84" s="14">
        <f t="shared" si="7"/>
        <v>10321.883923760568</v>
      </c>
      <c r="F84" s="14">
        <f t="shared" si="0"/>
        <v>8153.6628183277235</v>
      </c>
      <c r="G84" s="14">
        <f t="shared" si="1"/>
        <v>2168.2211054328445</v>
      </c>
      <c r="H84" s="14">
        <f t="shared" si="2"/>
        <v>887322.26816668245</v>
      </c>
    </row>
    <row r="85" spans="2:8" ht="12.5" x14ac:dyDescent="0.25">
      <c r="B85" s="12">
        <f t="shared" si="3"/>
        <v>71</v>
      </c>
      <c r="C85" s="13">
        <f t="shared" si="4"/>
        <v>47604</v>
      </c>
      <c r="D85" s="14">
        <f t="shared" si="5"/>
        <v>887322.26816668245</v>
      </c>
      <c r="E85" s="14">
        <f t="shared" si="7"/>
        <v>10321.883923760568</v>
      </c>
      <c r="F85" s="14">
        <f t="shared" si="0"/>
        <v>8133.7874581945889</v>
      </c>
      <c r="G85" s="14">
        <f t="shared" si="1"/>
        <v>2188.0964655659791</v>
      </c>
      <c r="H85" s="14">
        <f t="shared" si="2"/>
        <v>885134.17170111649</v>
      </c>
    </row>
    <row r="86" spans="2:8" ht="12.5" x14ac:dyDescent="0.25">
      <c r="B86" s="12">
        <f t="shared" si="3"/>
        <v>72</v>
      </c>
      <c r="C86" s="13">
        <f t="shared" si="4"/>
        <v>47635</v>
      </c>
      <c r="D86" s="14">
        <f t="shared" si="5"/>
        <v>885134.17170111649</v>
      </c>
      <c r="E86" s="14">
        <f t="shared" si="7"/>
        <v>10321.883923760568</v>
      </c>
      <c r="F86" s="14">
        <f t="shared" si="0"/>
        <v>8113.7299072602345</v>
      </c>
      <c r="G86" s="14">
        <f t="shared" si="1"/>
        <v>2208.1540165003335</v>
      </c>
      <c r="H86" s="14">
        <f t="shared" si="2"/>
        <v>882926.01768461615</v>
      </c>
    </row>
    <row r="87" spans="2:8" ht="12.5" x14ac:dyDescent="0.25">
      <c r="B87" s="12">
        <f t="shared" si="3"/>
        <v>73</v>
      </c>
      <c r="C87" s="13">
        <f t="shared" si="4"/>
        <v>47665</v>
      </c>
      <c r="D87" s="14">
        <f t="shared" si="5"/>
        <v>882926.01768461615</v>
      </c>
      <c r="E87" s="14">
        <f t="shared" si="7"/>
        <v>10321.883923760568</v>
      </c>
      <c r="F87" s="14">
        <f t="shared" si="0"/>
        <v>8093.4884954423151</v>
      </c>
      <c r="G87" s="14">
        <f t="shared" si="1"/>
        <v>2228.3954283182529</v>
      </c>
      <c r="H87" s="14">
        <f t="shared" si="2"/>
        <v>880697.62225629785</v>
      </c>
    </row>
    <row r="88" spans="2:8" ht="12.5" x14ac:dyDescent="0.25">
      <c r="B88" s="12">
        <f t="shared" si="3"/>
        <v>74</v>
      </c>
      <c r="C88" s="13">
        <f t="shared" si="4"/>
        <v>47696</v>
      </c>
      <c r="D88" s="14">
        <f t="shared" si="5"/>
        <v>880697.62225629785</v>
      </c>
      <c r="E88" s="14">
        <f t="shared" si="7"/>
        <v>10321.883923760568</v>
      </c>
      <c r="F88" s="14">
        <f t="shared" si="0"/>
        <v>8073.0615373493974</v>
      </c>
      <c r="G88" s="14">
        <f t="shared" si="1"/>
        <v>2248.8223864111706</v>
      </c>
      <c r="H88" s="14">
        <f t="shared" si="2"/>
        <v>878448.79986988672</v>
      </c>
    </row>
    <row r="89" spans="2:8" ht="12.5" x14ac:dyDescent="0.25">
      <c r="B89" s="12">
        <f t="shared" si="3"/>
        <v>75</v>
      </c>
      <c r="C89" s="13">
        <f t="shared" si="4"/>
        <v>47727</v>
      </c>
      <c r="D89" s="14">
        <f t="shared" si="5"/>
        <v>878448.79986988672</v>
      </c>
      <c r="E89" s="14">
        <f t="shared" si="7"/>
        <v>10321.883923760568</v>
      </c>
      <c r="F89" s="14">
        <f t="shared" si="0"/>
        <v>8052.4473321406285</v>
      </c>
      <c r="G89" s="14">
        <f t="shared" si="1"/>
        <v>2269.4365916199395</v>
      </c>
      <c r="H89" s="14">
        <f t="shared" si="2"/>
        <v>876179.36327826674</v>
      </c>
    </row>
    <row r="90" spans="2:8" ht="12.5" x14ac:dyDescent="0.25">
      <c r="B90" s="12">
        <f t="shared" si="3"/>
        <v>76</v>
      </c>
      <c r="C90" s="13">
        <f t="shared" si="4"/>
        <v>47757</v>
      </c>
      <c r="D90" s="14">
        <f t="shared" si="5"/>
        <v>876179.36327826674</v>
      </c>
      <c r="E90" s="14">
        <f t="shared" si="7"/>
        <v>10321.883923760568</v>
      </c>
      <c r="F90" s="14">
        <f t="shared" si="0"/>
        <v>8031.6441633841114</v>
      </c>
      <c r="G90" s="14">
        <f t="shared" si="1"/>
        <v>2290.2397603764566</v>
      </c>
      <c r="H90" s="14">
        <f t="shared" si="2"/>
        <v>873889.12351789023</v>
      </c>
    </row>
    <row r="91" spans="2:8" ht="12.5" x14ac:dyDescent="0.25">
      <c r="B91" s="12">
        <f t="shared" si="3"/>
        <v>77</v>
      </c>
      <c r="C91" s="13">
        <f t="shared" si="4"/>
        <v>47788</v>
      </c>
      <c r="D91" s="14">
        <f t="shared" si="5"/>
        <v>873889.12351789023</v>
      </c>
      <c r="E91" s="14">
        <f t="shared" si="7"/>
        <v>10321.883923760568</v>
      </c>
      <c r="F91" s="14">
        <f t="shared" si="0"/>
        <v>8010.6502989139935</v>
      </c>
      <c r="G91" s="14">
        <f t="shared" si="1"/>
        <v>2311.2336248465745</v>
      </c>
      <c r="H91" s="14">
        <f t="shared" si="2"/>
        <v>871577.88989304367</v>
      </c>
    </row>
    <row r="92" spans="2:8" ht="12.5" x14ac:dyDescent="0.25">
      <c r="B92" s="12">
        <f t="shared" si="3"/>
        <v>78</v>
      </c>
      <c r="C92" s="13">
        <f t="shared" si="4"/>
        <v>47818</v>
      </c>
      <c r="D92" s="14">
        <f t="shared" si="5"/>
        <v>871577.88989304367</v>
      </c>
      <c r="E92" s="14">
        <f t="shared" si="7"/>
        <v>10321.883923760568</v>
      </c>
      <c r="F92" s="14">
        <f t="shared" si="0"/>
        <v>7989.463990686234</v>
      </c>
      <c r="G92" s="14">
        <f t="shared" si="1"/>
        <v>2332.419933074334</v>
      </c>
      <c r="H92" s="14">
        <f t="shared" si="2"/>
        <v>869245.46995996928</v>
      </c>
    </row>
    <row r="93" spans="2:8" ht="12.5" x14ac:dyDescent="0.25">
      <c r="B93" s="12">
        <f t="shared" si="3"/>
        <v>79</v>
      </c>
      <c r="C93" s="13">
        <f t="shared" si="4"/>
        <v>47849</v>
      </c>
      <c r="D93" s="14">
        <f t="shared" si="5"/>
        <v>869245.46995996928</v>
      </c>
      <c r="E93" s="14">
        <f t="shared" si="7"/>
        <v>10321.883923760568</v>
      </c>
      <c r="F93" s="14">
        <f t="shared" si="0"/>
        <v>7968.083474633052</v>
      </c>
      <c r="G93" s="14">
        <f t="shared" si="1"/>
        <v>2353.800449127516</v>
      </c>
      <c r="H93" s="14">
        <f t="shared" si="2"/>
        <v>866891.66951084172</v>
      </c>
    </row>
    <row r="94" spans="2:8" ht="12.5" x14ac:dyDescent="0.25">
      <c r="B94" s="12">
        <f t="shared" si="3"/>
        <v>80</v>
      </c>
      <c r="C94" s="13">
        <f t="shared" si="4"/>
        <v>47880</v>
      </c>
      <c r="D94" s="14">
        <f t="shared" si="5"/>
        <v>866891.66951084172</v>
      </c>
      <c r="E94" s="14">
        <f t="shared" si="7"/>
        <v>10321.883923760568</v>
      </c>
      <c r="F94" s="14">
        <f t="shared" si="0"/>
        <v>7946.5069705160495</v>
      </c>
      <c r="G94" s="14">
        <f t="shared" si="1"/>
        <v>2375.3769532445185</v>
      </c>
      <c r="H94" s="14">
        <f t="shared" si="2"/>
        <v>864516.29255759716</v>
      </c>
    </row>
    <row r="95" spans="2:8" ht="12.5" x14ac:dyDescent="0.25">
      <c r="B95" s="12">
        <f t="shared" si="3"/>
        <v>81</v>
      </c>
      <c r="C95" s="13">
        <f t="shared" si="4"/>
        <v>47908</v>
      </c>
      <c r="D95" s="14">
        <f t="shared" si="5"/>
        <v>864516.29255759716</v>
      </c>
      <c r="E95" s="14">
        <f t="shared" si="7"/>
        <v>10321.883923760568</v>
      </c>
      <c r="F95" s="14">
        <f t="shared" si="0"/>
        <v>7924.732681777974</v>
      </c>
      <c r="G95" s="14">
        <f t="shared" si="1"/>
        <v>2397.151241982594</v>
      </c>
      <c r="H95" s="14">
        <f t="shared" si="2"/>
        <v>862119.14131561457</v>
      </c>
    </row>
    <row r="96" spans="2:8" ht="12.5" x14ac:dyDescent="0.25">
      <c r="B96" s="12">
        <f t="shared" si="3"/>
        <v>82</v>
      </c>
      <c r="C96" s="13">
        <f t="shared" si="4"/>
        <v>47939</v>
      </c>
      <c r="D96" s="14">
        <f t="shared" si="5"/>
        <v>862119.14131561457</v>
      </c>
      <c r="E96" s="14">
        <f t="shared" si="7"/>
        <v>10321.883923760568</v>
      </c>
      <c r="F96" s="14">
        <f t="shared" si="0"/>
        <v>7902.7587953931334</v>
      </c>
      <c r="G96" s="14">
        <f t="shared" si="1"/>
        <v>2419.1251283674346</v>
      </c>
      <c r="H96" s="14">
        <f t="shared" si="2"/>
        <v>859700.01618724712</v>
      </c>
    </row>
    <row r="97" spans="2:8" ht="12.5" x14ac:dyDescent="0.25">
      <c r="B97" s="12">
        <f t="shared" si="3"/>
        <v>83</v>
      </c>
      <c r="C97" s="13">
        <f t="shared" si="4"/>
        <v>47969</v>
      </c>
      <c r="D97" s="14">
        <f t="shared" si="5"/>
        <v>859700.01618724712</v>
      </c>
      <c r="E97" s="14">
        <f t="shared" si="7"/>
        <v>10321.883923760568</v>
      </c>
      <c r="F97" s="14">
        <f t="shared" si="0"/>
        <v>7880.5834817164323</v>
      </c>
      <c r="G97" s="14">
        <f t="shared" si="1"/>
        <v>2441.3004420441357</v>
      </c>
      <c r="H97" s="14">
        <f t="shared" si="2"/>
        <v>857258.71574520296</v>
      </c>
    </row>
    <row r="98" spans="2:8" ht="12.5" x14ac:dyDescent="0.25">
      <c r="B98" s="12">
        <f t="shared" si="3"/>
        <v>84</v>
      </c>
      <c r="C98" s="13">
        <f t="shared" si="4"/>
        <v>48000</v>
      </c>
      <c r="D98" s="14">
        <f t="shared" si="5"/>
        <v>857258.71574520296</v>
      </c>
      <c r="E98" s="14">
        <f t="shared" si="7"/>
        <v>10321.883923760568</v>
      </c>
      <c r="F98" s="14">
        <f t="shared" si="0"/>
        <v>7858.2048943310274</v>
      </c>
      <c r="G98" s="14">
        <f t="shared" si="1"/>
        <v>2463.6790294295406</v>
      </c>
      <c r="H98" s="14">
        <f t="shared" si="2"/>
        <v>854795.0367157734</v>
      </c>
    </row>
    <row r="99" spans="2:8" ht="12.5" x14ac:dyDescent="0.25">
      <c r="B99" s="12">
        <f t="shared" si="3"/>
        <v>85</v>
      </c>
      <c r="C99" s="13">
        <f t="shared" si="4"/>
        <v>48030</v>
      </c>
      <c r="D99" s="14">
        <f t="shared" si="5"/>
        <v>854795.0367157734</v>
      </c>
      <c r="E99" s="14">
        <f t="shared" si="7"/>
        <v>10321.883923760568</v>
      </c>
      <c r="F99" s="14">
        <f t="shared" si="0"/>
        <v>7835.6211698945899</v>
      </c>
      <c r="G99" s="14">
        <f t="shared" si="1"/>
        <v>2486.2627538659781</v>
      </c>
      <c r="H99" s="14">
        <f t="shared" si="2"/>
        <v>852308.77396190737</v>
      </c>
    </row>
    <row r="100" spans="2:8" ht="12.5" x14ac:dyDescent="0.25">
      <c r="B100" s="12">
        <f t="shared" si="3"/>
        <v>86</v>
      </c>
      <c r="C100" s="13">
        <f t="shared" si="4"/>
        <v>48061</v>
      </c>
      <c r="D100" s="14">
        <f t="shared" si="5"/>
        <v>852308.77396190737</v>
      </c>
      <c r="E100" s="14">
        <f t="shared" si="7"/>
        <v>10321.883923760568</v>
      </c>
      <c r="F100" s="14">
        <f t="shared" si="0"/>
        <v>7812.8304279841514</v>
      </c>
      <c r="G100" s="14">
        <f t="shared" si="1"/>
        <v>2509.0534957764166</v>
      </c>
      <c r="H100" s="14">
        <f t="shared" si="2"/>
        <v>849799.720466131</v>
      </c>
    </row>
    <row r="101" spans="2:8" ht="12.5" x14ac:dyDescent="0.25">
      <c r="B101" s="12">
        <f t="shared" si="3"/>
        <v>87</v>
      </c>
      <c r="C101" s="13">
        <f t="shared" si="4"/>
        <v>48092</v>
      </c>
      <c r="D101" s="14">
        <f t="shared" si="5"/>
        <v>849799.720466131</v>
      </c>
      <c r="E101" s="14">
        <f t="shared" si="7"/>
        <v>10321.883923760568</v>
      </c>
      <c r="F101" s="14">
        <f t="shared" si="0"/>
        <v>7789.830770939534</v>
      </c>
      <c r="G101" s="14">
        <f t="shared" si="1"/>
        <v>2532.053152821034</v>
      </c>
      <c r="H101" s="14">
        <f t="shared" si="2"/>
        <v>847267.66731330997</v>
      </c>
    </row>
    <row r="102" spans="2:8" ht="12.5" x14ac:dyDescent="0.25">
      <c r="B102" s="12">
        <f t="shared" si="3"/>
        <v>88</v>
      </c>
      <c r="C102" s="13">
        <f t="shared" si="4"/>
        <v>48122</v>
      </c>
      <c r="D102" s="14">
        <f t="shared" si="5"/>
        <v>847267.66731330997</v>
      </c>
      <c r="E102" s="14">
        <f t="shared" si="7"/>
        <v>10321.883923760568</v>
      </c>
      <c r="F102" s="14">
        <f t="shared" si="0"/>
        <v>7766.6202837053415</v>
      </c>
      <c r="G102" s="14">
        <f t="shared" si="1"/>
        <v>2555.2636400552265</v>
      </c>
      <c r="H102" s="14">
        <f t="shared" si="2"/>
        <v>844712.40367325477</v>
      </c>
    </row>
    <row r="103" spans="2:8" ht="12.5" x14ac:dyDescent="0.25">
      <c r="B103" s="12">
        <f t="shared" si="3"/>
        <v>89</v>
      </c>
      <c r="C103" s="13">
        <f t="shared" si="4"/>
        <v>48153</v>
      </c>
      <c r="D103" s="14">
        <f t="shared" si="5"/>
        <v>844712.40367325477</v>
      </c>
      <c r="E103" s="14">
        <f t="shared" si="7"/>
        <v>10321.883923760568</v>
      </c>
      <c r="F103" s="14">
        <f t="shared" si="0"/>
        <v>7743.1970336715021</v>
      </c>
      <c r="G103" s="14">
        <f t="shared" si="1"/>
        <v>2578.6868900890659</v>
      </c>
      <c r="H103" s="14">
        <f t="shared" si="2"/>
        <v>842133.7167831657</v>
      </c>
    </row>
    <row r="104" spans="2:8" ht="12.5" x14ac:dyDescent="0.25">
      <c r="B104" s="12">
        <f t="shared" si="3"/>
        <v>90</v>
      </c>
      <c r="C104" s="13">
        <f t="shared" si="4"/>
        <v>48183</v>
      </c>
      <c r="D104" s="14">
        <f t="shared" si="5"/>
        <v>842133.7167831657</v>
      </c>
      <c r="E104" s="14">
        <f t="shared" si="7"/>
        <v>10321.883923760568</v>
      </c>
      <c r="F104" s="14">
        <f t="shared" si="0"/>
        <v>7719.5590705123523</v>
      </c>
      <c r="G104" s="14">
        <f t="shared" si="1"/>
        <v>2602.3248532482157</v>
      </c>
      <c r="H104" s="14">
        <f t="shared" si="2"/>
        <v>839531.3919299175</v>
      </c>
    </row>
    <row r="105" spans="2:8" ht="12.5" x14ac:dyDescent="0.25">
      <c r="B105" s="12">
        <f t="shared" si="3"/>
        <v>91</v>
      </c>
      <c r="C105" s="13">
        <f t="shared" si="4"/>
        <v>48214</v>
      </c>
      <c r="D105" s="14">
        <f t="shared" si="5"/>
        <v>839531.3919299175</v>
      </c>
      <c r="E105" s="14">
        <f t="shared" si="7"/>
        <v>10321.883923760568</v>
      </c>
      <c r="F105" s="14">
        <f t="shared" si="0"/>
        <v>7695.7044260242437</v>
      </c>
      <c r="G105" s="14">
        <f t="shared" si="1"/>
        <v>2626.1794977363243</v>
      </c>
      <c r="H105" s="14">
        <f t="shared" si="2"/>
        <v>836905.21243218123</v>
      </c>
    </row>
    <row r="106" spans="2:8" ht="12.5" x14ac:dyDescent="0.25">
      <c r="B106" s="12">
        <f t="shared" si="3"/>
        <v>92</v>
      </c>
      <c r="C106" s="13">
        <f t="shared" si="4"/>
        <v>48245</v>
      </c>
      <c r="D106" s="14">
        <f t="shared" si="5"/>
        <v>836905.21243218123</v>
      </c>
      <c r="E106" s="14">
        <f t="shared" si="7"/>
        <v>10321.883923760568</v>
      </c>
      <c r="F106" s="14">
        <f t="shared" si="0"/>
        <v>7671.631113961661</v>
      </c>
      <c r="G106" s="14">
        <f t="shared" si="1"/>
        <v>2650.252809798907</v>
      </c>
      <c r="H106" s="14">
        <f t="shared" si="2"/>
        <v>834254.9596223823</v>
      </c>
    </row>
    <row r="107" spans="2:8" ht="12.5" x14ac:dyDescent="0.25">
      <c r="B107" s="12">
        <f t="shared" si="3"/>
        <v>93</v>
      </c>
      <c r="C107" s="13">
        <f t="shared" si="4"/>
        <v>48274</v>
      </c>
      <c r="D107" s="14">
        <f t="shared" si="5"/>
        <v>834254.9596223823</v>
      </c>
      <c r="E107" s="14">
        <f t="shared" si="7"/>
        <v>10321.883923760568</v>
      </c>
      <c r="F107" s="14">
        <f t="shared" si="0"/>
        <v>7647.3371298718375</v>
      </c>
      <c r="G107" s="14">
        <f t="shared" si="1"/>
        <v>2674.5467938887305</v>
      </c>
      <c r="H107" s="14">
        <f t="shared" si="2"/>
        <v>831580.41282849363</v>
      </c>
    </row>
    <row r="108" spans="2:8" ht="12.5" x14ac:dyDescent="0.25">
      <c r="B108" s="12">
        <f t="shared" si="3"/>
        <v>94</v>
      </c>
      <c r="C108" s="13">
        <f t="shared" si="4"/>
        <v>48305</v>
      </c>
      <c r="D108" s="14">
        <f t="shared" si="5"/>
        <v>831580.41282849363</v>
      </c>
      <c r="E108" s="14">
        <f t="shared" si="7"/>
        <v>10321.883923760568</v>
      </c>
      <c r="F108" s="14">
        <f t="shared" si="0"/>
        <v>7622.8204509278585</v>
      </c>
      <c r="G108" s="14">
        <f t="shared" si="1"/>
        <v>2699.0634728327095</v>
      </c>
      <c r="H108" s="14">
        <f t="shared" si="2"/>
        <v>828881.34935566096</v>
      </c>
    </row>
    <row r="109" spans="2:8" ht="12.5" x14ac:dyDescent="0.25">
      <c r="B109" s="12">
        <f t="shared" si="3"/>
        <v>95</v>
      </c>
      <c r="C109" s="13">
        <f t="shared" si="4"/>
        <v>48335</v>
      </c>
      <c r="D109" s="14">
        <f t="shared" si="5"/>
        <v>828881.34935566096</v>
      </c>
      <c r="E109" s="14">
        <f t="shared" si="7"/>
        <v>10321.883923760568</v>
      </c>
      <c r="F109" s="14">
        <f t="shared" si="0"/>
        <v>7598.0790357602255</v>
      </c>
      <c r="G109" s="14">
        <f t="shared" si="1"/>
        <v>2723.8048880003425</v>
      </c>
      <c r="H109" s="14">
        <f t="shared" si="2"/>
        <v>826157.5444676606</v>
      </c>
    </row>
    <row r="110" spans="2:8" ht="12.5" x14ac:dyDescent="0.25">
      <c r="B110" s="12">
        <f t="shared" si="3"/>
        <v>96</v>
      </c>
      <c r="C110" s="13">
        <f t="shared" si="4"/>
        <v>48366</v>
      </c>
      <c r="D110" s="14">
        <f t="shared" si="5"/>
        <v>826157.5444676606</v>
      </c>
      <c r="E110" s="14">
        <f t="shared" si="7"/>
        <v>10321.883923760568</v>
      </c>
      <c r="F110" s="14">
        <f t="shared" si="0"/>
        <v>7573.1108242868886</v>
      </c>
      <c r="G110" s="14">
        <f t="shared" si="1"/>
        <v>2748.7730994736794</v>
      </c>
      <c r="H110" s="14">
        <f t="shared" si="2"/>
        <v>823408.77136818692</v>
      </c>
    </row>
    <row r="111" spans="2:8" ht="12.5" x14ac:dyDescent="0.25">
      <c r="B111" s="12">
        <f t="shared" si="3"/>
        <v>97</v>
      </c>
      <c r="C111" s="13">
        <f t="shared" si="4"/>
        <v>48396</v>
      </c>
      <c r="D111" s="14">
        <f t="shared" si="5"/>
        <v>823408.77136818692</v>
      </c>
      <c r="E111" s="14">
        <f t="shared" si="7"/>
        <v>10321.883923760568</v>
      </c>
      <c r="F111" s="14">
        <f t="shared" si="0"/>
        <v>7547.9137375417131</v>
      </c>
      <c r="G111" s="14">
        <f t="shared" si="1"/>
        <v>2773.9701862188549</v>
      </c>
      <c r="H111" s="14">
        <f t="shared" si="2"/>
        <v>820634.80118196807</v>
      </c>
    </row>
    <row r="112" spans="2:8" ht="12.5" x14ac:dyDescent="0.25">
      <c r="B112" s="12">
        <f t="shared" si="3"/>
        <v>98</v>
      </c>
      <c r="C112" s="13">
        <f t="shared" si="4"/>
        <v>48427</v>
      </c>
      <c r="D112" s="14">
        <f t="shared" si="5"/>
        <v>820634.80118196807</v>
      </c>
      <c r="E112" s="14">
        <f t="shared" si="7"/>
        <v>10321.883923760568</v>
      </c>
      <c r="F112" s="14">
        <f t="shared" si="0"/>
        <v>7522.4856775013741</v>
      </c>
      <c r="G112" s="14">
        <f t="shared" si="1"/>
        <v>2799.3982462591939</v>
      </c>
      <c r="H112" s="14">
        <f t="shared" si="2"/>
        <v>817835.40293570887</v>
      </c>
    </row>
    <row r="113" spans="2:8" ht="12.5" x14ac:dyDescent="0.25">
      <c r="B113" s="12">
        <f t="shared" si="3"/>
        <v>99</v>
      </c>
      <c r="C113" s="13">
        <f t="shared" si="4"/>
        <v>48458</v>
      </c>
      <c r="D113" s="14">
        <f t="shared" si="5"/>
        <v>817835.40293570887</v>
      </c>
      <c r="E113" s="14">
        <f t="shared" si="7"/>
        <v>10321.883923760568</v>
      </c>
      <c r="F113" s="14">
        <f t="shared" si="0"/>
        <v>7496.8245269106646</v>
      </c>
      <c r="G113" s="14">
        <f t="shared" si="1"/>
        <v>2825.0593968499034</v>
      </c>
      <c r="H113" s="14">
        <f t="shared" si="2"/>
        <v>815010.34353885893</v>
      </c>
    </row>
    <row r="114" spans="2:8" ht="12.5" x14ac:dyDescent="0.25">
      <c r="B114" s="12">
        <f t="shared" si="3"/>
        <v>100</v>
      </c>
      <c r="C114" s="13">
        <f t="shared" si="4"/>
        <v>48488</v>
      </c>
      <c r="D114" s="14">
        <f t="shared" si="5"/>
        <v>815010.34353885893</v>
      </c>
      <c r="E114" s="14">
        <f t="shared" si="7"/>
        <v>10321.883923760568</v>
      </c>
      <c r="F114" s="14">
        <f t="shared" si="0"/>
        <v>7470.9281491062065</v>
      </c>
      <c r="G114" s="14">
        <f t="shared" si="1"/>
        <v>2850.9557746543614</v>
      </c>
      <c r="H114" s="14">
        <f t="shared" si="2"/>
        <v>812159.38776420453</v>
      </c>
    </row>
    <row r="115" spans="2:8" ht="12.5" x14ac:dyDescent="0.25">
      <c r="B115" s="12">
        <f t="shared" si="3"/>
        <v>101</v>
      </c>
      <c r="C115" s="13">
        <f t="shared" si="4"/>
        <v>48519</v>
      </c>
      <c r="D115" s="14">
        <f t="shared" si="5"/>
        <v>812159.38776420453</v>
      </c>
      <c r="E115" s="14">
        <f t="shared" si="7"/>
        <v>10321.883923760568</v>
      </c>
      <c r="F115" s="14">
        <f t="shared" si="0"/>
        <v>7444.7943878385413</v>
      </c>
      <c r="G115" s="14">
        <f t="shared" si="1"/>
        <v>2877.0895359220267</v>
      </c>
      <c r="H115" s="14">
        <f t="shared" si="2"/>
        <v>809282.29822828248</v>
      </c>
    </row>
    <row r="116" spans="2:8" ht="12.5" x14ac:dyDescent="0.25">
      <c r="B116" s="12">
        <f t="shared" si="3"/>
        <v>102</v>
      </c>
      <c r="C116" s="13">
        <f t="shared" si="4"/>
        <v>48549</v>
      </c>
      <c r="D116" s="14">
        <f t="shared" si="5"/>
        <v>809282.29822828248</v>
      </c>
      <c r="E116" s="14">
        <f t="shared" si="7"/>
        <v>10321.883923760568</v>
      </c>
      <c r="F116" s="14">
        <f t="shared" si="0"/>
        <v>7418.4210670925895</v>
      </c>
      <c r="G116" s="14">
        <f t="shared" si="1"/>
        <v>2903.4628566679785</v>
      </c>
      <c r="H116" s="14">
        <f t="shared" si="2"/>
        <v>806378.83537161455</v>
      </c>
    </row>
    <row r="117" spans="2:8" ht="12.5" x14ac:dyDescent="0.25">
      <c r="B117" s="12">
        <f t="shared" si="3"/>
        <v>103</v>
      </c>
      <c r="C117" s="13">
        <f t="shared" si="4"/>
        <v>48580</v>
      </c>
      <c r="D117" s="14">
        <f t="shared" si="5"/>
        <v>806378.83537161455</v>
      </c>
      <c r="E117" s="14">
        <f t="shared" si="7"/>
        <v>10321.883923760568</v>
      </c>
      <c r="F117" s="14">
        <f t="shared" si="0"/>
        <v>7391.8059909064668</v>
      </c>
      <c r="G117" s="14">
        <f t="shared" si="1"/>
        <v>2930.0779328541012</v>
      </c>
      <c r="H117" s="14">
        <f t="shared" si="2"/>
        <v>803448.75743876048</v>
      </c>
    </row>
    <row r="118" spans="2:8" ht="12.5" x14ac:dyDescent="0.25">
      <c r="B118" s="12">
        <f t="shared" si="3"/>
        <v>104</v>
      </c>
      <c r="C118" s="13">
        <f t="shared" si="4"/>
        <v>48611</v>
      </c>
      <c r="D118" s="14">
        <f t="shared" si="5"/>
        <v>803448.75743876048</v>
      </c>
      <c r="E118" s="14">
        <f t="shared" si="7"/>
        <v>10321.883923760568</v>
      </c>
      <c r="F118" s="14">
        <f t="shared" si="0"/>
        <v>7364.9469431886382</v>
      </c>
      <c r="G118" s="14">
        <f t="shared" si="1"/>
        <v>2956.9369805719298</v>
      </c>
      <c r="H118" s="14">
        <f t="shared" si="2"/>
        <v>800491.82045818854</v>
      </c>
    </row>
    <row r="119" spans="2:8" ht="12.5" x14ac:dyDescent="0.25">
      <c r="B119" s="12">
        <f t="shared" si="3"/>
        <v>105</v>
      </c>
      <c r="C119" s="13">
        <f t="shared" si="4"/>
        <v>48639</v>
      </c>
      <c r="D119" s="14">
        <f t="shared" si="5"/>
        <v>800491.82045818854</v>
      </c>
      <c r="E119" s="14">
        <f t="shared" si="7"/>
        <v>10321.883923760568</v>
      </c>
      <c r="F119" s="14">
        <f t="shared" si="0"/>
        <v>7337.8416875333951</v>
      </c>
      <c r="G119" s="14">
        <f t="shared" si="1"/>
        <v>2984.0422362271729</v>
      </c>
      <c r="H119" s="14">
        <f t="shared" si="2"/>
        <v>797507.77822196134</v>
      </c>
    </row>
    <row r="120" spans="2:8" ht="12.5" x14ac:dyDescent="0.25">
      <c r="B120" s="12">
        <f t="shared" si="3"/>
        <v>106</v>
      </c>
      <c r="C120" s="13">
        <f t="shared" si="4"/>
        <v>48670</v>
      </c>
      <c r="D120" s="14">
        <f t="shared" si="5"/>
        <v>797507.77822196134</v>
      </c>
      <c r="E120" s="14">
        <f t="shared" si="7"/>
        <v>10321.883923760568</v>
      </c>
      <c r="F120" s="14">
        <f t="shared" si="0"/>
        <v>7310.4879670346454</v>
      </c>
      <c r="G120" s="14">
        <f t="shared" si="1"/>
        <v>3011.3959567259226</v>
      </c>
      <c r="H120" s="14">
        <f t="shared" si="2"/>
        <v>794496.38226523541</v>
      </c>
    </row>
    <row r="121" spans="2:8" ht="12.5" x14ac:dyDescent="0.25">
      <c r="B121" s="12">
        <f t="shared" si="3"/>
        <v>107</v>
      </c>
      <c r="C121" s="13">
        <f t="shared" si="4"/>
        <v>48700</v>
      </c>
      <c r="D121" s="14">
        <f t="shared" si="5"/>
        <v>794496.38226523541</v>
      </c>
      <c r="E121" s="14">
        <f t="shared" si="7"/>
        <v>10321.883923760568</v>
      </c>
      <c r="F121" s="14">
        <f t="shared" si="0"/>
        <v>7282.8835040979911</v>
      </c>
      <c r="G121" s="14">
        <f t="shared" si="1"/>
        <v>3039.0004196625769</v>
      </c>
      <c r="H121" s="14">
        <f t="shared" si="2"/>
        <v>791457.38184557285</v>
      </c>
    </row>
    <row r="122" spans="2:8" ht="12.5" x14ac:dyDescent="0.25">
      <c r="B122" s="12">
        <f t="shared" si="3"/>
        <v>108</v>
      </c>
      <c r="C122" s="13">
        <f t="shared" si="4"/>
        <v>48731</v>
      </c>
      <c r="D122" s="14">
        <f t="shared" si="5"/>
        <v>791457.38184557285</v>
      </c>
      <c r="E122" s="14">
        <f t="shared" si="7"/>
        <v>10321.883923760568</v>
      </c>
      <c r="F122" s="14">
        <f t="shared" si="0"/>
        <v>7255.026000251084</v>
      </c>
      <c r="G122" s="14">
        <f t="shared" si="1"/>
        <v>3066.857923509484</v>
      </c>
      <c r="H122" s="14">
        <f t="shared" si="2"/>
        <v>788390.52392206341</v>
      </c>
    </row>
    <row r="123" spans="2:8" ht="12.5" x14ac:dyDescent="0.25">
      <c r="B123" s="12">
        <f t="shared" si="3"/>
        <v>109</v>
      </c>
      <c r="C123" s="13">
        <f t="shared" si="4"/>
        <v>48761</v>
      </c>
      <c r="D123" s="14">
        <f t="shared" si="5"/>
        <v>788390.52392206341</v>
      </c>
      <c r="E123" s="14">
        <f t="shared" si="7"/>
        <v>10321.883923760568</v>
      </c>
      <c r="F123" s="14">
        <f t="shared" si="0"/>
        <v>7226.913135952248</v>
      </c>
      <c r="G123" s="14">
        <f t="shared" si="1"/>
        <v>3094.97078780832</v>
      </c>
      <c r="H123" s="14">
        <f t="shared" si="2"/>
        <v>785295.55313425511</v>
      </c>
    </row>
    <row r="124" spans="2:8" ht="12.5" x14ac:dyDescent="0.25">
      <c r="B124" s="12">
        <f t="shared" si="3"/>
        <v>110</v>
      </c>
      <c r="C124" s="13">
        <f t="shared" si="4"/>
        <v>48792</v>
      </c>
      <c r="D124" s="14">
        <f t="shared" si="5"/>
        <v>785295.55313425511</v>
      </c>
      <c r="E124" s="14">
        <f t="shared" si="7"/>
        <v>10321.883923760568</v>
      </c>
      <c r="F124" s="14">
        <f t="shared" si="0"/>
        <v>7198.5425703973387</v>
      </c>
      <c r="G124" s="14">
        <f t="shared" si="1"/>
        <v>3123.3413533632292</v>
      </c>
      <c r="H124" s="14">
        <f t="shared" si="2"/>
        <v>782172.21178089187</v>
      </c>
    </row>
    <row r="125" spans="2:8" ht="12.5" x14ac:dyDescent="0.25">
      <c r="B125" s="12">
        <f t="shared" si="3"/>
        <v>111</v>
      </c>
      <c r="C125" s="13">
        <f t="shared" si="4"/>
        <v>48823</v>
      </c>
      <c r="D125" s="14">
        <f t="shared" si="5"/>
        <v>782172.21178089187</v>
      </c>
      <c r="E125" s="14">
        <f t="shared" si="7"/>
        <v>10321.883923760568</v>
      </c>
      <c r="F125" s="14">
        <f t="shared" si="0"/>
        <v>7169.9119413248418</v>
      </c>
      <c r="G125" s="14">
        <f t="shared" si="1"/>
        <v>3151.9719824357262</v>
      </c>
      <c r="H125" s="14">
        <f t="shared" si="2"/>
        <v>779020.2397984562</v>
      </c>
    </row>
    <row r="126" spans="2:8" ht="12.5" x14ac:dyDescent="0.25">
      <c r="B126" s="12">
        <f t="shared" si="3"/>
        <v>112</v>
      </c>
      <c r="C126" s="13">
        <f t="shared" si="4"/>
        <v>48853</v>
      </c>
      <c r="D126" s="14">
        <f t="shared" si="5"/>
        <v>779020.2397984562</v>
      </c>
      <c r="E126" s="14">
        <f t="shared" si="7"/>
        <v>10321.883923760568</v>
      </c>
      <c r="F126" s="14">
        <f t="shared" si="0"/>
        <v>7141.0188648191815</v>
      </c>
      <c r="G126" s="14">
        <f t="shared" si="1"/>
        <v>3180.8650589413865</v>
      </c>
      <c r="H126" s="14">
        <f t="shared" si="2"/>
        <v>775839.37473951478</v>
      </c>
    </row>
    <row r="127" spans="2:8" ht="12.5" x14ac:dyDescent="0.25">
      <c r="B127" s="12">
        <f t="shared" si="3"/>
        <v>113</v>
      </c>
      <c r="C127" s="13">
        <f t="shared" si="4"/>
        <v>48884</v>
      </c>
      <c r="D127" s="14">
        <f t="shared" si="5"/>
        <v>775839.37473951478</v>
      </c>
      <c r="E127" s="14">
        <f t="shared" si="7"/>
        <v>10321.883923760568</v>
      </c>
      <c r="F127" s="14">
        <f t="shared" si="0"/>
        <v>7111.8609351122186</v>
      </c>
      <c r="G127" s="14">
        <f t="shared" si="1"/>
        <v>3210.0229886483494</v>
      </c>
      <c r="H127" s="14">
        <f t="shared" si="2"/>
        <v>772629.35175086639</v>
      </c>
    </row>
    <row r="128" spans="2:8" ht="12.5" x14ac:dyDescent="0.25">
      <c r="B128" s="12">
        <f t="shared" si="3"/>
        <v>114</v>
      </c>
      <c r="C128" s="13">
        <f t="shared" si="4"/>
        <v>48914</v>
      </c>
      <c r="D128" s="14">
        <f t="shared" si="5"/>
        <v>772629.35175086639</v>
      </c>
      <c r="E128" s="14">
        <f t="shared" si="7"/>
        <v>10321.883923760568</v>
      </c>
      <c r="F128" s="14">
        <f t="shared" si="0"/>
        <v>7082.4357243829418</v>
      </c>
      <c r="G128" s="14">
        <f t="shared" si="1"/>
        <v>3239.4481993776262</v>
      </c>
      <c r="H128" s="14">
        <f t="shared" si="2"/>
        <v>769389.90355148877</v>
      </c>
    </row>
    <row r="129" spans="2:8" ht="12.5" x14ac:dyDescent="0.25">
      <c r="B129" s="12">
        <f t="shared" si="3"/>
        <v>115</v>
      </c>
      <c r="C129" s="13">
        <f t="shared" si="4"/>
        <v>48945</v>
      </c>
      <c r="D129" s="14">
        <f t="shared" si="5"/>
        <v>769389.90355148877</v>
      </c>
      <c r="E129" s="14">
        <f t="shared" si="7"/>
        <v>10321.883923760568</v>
      </c>
      <c r="F129" s="14">
        <f t="shared" si="0"/>
        <v>7052.7407825553137</v>
      </c>
      <c r="G129" s="14">
        <f t="shared" si="1"/>
        <v>3269.1431412052543</v>
      </c>
      <c r="H129" s="14">
        <f t="shared" si="2"/>
        <v>766120.76041028346</v>
      </c>
    </row>
    <row r="130" spans="2:8" ht="12.5" x14ac:dyDescent="0.25">
      <c r="B130" s="12">
        <f t="shared" si="3"/>
        <v>116</v>
      </c>
      <c r="C130" s="13">
        <f t="shared" si="4"/>
        <v>48976</v>
      </c>
      <c r="D130" s="14">
        <f t="shared" si="5"/>
        <v>766120.76041028346</v>
      </c>
      <c r="E130" s="14">
        <f t="shared" si="7"/>
        <v>10321.883923760568</v>
      </c>
      <c r="F130" s="14">
        <f t="shared" si="0"/>
        <v>7022.7736370942648</v>
      </c>
      <c r="G130" s="14">
        <f t="shared" si="1"/>
        <v>3299.1102866663032</v>
      </c>
      <c r="H130" s="14">
        <f t="shared" si="2"/>
        <v>762821.65012361715</v>
      </c>
    </row>
    <row r="131" spans="2:8" ht="12.5" x14ac:dyDescent="0.25">
      <c r="B131" s="12">
        <f t="shared" si="3"/>
        <v>117</v>
      </c>
      <c r="C131" s="13">
        <f t="shared" si="4"/>
        <v>49004</v>
      </c>
      <c r="D131" s="14">
        <f t="shared" si="5"/>
        <v>762821.65012361715</v>
      </c>
      <c r="E131" s="14">
        <f t="shared" si="7"/>
        <v>10321.883923760568</v>
      </c>
      <c r="F131" s="14">
        <f t="shared" si="0"/>
        <v>6992.531792799824</v>
      </c>
      <c r="G131" s="14">
        <f t="shared" si="1"/>
        <v>3329.352130960744</v>
      </c>
      <c r="H131" s="14">
        <f t="shared" si="2"/>
        <v>759492.29799265636</v>
      </c>
    </row>
    <row r="132" spans="2:8" ht="12.5" x14ac:dyDescent="0.25">
      <c r="B132" s="12">
        <f t="shared" si="3"/>
        <v>118</v>
      </c>
      <c r="C132" s="13">
        <f t="shared" si="4"/>
        <v>49035</v>
      </c>
      <c r="D132" s="14">
        <f t="shared" si="5"/>
        <v>759492.29799265636</v>
      </c>
      <c r="E132" s="14">
        <f t="shared" si="7"/>
        <v>10321.883923760568</v>
      </c>
      <c r="F132" s="14">
        <f t="shared" si="0"/>
        <v>6962.0127315993495</v>
      </c>
      <c r="G132" s="14">
        <f t="shared" si="1"/>
        <v>3359.8711921612185</v>
      </c>
      <c r="H132" s="14">
        <f t="shared" si="2"/>
        <v>756132.42680049513</v>
      </c>
    </row>
    <row r="133" spans="2:8" ht="12.5" x14ac:dyDescent="0.25">
      <c r="B133" s="12">
        <f t="shared" si="3"/>
        <v>119</v>
      </c>
      <c r="C133" s="13">
        <f t="shared" si="4"/>
        <v>49065</v>
      </c>
      <c r="D133" s="14">
        <f t="shared" si="5"/>
        <v>756132.42680049513</v>
      </c>
      <c r="E133" s="14">
        <f t="shared" si="7"/>
        <v>10321.883923760568</v>
      </c>
      <c r="F133" s="14">
        <f t="shared" si="0"/>
        <v>6931.213912337872</v>
      </c>
      <c r="G133" s="14">
        <f t="shared" si="1"/>
        <v>3390.670011422696</v>
      </c>
      <c r="H133" s="14">
        <f t="shared" si="2"/>
        <v>752741.75678907242</v>
      </c>
    </row>
    <row r="134" spans="2:8" ht="12.5" x14ac:dyDescent="0.25">
      <c r="B134" s="12">
        <f t="shared" si="3"/>
        <v>120</v>
      </c>
      <c r="C134" s="13">
        <f t="shared" si="4"/>
        <v>49096</v>
      </c>
      <c r="D134" s="14">
        <f t="shared" si="5"/>
        <v>752741.75678907242</v>
      </c>
      <c r="E134" s="14">
        <f t="shared" si="7"/>
        <v>10321.883923760568</v>
      </c>
      <c r="F134" s="14">
        <f t="shared" si="0"/>
        <v>6900.1327705664971</v>
      </c>
      <c r="G134" s="14">
        <f t="shared" si="1"/>
        <v>3421.7511531940709</v>
      </c>
      <c r="H134" s="14">
        <f t="shared" si="2"/>
        <v>749320.0056358783</v>
      </c>
    </row>
    <row r="135" spans="2:8" ht="12.5" x14ac:dyDescent="0.25">
      <c r="B135" s="12">
        <f t="shared" si="3"/>
        <v>121</v>
      </c>
      <c r="C135" s="12">
        <f t="shared" si="4"/>
        <v>49126</v>
      </c>
      <c r="D135" s="14">
        <f t="shared" si="5"/>
        <v>749320.0056358783</v>
      </c>
      <c r="E135" s="14">
        <f t="shared" si="7"/>
        <v>10321.883923760568</v>
      </c>
      <c r="F135" s="14">
        <f t="shared" si="0"/>
        <v>6868.7667183288841</v>
      </c>
      <c r="G135" s="12">
        <f t="shared" si="1"/>
        <v>3453.1172054316839</v>
      </c>
      <c r="H135" s="12">
        <f t="shared" si="2"/>
        <v>745866.88843044662</v>
      </c>
    </row>
    <row r="136" spans="2:8" ht="12.5" x14ac:dyDescent="0.25">
      <c r="B136" s="12">
        <f t="shared" si="3"/>
        <v>122</v>
      </c>
      <c r="C136" s="12">
        <f t="shared" si="4"/>
        <v>49157</v>
      </c>
      <c r="D136" s="14">
        <f t="shared" si="5"/>
        <v>745866.88843044662</v>
      </c>
      <c r="E136" s="14">
        <f t="shared" si="7"/>
        <v>10321.883923760568</v>
      </c>
      <c r="F136" s="14">
        <f t="shared" si="0"/>
        <v>6837.1131439457604</v>
      </c>
      <c r="G136" s="12">
        <f t="shared" si="1"/>
        <v>3484.7707798148076</v>
      </c>
      <c r="H136" s="12">
        <f t="shared" si="2"/>
        <v>742382.11765063182</v>
      </c>
    </row>
    <row r="137" spans="2:8" ht="12.5" x14ac:dyDescent="0.25">
      <c r="B137" s="12">
        <f t="shared" si="3"/>
        <v>123</v>
      </c>
      <c r="C137" s="12">
        <f t="shared" si="4"/>
        <v>49188</v>
      </c>
      <c r="D137" s="14">
        <f t="shared" si="5"/>
        <v>742382.11765063182</v>
      </c>
      <c r="E137" s="14">
        <f t="shared" si="7"/>
        <v>10321.883923760568</v>
      </c>
      <c r="F137" s="14">
        <f t="shared" si="0"/>
        <v>6805.1694117974585</v>
      </c>
      <c r="G137" s="12">
        <f t="shared" si="1"/>
        <v>3516.7145119631095</v>
      </c>
      <c r="H137" s="12">
        <f t="shared" si="2"/>
        <v>738865.40313866874</v>
      </c>
    </row>
    <row r="138" spans="2:8" ht="12.5" x14ac:dyDescent="0.25">
      <c r="B138" s="12">
        <f t="shared" si="3"/>
        <v>124</v>
      </c>
      <c r="C138" s="12">
        <f t="shared" si="4"/>
        <v>49218</v>
      </c>
      <c r="D138" s="14">
        <f t="shared" si="5"/>
        <v>738865.40313866874</v>
      </c>
      <c r="E138" s="14">
        <f t="shared" si="7"/>
        <v>10321.883923760568</v>
      </c>
      <c r="F138" s="14">
        <f t="shared" si="0"/>
        <v>6772.9328621044633</v>
      </c>
      <c r="G138" s="12">
        <f t="shared" si="1"/>
        <v>3548.9510616561047</v>
      </c>
      <c r="H138" s="12">
        <f t="shared" si="2"/>
        <v>735316.45207701263</v>
      </c>
    </row>
    <row r="139" spans="2:8" ht="12.5" x14ac:dyDescent="0.25">
      <c r="B139" s="12">
        <f t="shared" si="3"/>
        <v>125</v>
      </c>
      <c r="C139" s="12">
        <f t="shared" si="4"/>
        <v>49249</v>
      </c>
      <c r="D139" s="14">
        <f t="shared" si="5"/>
        <v>735316.45207701263</v>
      </c>
      <c r="E139" s="14">
        <f t="shared" si="7"/>
        <v>10321.883923760568</v>
      </c>
      <c r="F139" s="14">
        <f t="shared" si="0"/>
        <v>6740.400810705949</v>
      </c>
      <c r="G139" s="12">
        <f t="shared" si="1"/>
        <v>3581.483113054619</v>
      </c>
      <c r="H139" s="12">
        <f t="shared" si="2"/>
        <v>731734.96896395797</v>
      </c>
    </row>
    <row r="140" spans="2:8" ht="12.5" x14ac:dyDescent="0.25">
      <c r="B140" s="12">
        <f t="shared" si="3"/>
        <v>126</v>
      </c>
      <c r="C140" s="12">
        <f t="shared" si="4"/>
        <v>49279</v>
      </c>
      <c r="D140" s="14">
        <f t="shared" si="5"/>
        <v>731734.96896395797</v>
      </c>
      <c r="E140" s="14">
        <f t="shared" si="7"/>
        <v>10321.883923760568</v>
      </c>
      <c r="F140" s="14">
        <f t="shared" si="0"/>
        <v>6707.5705488362819</v>
      </c>
      <c r="G140" s="12">
        <f t="shared" si="1"/>
        <v>3614.3133749242861</v>
      </c>
      <c r="H140" s="12">
        <f t="shared" si="2"/>
        <v>728120.65558903373</v>
      </c>
    </row>
    <row r="141" spans="2:8" ht="12.5" x14ac:dyDescent="0.25">
      <c r="B141" s="12">
        <f t="shared" si="3"/>
        <v>127</v>
      </c>
      <c r="C141" s="12">
        <f t="shared" si="4"/>
        <v>49310</v>
      </c>
      <c r="D141" s="14">
        <f t="shared" si="5"/>
        <v>728120.65558903373</v>
      </c>
      <c r="E141" s="14">
        <f t="shared" si="7"/>
        <v>10321.883923760568</v>
      </c>
      <c r="F141" s="14">
        <f t="shared" si="0"/>
        <v>6674.4393428994763</v>
      </c>
      <c r="G141" s="12">
        <f t="shared" si="1"/>
        <v>3647.4445808610917</v>
      </c>
      <c r="H141" s="12">
        <f t="shared" si="2"/>
        <v>724473.2110081726</v>
      </c>
    </row>
    <row r="142" spans="2:8" ht="12.5" x14ac:dyDescent="0.25">
      <c r="B142" s="12">
        <f t="shared" si="3"/>
        <v>128</v>
      </c>
      <c r="C142" s="12">
        <f t="shared" si="4"/>
        <v>49341</v>
      </c>
      <c r="D142" s="14">
        <f t="shared" si="5"/>
        <v>724473.2110081726</v>
      </c>
      <c r="E142" s="14">
        <f t="shared" si="7"/>
        <v>10321.883923760568</v>
      </c>
      <c r="F142" s="14">
        <f t="shared" si="0"/>
        <v>6641.0044342415822</v>
      </c>
      <c r="G142" s="12">
        <f t="shared" si="1"/>
        <v>3680.8794895189858</v>
      </c>
      <c r="H142" s="12">
        <f t="shared" si="2"/>
        <v>720792.33151865366</v>
      </c>
    </row>
    <row r="143" spans="2:8" ht="12.5" x14ac:dyDescent="0.25">
      <c r="B143" s="12">
        <f t="shared" si="3"/>
        <v>129</v>
      </c>
      <c r="C143" s="12">
        <f t="shared" si="4"/>
        <v>49369</v>
      </c>
      <c r="D143" s="14">
        <f t="shared" si="5"/>
        <v>720792.33151865366</v>
      </c>
      <c r="E143" s="14">
        <f t="shared" si="7"/>
        <v>10321.883923760568</v>
      </c>
      <c r="F143" s="14">
        <f t="shared" si="0"/>
        <v>6607.2630389209917</v>
      </c>
      <c r="G143" s="12">
        <f t="shared" si="1"/>
        <v>3714.6208848395763</v>
      </c>
      <c r="H143" s="12">
        <f t="shared" si="2"/>
        <v>717077.7106338141</v>
      </c>
    </row>
    <row r="144" spans="2:8" ht="12.5" x14ac:dyDescent="0.25">
      <c r="B144" s="12">
        <f t="shared" si="3"/>
        <v>130</v>
      </c>
      <c r="C144" s="12">
        <f t="shared" si="4"/>
        <v>49400</v>
      </c>
      <c r="D144" s="14">
        <f t="shared" si="5"/>
        <v>717077.7106338141</v>
      </c>
      <c r="E144" s="14">
        <f t="shared" ref="E144:E207" si="8">IF(B144&lt;=$E$4,$F$7,"")</f>
        <v>10321.883923760568</v>
      </c>
      <c r="F144" s="14">
        <f t="shared" si="0"/>
        <v>6573.2123474766295</v>
      </c>
      <c r="G144" s="12">
        <f t="shared" si="1"/>
        <v>3748.6715762839385</v>
      </c>
      <c r="H144" s="12">
        <f t="shared" si="2"/>
        <v>713329.03905753011</v>
      </c>
    </row>
    <row r="145" spans="2:8" ht="12.5" x14ac:dyDescent="0.25">
      <c r="B145" s="12">
        <f t="shared" si="3"/>
        <v>131</v>
      </c>
      <c r="C145" s="12">
        <f t="shared" si="4"/>
        <v>49430</v>
      </c>
      <c r="D145" s="14">
        <f t="shared" si="5"/>
        <v>713329.03905753011</v>
      </c>
      <c r="E145" s="14">
        <f t="shared" si="8"/>
        <v>10321.883923760568</v>
      </c>
      <c r="F145" s="14">
        <f t="shared" si="0"/>
        <v>6538.8495246940265</v>
      </c>
      <c r="G145" s="12">
        <f t="shared" si="1"/>
        <v>3783.0343990665415</v>
      </c>
      <c r="H145" s="12">
        <f t="shared" si="2"/>
        <v>709546.00465846353</v>
      </c>
    </row>
    <row r="146" spans="2:8" ht="12.5" x14ac:dyDescent="0.25">
      <c r="B146" s="12">
        <f t="shared" si="3"/>
        <v>132</v>
      </c>
      <c r="C146" s="12">
        <f t="shared" si="4"/>
        <v>49461</v>
      </c>
      <c r="D146" s="14">
        <f t="shared" si="5"/>
        <v>709546.00465846353</v>
      </c>
      <c r="E146" s="14">
        <f t="shared" si="8"/>
        <v>10321.883923760568</v>
      </c>
      <c r="F146" s="14">
        <f t="shared" si="0"/>
        <v>6504.1717093692487</v>
      </c>
      <c r="G146" s="12">
        <f t="shared" si="1"/>
        <v>3817.7122143913193</v>
      </c>
      <c r="H146" s="12">
        <f t="shared" si="2"/>
        <v>705728.2924440722</v>
      </c>
    </row>
    <row r="147" spans="2:8" ht="12.5" x14ac:dyDescent="0.25">
      <c r="B147" s="12">
        <f t="shared" si="3"/>
        <v>133</v>
      </c>
      <c r="C147" s="12">
        <f t="shared" si="4"/>
        <v>49491</v>
      </c>
      <c r="D147" s="14">
        <f t="shared" si="5"/>
        <v>705728.2924440722</v>
      </c>
      <c r="E147" s="14">
        <f t="shared" si="8"/>
        <v>10321.883923760568</v>
      </c>
      <c r="F147" s="14">
        <f t="shared" si="0"/>
        <v>6469.1760140706619</v>
      </c>
      <c r="G147" s="12">
        <f t="shared" si="1"/>
        <v>3852.707909689906</v>
      </c>
      <c r="H147" s="12">
        <f t="shared" si="2"/>
        <v>701875.58453438233</v>
      </c>
    </row>
    <row r="148" spans="2:8" ht="12.5" x14ac:dyDescent="0.25">
      <c r="B148" s="12">
        <f t="shared" si="3"/>
        <v>134</v>
      </c>
      <c r="C148" s="12">
        <f t="shared" si="4"/>
        <v>49522</v>
      </c>
      <c r="D148" s="14">
        <f t="shared" si="5"/>
        <v>701875.58453438233</v>
      </c>
      <c r="E148" s="14">
        <f t="shared" si="8"/>
        <v>10321.883923760568</v>
      </c>
      <c r="F148" s="14">
        <f t="shared" si="0"/>
        <v>6433.8595248985048</v>
      </c>
      <c r="G148" s="12">
        <f t="shared" si="1"/>
        <v>3888.0243988620632</v>
      </c>
      <c r="H148" s="12">
        <f t="shared" si="2"/>
        <v>697987.5601355203</v>
      </c>
    </row>
    <row r="149" spans="2:8" ht="12.5" x14ac:dyDescent="0.25">
      <c r="B149" s="12">
        <f t="shared" si="3"/>
        <v>135</v>
      </c>
      <c r="C149" s="12">
        <f t="shared" si="4"/>
        <v>49553</v>
      </c>
      <c r="D149" s="14">
        <f t="shared" si="5"/>
        <v>697987.5601355203</v>
      </c>
      <c r="E149" s="14">
        <f t="shared" si="8"/>
        <v>10321.883923760568</v>
      </c>
      <c r="F149" s="14">
        <f t="shared" si="0"/>
        <v>6398.2193012422695</v>
      </c>
      <c r="G149" s="12">
        <f t="shared" si="1"/>
        <v>3923.6646225182985</v>
      </c>
      <c r="H149" s="12">
        <f t="shared" si="2"/>
        <v>694063.89551300195</v>
      </c>
    </row>
    <row r="150" spans="2:8" ht="12.5" x14ac:dyDescent="0.25">
      <c r="B150" s="12">
        <f t="shared" si="3"/>
        <v>136</v>
      </c>
      <c r="C150" s="12">
        <f t="shared" si="4"/>
        <v>49583</v>
      </c>
      <c r="D150" s="14">
        <f t="shared" si="5"/>
        <v>694063.89551300195</v>
      </c>
      <c r="E150" s="14">
        <f t="shared" si="8"/>
        <v>10321.883923760568</v>
      </c>
      <c r="F150" s="14">
        <f t="shared" si="0"/>
        <v>6362.2523755358516</v>
      </c>
      <c r="G150" s="12">
        <f t="shared" si="1"/>
        <v>3959.6315482247164</v>
      </c>
      <c r="H150" s="12">
        <f t="shared" si="2"/>
        <v>690104.26396477723</v>
      </c>
    </row>
    <row r="151" spans="2:8" ht="12.5" x14ac:dyDescent="0.25">
      <c r="B151" s="12">
        <f t="shared" si="3"/>
        <v>137</v>
      </c>
      <c r="C151" s="12">
        <f t="shared" si="4"/>
        <v>49614</v>
      </c>
      <c r="D151" s="14">
        <f t="shared" si="5"/>
        <v>690104.26396477723</v>
      </c>
      <c r="E151" s="14">
        <f t="shared" si="8"/>
        <v>10321.883923760568</v>
      </c>
      <c r="F151" s="14">
        <f t="shared" si="0"/>
        <v>6325.9557530104576</v>
      </c>
      <c r="G151" s="12">
        <f t="shared" si="1"/>
        <v>3995.9281707501104</v>
      </c>
      <c r="H151" s="12">
        <f t="shared" si="2"/>
        <v>686108.33579402708</v>
      </c>
    </row>
    <row r="152" spans="2:8" ht="12.5" x14ac:dyDescent="0.25">
      <c r="B152" s="12">
        <f t="shared" si="3"/>
        <v>138</v>
      </c>
      <c r="C152" s="12">
        <f t="shared" si="4"/>
        <v>49644</v>
      </c>
      <c r="D152" s="14">
        <f t="shared" si="5"/>
        <v>686108.33579402708</v>
      </c>
      <c r="E152" s="14">
        <f t="shared" si="8"/>
        <v>10321.883923760568</v>
      </c>
      <c r="F152" s="14">
        <f t="shared" si="0"/>
        <v>6289.3264114452486</v>
      </c>
      <c r="G152" s="12">
        <f t="shared" si="1"/>
        <v>4032.5575123153194</v>
      </c>
      <c r="H152" s="12">
        <f t="shared" si="2"/>
        <v>682075.77828171174</v>
      </c>
    </row>
    <row r="153" spans="2:8" ht="12.5" x14ac:dyDescent="0.25">
      <c r="B153" s="12">
        <f t="shared" si="3"/>
        <v>139</v>
      </c>
      <c r="C153" s="12">
        <f t="shared" si="4"/>
        <v>49675</v>
      </c>
      <c r="D153" s="14">
        <f t="shared" si="5"/>
        <v>682075.77828171174</v>
      </c>
      <c r="E153" s="14">
        <f t="shared" si="8"/>
        <v>10321.883923760568</v>
      </c>
      <c r="F153" s="14">
        <f t="shared" si="0"/>
        <v>6252.3613009156907</v>
      </c>
      <c r="G153" s="12">
        <f t="shared" si="1"/>
        <v>4069.5226228448773</v>
      </c>
      <c r="H153" s="12">
        <f t="shared" si="2"/>
        <v>678006.25565886684</v>
      </c>
    </row>
    <row r="154" spans="2:8" ht="12.5" x14ac:dyDescent="0.25">
      <c r="B154" s="12">
        <f t="shared" si="3"/>
        <v>140</v>
      </c>
      <c r="C154" s="12">
        <f t="shared" si="4"/>
        <v>49706</v>
      </c>
      <c r="D154" s="14">
        <f t="shared" si="5"/>
        <v>678006.25565886684</v>
      </c>
      <c r="E154" s="14">
        <f t="shared" si="8"/>
        <v>10321.883923760568</v>
      </c>
      <c r="F154" s="14">
        <f t="shared" si="0"/>
        <v>6215.0573435396127</v>
      </c>
      <c r="G154" s="12">
        <f t="shared" si="1"/>
        <v>4106.8265802209553</v>
      </c>
      <c r="H154" s="12">
        <f t="shared" si="2"/>
        <v>673899.42907864589</v>
      </c>
    </row>
    <row r="155" spans="2:8" ht="12.5" x14ac:dyDescent="0.25">
      <c r="B155" s="12">
        <f t="shared" si="3"/>
        <v>141</v>
      </c>
      <c r="C155" s="12">
        <f t="shared" si="4"/>
        <v>49735</v>
      </c>
      <c r="D155" s="14">
        <f t="shared" si="5"/>
        <v>673899.42907864589</v>
      </c>
      <c r="E155" s="14">
        <f t="shared" si="8"/>
        <v>10321.883923760568</v>
      </c>
      <c r="F155" s="14">
        <f t="shared" si="0"/>
        <v>6177.411433220921</v>
      </c>
      <c r="G155" s="12">
        <f t="shared" si="1"/>
        <v>4144.472490539647</v>
      </c>
      <c r="H155" s="12">
        <f t="shared" si="2"/>
        <v>669754.95658810623</v>
      </c>
    </row>
    <row r="156" spans="2:8" ht="12.5" x14ac:dyDescent="0.25">
      <c r="B156" s="12">
        <f t="shared" si="3"/>
        <v>142</v>
      </c>
      <c r="C156" s="12">
        <f t="shared" si="4"/>
        <v>49766</v>
      </c>
      <c r="D156" s="14">
        <f t="shared" si="5"/>
        <v>669754.95658810623</v>
      </c>
      <c r="E156" s="14">
        <f t="shared" si="8"/>
        <v>10321.883923760568</v>
      </c>
      <c r="F156" s="14">
        <f t="shared" si="0"/>
        <v>6139.4204353909736</v>
      </c>
      <c r="G156" s="12">
        <f t="shared" si="1"/>
        <v>4182.4634883695944</v>
      </c>
      <c r="H156" s="12">
        <f t="shared" si="2"/>
        <v>665572.49309973663</v>
      </c>
    </row>
    <row r="157" spans="2:8" ht="12.5" x14ac:dyDescent="0.25">
      <c r="B157" s="12">
        <f t="shared" si="3"/>
        <v>143</v>
      </c>
      <c r="C157" s="12">
        <f t="shared" si="4"/>
        <v>49796</v>
      </c>
      <c r="D157" s="14">
        <f t="shared" si="5"/>
        <v>665572.49309973663</v>
      </c>
      <c r="E157" s="14">
        <f t="shared" si="8"/>
        <v>10321.883923760568</v>
      </c>
      <c r="F157" s="14">
        <f t="shared" si="0"/>
        <v>6101.0811867475859</v>
      </c>
      <c r="G157" s="12">
        <f t="shared" si="1"/>
        <v>4220.8027370129821</v>
      </c>
      <c r="H157" s="12">
        <f t="shared" si="2"/>
        <v>661351.69036272366</v>
      </c>
    </row>
    <row r="158" spans="2:8" ht="12.5" x14ac:dyDescent="0.25">
      <c r="B158" s="12">
        <f t="shared" si="3"/>
        <v>144</v>
      </c>
      <c r="C158" s="12">
        <f t="shared" si="4"/>
        <v>49827</v>
      </c>
      <c r="D158" s="14">
        <f t="shared" si="5"/>
        <v>661351.69036272366</v>
      </c>
      <c r="E158" s="14">
        <f t="shared" si="8"/>
        <v>10321.883923760568</v>
      </c>
      <c r="F158" s="14">
        <f t="shared" si="0"/>
        <v>6062.3904949916332</v>
      </c>
      <c r="G158" s="12">
        <f t="shared" si="1"/>
        <v>4259.4934287689348</v>
      </c>
      <c r="H158" s="12">
        <f t="shared" si="2"/>
        <v>657092.19693395472</v>
      </c>
    </row>
    <row r="159" spans="2:8" ht="12.5" x14ac:dyDescent="0.25">
      <c r="B159" s="12">
        <f t="shared" si="3"/>
        <v>145</v>
      </c>
      <c r="C159" s="12">
        <f t="shared" si="4"/>
        <v>49857</v>
      </c>
      <c r="D159" s="14">
        <f t="shared" si="5"/>
        <v>657092.19693395472</v>
      </c>
      <c r="E159" s="14">
        <f t="shared" si="8"/>
        <v>10321.883923760568</v>
      </c>
      <c r="F159" s="14">
        <f t="shared" si="0"/>
        <v>6023.3451385612516</v>
      </c>
      <c r="G159" s="12">
        <f t="shared" si="1"/>
        <v>4298.5387851993164</v>
      </c>
      <c r="H159" s="12">
        <f t="shared" si="2"/>
        <v>652793.65814875544</v>
      </c>
    </row>
    <row r="160" spans="2:8" ht="12.5" x14ac:dyDescent="0.25">
      <c r="B160" s="12">
        <f t="shared" si="3"/>
        <v>146</v>
      </c>
      <c r="C160" s="12">
        <f t="shared" si="4"/>
        <v>49888</v>
      </c>
      <c r="D160" s="14">
        <f t="shared" si="5"/>
        <v>652793.65814875544</v>
      </c>
      <c r="E160" s="14">
        <f t="shared" si="8"/>
        <v>10321.883923760568</v>
      </c>
      <c r="F160" s="14">
        <f t="shared" si="0"/>
        <v>5983.9418663635915</v>
      </c>
      <c r="G160" s="12">
        <f t="shared" si="1"/>
        <v>4337.9420573969765</v>
      </c>
      <c r="H160" s="12">
        <f t="shared" si="2"/>
        <v>648455.71609135845</v>
      </c>
    </row>
    <row r="161" spans="2:8" ht="12.5" x14ac:dyDescent="0.25">
      <c r="B161" s="12">
        <f t="shared" si="3"/>
        <v>147</v>
      </c>
      <c r="C161" s="12">
        <f t="shared" si="4"/>
        <v>49919</v>
      </c>
      <c r="D161" s="14">
        <f t="shared" si="5"/>
        <v>648455.71609135845</v>
      </c>
      <c r="E161" s="14">
        <f t="shared" si="8"/>
        <v>10321.883923760568</v>
      </c>
      <c r="F161" s="14">
        <f t="shared" si="0"/>
        <v>5944.1773975041187</v>
      </c>
      <c r="G161" s="12">
        <f t="shared" si="1"/>
        <v>4377.7065262564493</v>
      </c>
      <c r="H161" s="12">
        <f t="shared" si="2"/>
        <v>644078.00956510205</v>
      </c>
    </row>
    <row r="162" spans="2:8" ht="12.5" x14ac:dyDescent="0.25">
      <c r="B162" s="12">
        <f t="shared" si="3"/>
        <v>148</v>
      </c>
      <c r="C162" s="12">
        <f t="shared" si="4"/>
        <v>49949</v>
      </c>
      <c r="D162" s="14">
        <f t="shared" si="5"/>
        <v>644078.00956510205</v>
      </c>
      <c r="E162" s="14">
        <f t="shared" si="8"/>
        <v>10321.883923760568</v>
      </c>
      <c r="F162" s="14">
        <f t="shared" si="0"/>
        <v>5904.0484210134355</v>
      </c>
      <c r="G162" s="12">
        <f t="shared" si="1"/>
        <v>4417.8355027471325</v>
      </c>
      <c r="H162" s="12">
        <f t="shared" si="2"/>
        <v>639660.17406235496</v>
      </c>
    </row>
    <row r="163" spans="2:8" ht="12.5" x14ac:dyDescent="0.25">
      <c r="B163" s="12">
        <f t="shared" si="3"/>
        <v>149</v>
      </c>
      <c r="C163" s="12">
        <f t="shared" si="4"/>
        <v>49980</v>
      </c>
      <c r="D163" s="14">
        <f t="shared" si="5"/>
        <v>639660.17406235496</v>
      </c>
      <c r="E163" s="14">
        <f t="shared" si="8"/>
        <v>10321.883923760568</v>
      </c>
      <c r="F163" s="14">
        <f t="shared" si="0"/>
        <v>5863.5515955715873</v>
      </c>
      <c r="G163" s="12">
        <f t="shared" si="1"/>
        <v>4458.3323281889807</v>
      </c>
      <c r="H163" s="12">
        <f t="shared" si="2"/>
        <v>635201.84173416602</v>
      </c>
    </row>
    <row r="164" spans="2:8" ht="12.5" x14ac:dyDescent="0.25">
      <c r="B164" s="12">
        <f t="shared" si="3"/>
        <v>150</v>
      </c>
      <c r="C164" s="12">
        <f t="shared" si="4"/>
        <v>50010</v>
      </c>
      <c r="D164" s="14">
        <f t="shared" si="5"/>
        <v>635201.84173416602</v>
      </c>
      <c r="E164" s="14">
        <f t="shared" si="8"/>
        <v>10321.883923760568</v>
      </c>
      <c r="F164" s="14">
        <f t="shared" si="0"/>
        <v>5822.6835492298551</v>
      </c>
      <c r="G164" s="12">
        <f t="shared" si="1"/>
        <v>4499.2003745307129</v>
      </c>
      <c r="H164" s="12">
        <f t="shared" si="2"/>
        <v>630702.64135963528</v>
      </c>
    </row>
    <row r="165" spans="2:8" ht="12.5" x14ac:dyDescent="0.25">
      <c r="B165" s="12">
        <f t="shared" si="3"/>
        <v>151</v>
      </c>
      <c r="C165" s="12">
        <f t="shared" si="4"/>
        <v>50041</v>
      </c>
      <c r="D165" s="14">
        <f t="shared" si="5"/>
        <v>630702.64135963528</v>
      </c>
      <c r="E165" s="14">
        <f t="shared" si="8"/>
        <v>10321.883923760568</v>
      </c>
      <c r="F165" s="14">
        <f t="shared" si="0"/>
        <v>5781.4408791299902</v>
      </c>
      <c r="G165" s="12">
        <f t="shared" si="1"/>
        <v>4540.4430446305778</v>
      </c>
      <c r="H165" s="12">
        <f t="shared" si="2"/>
        <v>626162.1983150047</v>
      </c>
    </row>
    <row r="166" spans="2:8" ht="12.5" x14ac:dyDescent="0.25">
      <c r="B166" s="12">
        <f t="shared" si="3"/>
        <v>152</v>
      </c>
      <c r="C166" s="12">
        <f t="shared" si="4"/>
        <v>50072</v>
      </c>
      <c r="D166" s="14">
        <f t="shared" si="5"/>
        <v>626162.1983150047</v>
      </c>
      <c r="E166" s="14">
        <f t="shared" si="8"/>
        <v>10321.883923760568</v>
      </c>
      <c r="F166" s="14">
        <f t="shared" si="0"/>
        <v>5739.8201512208761</v>
      </c>
      <c r="G166" s="12">
        <f t="shared" si="1"/>
        <v>4582.0637725396919</v>
      </c>
      <c r="H166" s="12">
        <f t="shared" si="2"/>
        <v>621580.13454246498</v>
      </c>
    </row>
    <row r="167" spans="2:8" ht="12.5" x14ac:dyDescent="0.25">
      <c r="B167" s="12">
        <f t="shared" si="3"/>
        <v>153</v>
      </c>
      <c r="C167" s="12">
        <f t="shared" si="4"/>
        <v>50100</v>
      </c>
      <c r="D167" s="14">
        <f t="shared" si="5"/>
        <v>621580.13454246498</v>
      </c>
      <c r="E167" s="14">
        <f t="shared" si="8"/>
        <v>10321.883923760568</v>
      </c>
      <c r="F167" s="14">
        <f t="shared" si="0"/>
        <v>5697.817899972596</v>
      </c>
      <c r="G167" s="12">
        <f t="shared" si="1"/>
        <v>4624.066023787972</v>
      </c>
      <c r="H167" s="12">
        <f t="shared" si="2"/>
        <v>616956.06851867703</v>
      </c>
    </row>
    <row r="168" spans="2:8" ht="12.5" x14ac:dyDescent="0.25">
      <c r="B168" s="12">
        <f t="shared" si="3"/>
        <v>154</v>
      </c>
      <c r="C168" s="12">
        <f t="shared" si="4"/>
        <v>50131</v>
      </c>
      <c r="D168" s="14">
        <f t="shared" si="5"/>
        <v>616956.06851867703</v>
      </c>
      <c r="E168" s="14">
        <f t="shared" si="8"/>
        <v>10321.883923760568</v>
      </c>
      <c r="F168" s="14">
        <f t="shared" si="0"/>
        <v>5655.4306280878727</v>
      </c>
      <c r="G168" s="12">
        <f t="shared" si="1"/>
        <v>4666.4532956726953</v>
      </c>
      <c r="H168" s="12">
        <f t="shared" si="2"/>
        <v>612289.61522300437</v>
      </c>
    </row>
    <row r="169" spans="2:8" ht="12.5" x14ac:dyDescent="0.25">
      <c r="B169" s="12">
        <f t="shared" si="3"/>
        <v>155</v>
      </c>
      <c r="C169" s="12">
        <f t="shared" si="4"/>
        <v>50161</v>
      </c>
      <c r="D169" s="14">
        <f t="shared" si="5"/>
        <v>612289.61522300437</v>
      </c>
      <c r="E169" s="14">
        <f t="shared" si="8"/>
        <v>10321.883923760568</v>
      </c>
      <c r="F169" s="14">
        <f t="shared" si="0"/>
        <v>5612.6548062108732</v>
      </c>
      <c r="G169" s="12">
        <f t="shared" si="1"/>
        <v>4709.2291175496948</v>
      </c>
      <c r="H169" s="12">
        <f t="shared" si="2"/>
        <v>607580.38610545464</v>
      </c>
    </row>
    <row r="170" spans="2:8" ht="12.5" x14ac:dyDescent="0.25">
      <c r="B170" s="12">
        <f t="shared" si="3"/>
        <v>156</v>
      </c>
      <c r="C170" s="12">
        <f t="shared" si="4"/>
        <v>50192</v>
      </c>
      <c r="D170" s="14">
        <f t="shared" si="5"/>
        <v>607580.38610545464</v>
      </c>
      <c r="E170" s="14">
        <f t="shared" si="8"/>
        <v>10321.883923760568</v>
      </c>
      <c r="F170" s="14">
        <f t="shared" si="0"/>
        <v>5569.4868726333343</v>
      </c>
      <c r="G170" s="12">
        <f t="shared" si="1"/>
        <v>4752.3970511272337</v>
      </c>
      <c r="H170" s="12">
        <f t="shared" si="2"/>
        <v>602827.98905432737</v>
      </c>
    </row>
    <row r="171" spans="2:8" ht="12.5" x14ac:dyDescent="0.25">
      <c r="B171" s="12">
        <f t="shared" si="3"/>
        <v>157</v>
      </c>
      <c r="C171" s="12">
        <f t="shared" si="4"/>
        <v>50222</v>
      </c>
      <c r="D171" s="14">
        <f t="shared" si="5"/>
        <v>602827.98905432737</v>
      </c>
      <c r="E171" s="14">
        <f t="shared" si="8"/>
        <v>10321.883923760568</v>
      </c>
      <c r="F171" s="14">
        <f t="shared" si="0"/>
        <v>5525.9232329980005</v>
      </c>
      <c r="G171" s="12">
        <f t="shared" si="1"/>
        <v>4795.9606907625675</v>
      </c>
      <c r="H171" s="12">
        <f t="shared" si="2"/>
        <v>598032.02836356475</v>
      </c>
    </row>
    <row r="172" spans="2:8" ht="12.5" x14ac:dyDescent="0.25">
      <c r="B172" s="12">
        <f t="shared" si="3"/>
        <v>158</v>
      </c>
      <c r="C172" s="12">
        <f t="shared" si="4"/>
        <v>50253</v>
      </c>
      <c r="D172" s="14">
        <f t="shared" si="5"/>
        <v>598032.02836356475</v>
      </c>
      <c r="E172" s="14">
        <f t="shared" si="8"/>
        <v>10321.883923760568</v>
      </c>
      <c r="F172" s="14">
        <f t="shared" si="0"/>
        <v>5481.9602599993432</v>
      </c>
      <c r="G172" s="12">
        <f t="shared" si="1"/>
        <v>4839.9236637612248</v>
      </c>
      <c r="H172" s="12">
        <f t="shared" si="2"/>
        <v>593192.10469980352</v>
      </c>
    </row>
    <row r="173" spans="2:8" ht="12.5" x14ac:dyDescent="0.25">
      <c r="B173" s="12">
        <f t="shared" si="3"/>
        <v>159</v>
      </c>
      <c r="C173" s="12">
        <f t="shared" si="4"/>
        <v>50284</v>
      </c>
      <c r="D173" s="14">
        <f t="shared" si="5"/>
        <v>593192.10469980352</v>
      </c>
      <c r="E173" s="14">
        <f t="shared" si="8"/>
        <v>10321.883923760568</v>
      </c>
      <c r="F173" s="14">
        <f t="shared" si="0"/>
        <v>5437.5942930815327</v>
      </c>
      <c r="G173" s="12">
        <f t="shared" si="1"/>
        <v>4884.2896306790353</v>
      </c>
      <c r="H173" s="12">
        <f t="shared" si="2"/>
        <v>588307.81506912445</v>
      </c>
    </row>
    <row r="174" spans="2:8" ht="12.5" x14ac:dyDescent="0.25">
      <c r="B174" s="12">
        <f t="shared" si="3"/>
        <v>160</v>
      </c>
      <c r="C174" s="12">
        <f t="shared" si="4"/>
        <v>50314</v>
      </c>
      <c r="D174" s="14">
        <f t="shared" si="5"/>
        <v>588307.81506912445</v>
      </c>
      <c r="E174" s="14">
        <f t="shared" si="8"/>
        <v>10321.883923760568</v>
      </c>
      <c r="F174" s="14">
        <f t="shared" si="0"/>
        <v>5392.8216381336406</v>
      </c>
      <c r="G174" s="12">
        <f t="shared" si="1"/>
        <v>4929.0622856269274</v>
      </c>
      <c r="H174" s="12">
        <f t="shared" si="2"/>
        <v>583378.75278349756</v>
      </c>
    </row>
    <row r="175" spans="2:8" ht="12.5" x14ac:dyDescent="0.25">
      <c r="B175" s="12">
        <f t="shared" si="3"/>
        <v>161</v>
      </c>
      <c r="C175" s="12">
        <f t="shared" si="4"/>
        <v>50345</v>
      </c>
      <c r="D175" s="14">
        <f t="shared" si="5"/>
        <v>583378.75278349756</v>
      </c>
      <c r="E175" s="14">
        <f t="shared" si="8"/>
        <v>10321.883923760568</v>
      </c>
      <c r="F175" s="14">
        <f t="shared" si="0"/>
        <v>5347.6385671820608</v>
      </c>
      <c r="G175" s="12">
        <f t="shared" si="1"/>
        <v>4974.2453565785072</v>
      </c>
      <c r="H175" s="12">
        <f t="shared" si="2"/>
        <v>578404.50742691907</v>
      </c>
    </row>
    <row r="176" spans="2:8" ht="12.5" x14ac:dyDescent="0.25">
      <c r="B176" s="12">
        <f t="shared" si="3"/>
        <v>162</v>
      </c>
      <c r="C176" s="12">
        <f t="shared" si="4"/>
        <v>50375</v>
      </c>
      <c r="D176" s="14">
        <f t="shared" si="5"/>
        <v>578404.50742691907</v>
      </c>
      <c r="E176" s="14">
        <f t="shared" si="8"/>
        <v>10321.883923760568</v>
      </c>
      <c r="F176" s="14">
        <f t="shared" si="0"/>
        <v>5302.0413180800915</v>
      </c>
      <c r="G176" s="12">
        <f t="shared" si="1"/>
        <v>5019.8426056804765</v>
      </c>
      <c r="H176" s="12">
        <f t="shared" si="2"/>
        <v>573384.66482123861</v>
      </c>
    </row>
    <row r="177" spans="2:8" ht="12.5" x14ac:dyDescent="0.25">
      <c r="B177" s="12">
        <f t="shared" si="3"/>
        <v>163</v>
      </c>
      <c r="C177" s="12">
        <f t="shared" si="4"/>
        <v>50406</v>
      </c>
      <c r="D177" s="14">
        <f t="shared" si="5"/>
        <v>573384.66482123861</v>
      </c>
      <c r="E177" s="14">
        <f t="shared" si="8"/>
        <v>10321.883923760568</v>
      </c>
      <c r="F177" s="14">
        <f t="shared" si="0"/>
        <v>5256.0260941946872</v>
      </c>
      <c r="G177" s="12">
        <f t="shared" si="1"/>
        <v>5065.8578295658808</v>
      </c>
      <c r="H177" s="12">
        <f t="shared" si="2"/>
        <v>568318.80699167273</v>
      </c>
    </row>
    <row r="178" spans="2:8" ht="12.5" x14ac:dyDescent="0.25">
      <c r="B178" s="12">
        <f t="shared" si="3"/>
        <v>164</v>
      </c>
      <c r="C178" s="12">
        <f t="shared" si="4"/>
        <v>50437</v>
      </c>
      <c r="D178" s="14">
        <f t="shared" si="5"/>
        <v>568318.80699167273</v>
      </c>
      <c r="E178" s="14">
        <f t="shared" si="8"/>
        <v>10321.883923760568</v>
      </c>
      <c r="F178" s="14">
        <f t="shared" si="0"/>
        <v>5209.5890640903335</v>
      </c>
      <c r="G178" s="12">
        <f t="shared" si="1"/>
        <v>5112.2948596702345</v>
      </c>
      <c r="H178" s="12">
        <f t="shared" si="2"/>
        <v>563206.51213200251</v>
      </c>
    </row>
    <row r="179" spans="2:8" ht="12.5" x14ac:dyDescent="0.25">
      <c r="B179" s="12">
        <f t="shared" si="3"/>
        <v>165</v>
      </c>
      <c r="C179" s="12">
        <f t="shared" si="4"/>
        <v>50465</v>
      </c>
      <c r="D179" s="14">
        <f t="shared" si="5"/>
        <v>563206.51213200251</v>
      </c>
      <c r="E179" s="14">
        <f t="shared" si="8"/>
        <v>10321.883923760568</v>
      </c>
      <c r="F179" s="14">
        <f t="shared" si="0"/>
        <v>5162.7263612100232</v>
      </c>
      <c r="G179" s="12">
        <f t="shared" si="1"/>
        <v>5159.1575625505448</v>
      </c>
      <c r="H179" s="12">
        <f t="shared" si="2"/>
        <v>558047.354569452</v>
      </c>
    </row>
    <row r="180" spans="2:8" ht="12.5" x14ac:dyDescent="0.25">
      <c r="B180" s="12">
        <f t="shared" si="3"/>
        <v>166</v>
      </c>
      <c r="C180" s="12">
        <f t="shared" si="4"/>
        <v>50496</v>
      </c>
      <c r="D180" s="14">
        <f t="shared" si="5"/>
        <v>558047.354569452</v>
      </c>
      <c r="E180" s="14">
        <f t="shared" si="8"/>
        <v>10321.883923760568</v>
      </c>
      <c r="F180" s="14">
        <f t="shared" si="0"/>
        <v>5115.4340835533103</v>
      </c>
      <c r="G180" s="12">
        <f t="shared" si="1"/>
        <v>5206.4498402072577</v>
      </c>
      <c r="H180" s="12">
        <f t="shared" si="2"/>
        <v>552840.90472924476</v>
      </c>
    </row>
    <row r="181" spans="2:8" ht="12.5" x14ac:dyDescent="0.25">
      <c r="B181" s="12">
        <f t="shared" si="3"/>
        <v>167</v>
      </c>
      <c r="C181" s="12">
        <f t="shared" si="4"/>
        <v>50526</v>
      </c>
      <c r="D181" s="14">
        <f t="shared" si="5"/>
        <v>552840.90472924476</v>
      </c>
      <c r="E181" s="14">
        <f t="shared" si="8"/>
        <v>10321.883923760568</v>
      </c>
      <c r="F181" s="14">
        <f t="shared" si="0"/>
        <v>5067.7082933514102</v>
      </c>
      <c r="G181" s="12">
        <f t="shared" si="1"/>
        <v>5254.1756304091577</v>
      </c>
      <c r="H181" s="12">
        <f t="shared" si="2"/>
        <v>547586.72909883561</v>
      </c>
    </row>
    <row r="182" spans="2:8" ht="12.5" x14ac:dyDescent="0.25">
      <c r="B182" s="12">
        <f t="shared" si="3"/>
        <v>168</v>
      </c>
      <c r="C182" s="12">
        <f t="shared" si="4"/>
        <v>50557</v>
      </c>
      <c r="D182" s="14">
        <f t="shared" si="5"/>
        <v>547586.72909883561</v>
      </c>
      <c r="E182" s="14">
        <f t="shared" si="8"/>
        <v>10321.883923760568</v>
      </c>
      <c r="F182" s="14">
        <f t="shared" si="0"/>
        <v>5019.5450167393265</v>
      </c>
      <c r="G182" s="12">
        <f t="shared" si="1"/>
        <v>5302.3389070212415</v>
      </c>
      <c r="H182" s="12">
        <f t="shared" si="2"/>
        <v>542284.3901918144</v>
      </c>
    </row>
    <row r="183" spans="2:8" ht="12.5" x14ac:dyDescent="0.25">
      <c r="B183" s="12">
        <f t="shared" si="3"/>
        <v>169</v>
      </c>
      <c r="C183" s="12">
        <f t="shared" si="4"/>
        <v>50587</v>
      </c>
      <c r="D183" s="14">
        <f t="shared" si="5"/>
        <v>542284.3901918144</v>
      </c>
      <c r="E183" s="14">
        <f t="shared" si="8"/>
        <v>10321.883923760568</v>
      </c>
      <c r="F183" s="14">
        <f t="shared" si="0"/>
        <v>4970.940243424965</v>
      </c>
      <c r="G183" s="12">
        <f t="shared" si="1"/>
        <v>5350.9436803356029</v>
      </c>
      <c r="H183" s="12">
        <f t="shared" si="2"/>
        <v>536933.44651147875</v>
      </c>
    </row>
    <row r="184" spans="2:8" ht="12.5" x14ac:dyDescent="0.25">
      <c r="B184" s="12">
        <f t="shared" si="3"/>
        <v>170</v>
      </c>
      <c r="C184" s="12">
        <f t="shared" si="4"/>
        <v>50618</v>
      </c>
      <c r="D184" s="14">
        <f t="shared" si="5"/>
        <v>536933.44651147875</v>
      </c>
      <c r="E184" s="14">
        <f t="shared" si="8"/>
        <v>10321.883923760568</v>
      </c>
      <c r="F184" s="14">
        <f t="shared" si="0"/>
        <v>4921.8899263552221</v>
      </c>
      <c r="G184" s="12">
        <f t="shared" si="1"/>
        <v>5399.9939974053459</v>
      </c>
      <c r="H184" s="12">
        <f t="shared" si="2"/>
        <v>531533.45251407335</v>
      </c>
    </row>
    <row r="185" spans="2:8" ht="12.5" x14ac:dyDescent="0.25">
      <c r="B185" s="12">
        <f t="shared" si="3"/>
        <v>171</v>
      </c>
      <c r="C185" s="12">
        <f t="shared" si="4"/>
        <v>50649</v>
      </c>
      <c r="D185" s="14">
        <f t="shared" si="5"/>
        <v>531533.45251407335</v>
      </c>
      <c r="E185" s="14">
        <f t="shared" si="8"/>
        <v>10321.883923760568</v>
      </c>
      <c r="F185" s="14">
        <f t="shared" si="0"/>
        <v>4872.3899813790058</v>
      </c>
      <c r="G185" s="12">
        <f t="shared" si="1"/>
        <v>5449.4939423815622</v>
      </c>
      <c r="H185" s="12">
        <f t="shared" si="2"/>
        <v>526083.95857169176</v>
      </c>
    </row>
    <row r="186" spans="2:8" ht="12.5" x14ac:dyDescent="0.25">
      <c r="B186" s="12">
        <f t="shared" si="3"/>
        <v>172</v>
      </c>
      <c r="C186" s="12">
        <f t="shared" si="4"/>
        <v>50679</v>
      </c>
      <c r="D186" s="14">
        <f t="shared" si="5"/>
        <v>526083.95857169176</v>
      </c>
      <c r="E186" s="14">
        <f t="shared" si="8"/>
        <v>10321.883923760568</v>
      </c>
      <c r="F186" s="14">
        <f t="shared" si="0"/>
        <v>4822.4362869071747</v>
      </c>
      <c r="G186" s="12">
        <f t="shared" si="1"/>
        <v>5499.4476368533933</v>
      </c>
      <c r="H186" s="12">
        <f t="shared" si="2"/>
        <v>520584.51093483838</v>
      </c>
    </row>
    <row r="187" spans="2:8" ht="12.5" x14ac:dyDescent="0.25">
      <c r="B187" s="12">
        <f t="shared" si="3"/>
        <v>173</v>
      </c>
      <c r="C187" s="12">
        <f t="shared" si="4"/>
        <v>50710</v>
      </c>
      <c r="D187" s="14">
        <f t="shared" si="5"/>
        <v>520584.51093483838</v>
      </c>
      <c r="E187" s="14">
        <f t="shared" si="8"/>
        <v>10321.883923760568</v>
      </c>
      <c r="F187" s="14">
        <f t="shared" si="0"/>
        <v>4772.0246835693515</v>
      </c>
      <c r="G187" s="12">
        <f t="shared" si="1"/>
        <v>5549.8592401912165</v>
      </c>
      <c r="H187" s="12">
        <f t="shared" si="2"/>
        <v>515034.65169464715</v>
      </c>
    </row>
    <row r="188" spans="2:8" ht="12.5" x14ac:dyDescent="0.25">
      <c r="B188" s="12">
        <f t="shared" si="3"/>
        <v>174</v>
      </c>
      <c r="C188" s="12">
        <f t="shared" si="4"/>
        <v>50740</v>
      </c>
      <c r="D188" s="14">
        <f t="shared" si="5"/>
        <v>515034.65169464715</v>
      </c>
      <c r="E188" s="14">
        <f t="shared" si="8"/>
        <v>10321.883923760568</v>
      </c>
      <c r="F188" s="14">
        <f t="shared" si="0"/>
        <v>4721.1509738675986</v>
      </c>
      <c r="G188" s="12">
        <f t="shared" si="1"/>
        <v>5600.7329498929694</v>
      </c>
      <c r="H188" s="12">
        <f t="shared" si="2"/>
        <v>509433.91874475416</v>
      </c>
    </row>
    <row r="189" spans="2:8" ht="12.5" x14ac:dyDescent="0.25">
      <c r="B189" s="12">
        <f t="shared" si="3"/>
        <v>175</v>
      </c>
      <c r="C189" s="12">
        <f t="shared" si="4"/>
        <v>50771</v>
      </c>
      <c r="D189" s="14">
        <f t="shared" si="5"/>
        <v>509433.91874475416</v>
      </c>
      <c r="E189" s="14">
        <f t="shared" si="8"/>
        <v>10321.883923760568</v>
      </c>
      <c r="F189" s="14">
        <f t="shared" si="0"/>
        <v>4669.8109218269128</v>
      </c>
      <c r="G189" s="12">
        <f t="shared" si="1"/>
        <v>5652.0730019336552</v>
      </c>
      <c r="H189" s="12">
        <f t="shared" si="2"/>
        <v>503781.84574282053</v>
      </c>
    </row>
    <row r="190" spans="2:8" ht="12.5" x14ac:dyDescent="0.25">
      <c r="B190" s="12">
        <f t="shared" si="3"/>
        <v>176</v>
      </c>
      <c r="C190" s="12">
        <f t="shared" si="4"/>
        <v>50802</v>
      </c>
      <c r="D190" s="14">
        <f t="shared" si="5"/>
        <v>503781.84574282053</v>
      </c>
      <c r="E190" s="14">
        <f t="shared" si="8"/>
        <v>10321.883923760568</v>
      </c>
      <c r="F190" s="14">
        <f t="shared" si="0"/>
        <v>4618.0002526425214</v>
      </c>
      <c r="G190" s="12">
        <f t="shared" si="1"/>
        <v>5703.8836711180465</v>
      </c>
      <c r="H190" s="12">
        <f t="shared" si="2"/>
        <v>498077.96207170247</v>
      </c>
    </row>
    <row r="191" spans="2:8" ht="12.5" x14ac:dyDescent="0.25">
      <c r="B191" s="12">
        <f t="shared" si="3"/>
        <v>177</v>
      </c>
      <c r="C191" s="12">
        <f t="shared" si="4"/>
        <v>50830</v>
      </c>
      <c r="D191" s="14">
        <f t="shared" si="5"/>
        <v>498077.96207170247</v>
      </c>
      <c r="E191" s="14">
        <f t="shared" si="8"/>
        <v>10321.883923760568</v>
      </c>
      <c r="F191" s="14">
        <f t="shared" si="0"/>
        <v>4565.7146523239389</v>
      </c>
      <c r="G191" s="12">
        <f t="shared" si="1"/>
        <v>5756.1692714366291</v>
      </c>
      <c r="H191" s="12">
        <f t="shared" si="2"/>
        <v>492321.79280026583</v>
      </c>
    </row>
    <row r="192" spans="2:8" ht="12.5" x14ac:dyDescent="0.25">
      <c r="B192" s="12">
        <f t="shared" si="3"/>
        <v>178</v>
      </c>
      <c r="C192" s="12">
        <f t="shared" si="4"/>
        <v>50861</v>
      </c>
      <c r="D192" s="14">
        <f t="shared" si="5"/>
        <v>492321.79280026583</v>
      </c>
      <c r="E192" s="14">
        <f t="shared" si="8"/>
        <v>10321.883923760568</v>
      </c>
      <c r="F192" s="14">
        <f t="shared" si="0"/>
        <v>4512.94976733577</v>
      </c>
      <c r="G192" s="12">
        <f t="shared" si="1"/>
        <v>5808.9341564247979</v>
      </c>
      <c r="H192" s="12">
        <f t="shared" si="2"/>
        <v>486512.85864384106</v>
      </c>
    </row>
    <row r="193" spans="2:8" ht="12.5" x14ac:dyDescent="0.25">
      <c r="B193" s="12">
        <f t="shared" si="3"/>
        <v>179</v>
      </c>
      <c r="C193" s="12">
        <f t="shared" si="4"/>
        <v>50891</v>
      </c>
      <c r="D193" s="14">
        <f t="shared" si="5"/>
        <v>486512.85864384106</v>
      </c>
      <c r="E193" s="14">
        <f t="shared" si="8"/>
        <v>10321.883923760568</v>
      </c>
      <c r="F193" s="14">
        <f t="shared" si="0"/>
        <v>4459.7012042352098</v>
      </c>
      <c r="G193" s="12">
        <f t="shared" si="1"/>
        <v>5862.1827195253582</v>
      </c>
      <c r="H193" s="12">
        <f t="shared" si="2"/>
        <v>480650.6759243157</v>
      </c>
    </row>
    <row r="194" spans="2:8" ht="12.5" x14ac:dyDescent="0.25">
      <c r="B194" s="12">
        <f t="shared" si="3"/>
        <v>180</v>
      </c>
      <c r="C194" s="12">
        <f t="shared" si="4"/>
        <v>50922</v>
      </c>
      <c r="D194" s="14">
        <f t="shared" si="5"/>
        <v>480650.6759243157</v>
      </c>
      <c r="E194" s="14">
        <f t="shared" si="8"/>
        <v>10321.883923760568</v>
      </c>
      <c r="F194" s="14">
        <f t="shared" si="0"/>
        <v>4405.9645293062276</v>
      </c>
      <c r="G194" s="12">
        <f t="shared" si="1"/>
        <v>5915.9193944543404</v>
      </c>
      <c r="H194" s="12">
        <f t="shared" si="2"/>
        <v>474734.75652986136</v>
      </c>
    </row>
    <row r="195" spans="2:8" ht="12.5" x14ac:dyDescent="0.25">
      <c r="B195" s="12">
        <f t="shared" si="3"/>
        <v>181</v>
      </c>
      <c r="C195" s="12">
        <f t="shared" si="4"/>
        <v>50952</v>
      </c>
      <c r="D195" s="14">
        <f t="shared" si="5"/>
        <v>474734.75652986136</v>
      </c>
      <c r="E195" s="14">
        <f t="shared" si="8"/>
        <v>10321.883923760568</v>
      </c>
      <c r="F195" s="14">
        <f t="shared" si="0"/>
        <v>4351.7352681903958</v>
      </c>
      <c r="G195" s="12">
        <f t="shared" si="1"/>
        <v>5970.1486555701722</v>
      </c>
      <c r="H195" s="12">
        <f t="shared" si="2"/>
        <v>468764.60787429119</v>
      </c>
    </row>
    <row r="196" spans="2:8" ht="12.5" x14ac:dyDescent="0.25">
      <c r="B196" s="12">
        <f t="shared" si="3"/>
        <v>182</v>
      </c>
      <c r="C196" s="12">
        <f t="shared" si="4"/>
        <v>50983</v>
      </c>
      <c r="D196" s="14">
        <f t="shared" si="5"/>
        <v>468764.60787429119</v>
      </c>
      <c r="E196" s="14">
        <f t="shared" si="8"/>
        <v>10321.883923760568</v>
      </c>
      <c r="F196" s="14">
        <f t="shared" si="0"/>
        <v>4297.0089055143362</v>
      </c>
      <c r="G196" s="12">
        <f t="shared" si="1"/>
        <v>6024.8750182462318</v>
      </c>
      <c r="H196" s="12">
        <f t="shared" si="2"/>
        <v>462739.73285604495</v>
      </c>
    </row>
    <row r="197" spans="2:8" ht="12.5" x14ac:dyDescent="0.25">
      <c r="B197" s="12">
        <f t="shared" si="3"/>
        <v>183</v>
      </c>
      <c r="C197" s="12">
        <f t="shared" si="4"/>
        <v>51014</v>
      </c>
      <c r="D197" s="14">
        <f t="shared" si="5"/>
        <v>462739.73285604495</v>
      </c>
      <c r="E197" s="14">
        <f t="shared" si="8"/>
        <v>10321.883923760568</v>
      </c>
      <c r="F197" s="14">
        <f t="shared" si="0"/>
        <v>4241.7808845137451</v>
      </c>
      <c r="G197" s="12">
        <f t="shared" si="1"/>
        <v>6080.1030392468228</v>
      </c>
      <c r="H197" s="12">
        <f t="shared" si="2"/>
        <v>456659.62981679814</v>
      </c>
    </row>
    <row r="198" spans="2:8" ht="12.5" x14ac:dyDescent="0.25">
      <c r="B198" s="12">
        <f t="shared" si="3"/>
        <v>184</v>
      </c>
      <c r="C198" s="12">
        <f t="shared" si="4"/>
        <v>51044</v>
      </c>
      <c r="D198" s="14">
        <f t="shared" si="5"/>
        <v>456659.62981679814</v>
      </c>
      <c r="E198" s="14">
        <f t="shared" si="8"/>
        <v>10321.883923760568</v>
      </c>
      <c r="F198" s="14">
        <f t="shared" si="0"/>
        <v>4186.046606653983</v>
      </c>
      <c r="G198" s="12">
        <f t="shared" si="1"/>
        <v>6135.837317106585</v>
      </c>
      <c r="H198" s="12">
        <f t="shared" si="2"/>
        <v>450523.79249969154</v>
      </c>
    </row>
    <row r="199" spans="2:8" ht="12.5" x14ac:dyDescent="0.25">
      <c r="B199" s="12">
        <f t="shared" si="3"/>
        <v>185</v>
      </c>
      <c r="C199" s="12">
        <f t="shared" si="4"/>
        <v>51075</v>
      </c>
      <c r="D199" s="14">
        <f t="shared" si="5"/>
        <v>450523.79249969154</v>
      </c>
      <c r="E199" s="14">
        <f t="shared" si="8"/>
        <v>10321.883923760568</v>
      </c>
      <c r="F199" s="14">
        <f t="shared" si="0"/>
        <v>4129.8014312471723</v>
      </c>
      <c r="G199" s="12">
        <f t="shared" si="1"/>
        <v>6192.0824925133957</v>
      </c>
      <c r="H199" s="12">
        <f t="shared" si="2"/>
        <v>444331.71000717813</v>
      </c>
    </row>
    <row r="200" spans="2:8" ht="12.5" x14ac:dyDescent="0.25">
      <c r="B200" s="12">
        <f t="shared" si="3"/>
        <v>186</v>
      </c>
      <c r="C200" s="12">
        <f t="shared" si="4"/>
        <v>51105</v>
      </c>
      <c r="D200" s="14">
        <f t="shared" si="5"/>
        <v>444331.71000717813</v>
      </c>
      <c r="E200" s="14">
        <f t="shared" si="8"/>
        <v>10321.883923760568</v>
      </c>
      <c r="F200" s="14">
        <f t="shared" si="0"/>
        <v>4073.0406750657994</v>
      </c>
      <c r="G200" s="12">
        <f t="shared" si="1"/>
        <v>6248.8432486947686</v>
      </c>
      <c r="H200" s="12">
        <f t="shared" si="2"/>
        <v>438082.86675848335</v>
      </c>
    </row>
    <row r="201" spans="2:8" ht="12.5" x14ac:dyDescent="0.25">
      <c r="B201" s="12">
        <f t="shared" si="3"/>
        <v>187</v>
      </c>
      <c r="C201" s="12">
        <f t="shared" si="4"/>
        <v>51136</v>
      </c>
      <c r="D201" s="14">
        <f t="shared" si="5"/>
        <v>438082.86675848335</v>
      </c>
      <c r="E201" s="14">
        <f t="shared" si="8"/>
        <v>10321.883923760568</v>
      </c>
      <c r="F201" s="14">
        <f t="shared" si="0"/>
        <v>4015.7596119527639</v>
      </c>
      <c r="G201" s="12">
        <f t="shared" si="1"/>
        <v>6306.1243118078037</v>
      </c>
      <c r="H201" s="12">
        <f t="shared" si="2"/>
        <v>431776.74244667555</v>
      </c>
    </row>
    <row r="202" spans="2:8" ht="12.5" x14ac:dyDescent="0.25">
      <c r="B202" s="12">
        <f t="shared" si="3"/>
        <v>188</v>
      </c>
      <c r="C202" s="12">
        <f t="shared" si="4"/>
        <v>51167</v>
      </c>
      <c r="D202" s="14">
        <f t="shared" si="5"/>
        <v>431776.74244667555</v>
      </c>
      <c r="E202" s="14">
        <f t="shared" si="8"/>
        <v>10321.883923760568</v>
      </c>
      <c r="F202" s="14">
        <f t="shared" si="0"/>
        <v>3957.9534724278592</v>
      </c>
      <c r="G202" s="12">
        <f t="shared" si="1"/>
        <v>6363.9304513327088</v>
      </c>
      <c r="H202" s="12">
        <f t="shared" si="2"/>
        <v>425412.81199534284</v>
      </c>
    </row>
    <row r="203" spans="2:8" ht="12.5" x14ac:dyDescent="0.25">
      <c r="B203" s="12">
        <f t="shared" si="3"/>
        <v>189</v>
      </c>
      <c r="C203" s="12">
        <f t="shared" si="4"/>
        <v>51196</v>
      </c>
      <c r="D203" s="14">
        <f t="shared" si="5"/>
        <v>425412.81199534284</v>
      </c>
      <c r="E203" s="14">
        <f t="shared" si="8"/>
        <v>10321.883923760568</v>
      </c>
      <c r="F203" s="14">
        <f t="shared" si="0"/>
        <v>3899.6174432906428</v>
      </c>
      <c r="G203" s="12">
        <f t="shared" si="1"/>
        <v>6422.2664804699252</v>
      </c>
      <c r="H203" s="12">
        <f t="shared" si="2"/>
        <v>418990.54551487294</v>
      </c>
    </row>
    <row r="204" spans="2:8" ht="12.5" x14ac:dyDescent="0.25">
      <c r="B204" s="12">
        <f t="shared" si="3"/>
        <v>190</v>
      </c>
      <c r="C204" s="12">
        <f t="shared" si="4"/>
        <v>51227</v>
      </c>
      <c r="D204" s="14">
        <f t="shared" si="5"/>
        <v>418990.54551487294</v>
      </c>
      <c r="E204" s="14">
        <f t="shared" si="8"/>
        <v>10321.883923760568</v>
      </c>
      <c r="F204" s="14">
        <f t="shared" si="0"/>
        <v>3840.7466672196688</v>
      </c>
      <c r="G204" s="12">
        <f t="shared" si="1"/>
        <v>6481.1372565408992</v>
      </c>
      <c r="H204" s="12">
        <f t="shared" si="2"/>
        <v>412509.40825833206</v>
      </c>
    </row>
    <row r="205" spans="2:8" ht="12.5" x14ac:dyDescent="0.25">
      <c r="B205" s="12">
        <f t="shared" si="3"/>
        <v>191</v>
      </c>
      <c r="C205" s="12">
        <f t="shared" si="4"/>
        <v>51257</v>
      </c>
      <c r="D205" s="14">
        <f t="shared" si="5"/>
        <v>412509.40825833206</v>
      </c>
      <c r="E205" s="14">
        <f t="shared" si="8"/>
        <v>10321.883923760568</v>
      </c>
      <c r="F205" s="14">
        <f t="shared" si="0"/>
        <v>3781.3362423680437</v>
      </c>
      <c r="G205" s="12">
        <f t="shared" si="1"/>
        <v>6540.5476813925243</v>
      </c>
      <c r="H205" s="12">
        <f t="shared" si="2"/>
        <v>405968.86057693954</v>
      </c>
    </row>
    <row r="206" spans="2:8" ht="12.5" x14ac:dyDescent="0.25">
      <c r="B206" s="12">
        <f t="shared" si="3"/>
        <v>192</v>
      </c>
      <c r="C206" s="12">
        <f t="shared" si="4"/>
        <v>51288</v>
      </c>
      <c r="D206" s="14">
        <f t="shared" si="5"/>
        <v>405968.86057693954</v>
      </c>
      <c r="E206" s="14">
        <f t="shared" si="8"/>
        <v>10321.883923760568</v>
      </c>
      <c r="F206" s="14">
        <f t="shared" si="0"/>
        <v>3721.3812219552792</v>
      </c>
      <c r="G206" s="12">
        <f t="shared" si="1"/>
        <v>6600.5027018052888</v>
      </c>
      <c r="H206" s="12">
        <f t="shared" si="2"/>
        <v>399368.35787513427</v>
      </c>
    </row>
    <row r="207" spans="2:8" ht="12.5" x14ac:dyDescent="0.25">
      <c r="B207" s="12">
        <f t="shared" si="3"/>
        <v>193</v>
      </c>
      <c r="C207" s="12">
        <f t="shared" si="4"/>
        <v>51318</v>
      </c>
      <c r="D207" s="14">
        <f t="shared" si="5"/>
        <v>399368.35787513427</v>
      </c>
      <c r="E207" s="14">
        <f t="shared" si="8"/>
        <v>10321.883923760568</v>
      </c>
      <c r="F207" s="14">
        <f t="shared" si="0"/>
        <v>3660.8766138553974</v>
      </c>
      <c r="G207" s="12">
        <f t="shared" si="1"/>
        <v>6661.0073099051706</v>
      </c>
      <c r="H207" s="12">
        <f t="shared" si="2"/>
        <v>392707.35056522908</v>
      </c>
    </row>
    <row r="208" spans="2:8" ht="12.5" x14ac:dyDescent="0.25">
      <c r="B208" s="12">
        <f t="shared" si="3"/>
        <v>194</v>
      </c>
      <c r="C208" s="12">
        <f t="shared" si="4"/>
        <v>51349</v>
      </c>
      <c r="D208" s="14">
        <f t="shared" si="5"/>
        <v>392707.35056522908</v>
      </c>
      <c r="E208" s="14">
        <f t="shared" ref="E208:E271" si="9">IF(B208&lt;=$E$4,$F$7,"")</f>
        <v>10321.883923760568</v>
      </c>
      <c r="F208" s="14">
        <f t="shared" si="0"/>
        <v>3599.8173801812663</v>
      </c>
      <c r="G208" s="12">
        <f t="shared" si="1"/>
        <v>6722.0665435793017</v>
      </c>
      <c r="H208" s="12">
        <f t="shared" si="2"/>
        <v>385985.2840216498</v>
      </c>
    </row>
    <row r="209" spans="2:8" ht="12.5" x14ac:dyDescent="0.25">
      <c r="B209" s="12">
        <f t="shared" si="3"/>
        <v>195</v>
      </c>
      <c r="C209" s="12">
        <f t="shared" si="4"/>
        <v>51380</v>
      </c>
      <c r="D209" s="14">
        <f t="shared" si="5"/>
        <v>385985.2840216498</v>
      </c>
      <c r="E209" s="14">
        <f t="shared" si="9"/>
        <v>10321.883923760568</v>
      </c>
      <c r="F209" s="14">
        <f t="shared" si="0"/>
        <v>3538.1984368651233</v>
      </c>
      <c r="G209" s="12">
        <f t="shared" si="1"/>
        <v>6783.6854868954451</v>
      </c>
      <c r="H209" s="12">
        <f t="shared" si="2"/>
        <v>379201.59853475436</v>
      </c>
    </row>
    <row r="210" spans="2:8" ht="12.5" x14ac:dyDescent="0.25">
      <c r="B210" s="12">
        <f t="shared" si="3"/>
        <v>196</v>
      </c>
      <c r="C210" s="12">
        <f t="shared" si="4"/>
        <v>51410</v>
      </c>
      <c r="D210" s="14">
        <f t="shared" si="5"/>
        <v>379201.59853475436</v>
      </c>
      <c r="E210" s="14">
        <f t="shared" si="9"/>
        <v>10321.883923760568</v>
      </c>
      <c r="F210" s="14">
        <f t="shared" si="0"/>
        <v>3476.0146532352483</v>
      </c>
      <c r="G210" s="12">
        <f t="shared" si="1"/>
        <v>6845.8692705253197</v>
      </c>
      <c r="H210" s="12">
        <f t="shared" si="2"/>
        <v>372355.72926422907</v>
      </c>
    </row>
    <row r="211" spans="2:8" ht="12.5" x14ac:dyDescent="0.25">
      <c r="B211" s="12">
        <f t="shared" si="3"/>
        <v>197</v>
      </c>
      <c r="C211" s="12">
        <f t="shared" si="4"/>
        <v>51441</v>
      </c>
      <c r="D211" s="14">
        <f t="shared" si="5"/>
        <v>372355.72926422907</v>
      </c>
      <c r="E211" s="14">
        <f t="shared" si="9"/>
        <v>10321.883923760568</v>
      </c>
      <c r="F211" s="14">
        <f t="shared" si="0"/>
        <v>3413.2608515887664</v>
      </c>
      <c r="G211" s="12">
        <f t="shared" si="1"/>
        <v>6908.6230721718021</v>
      </c>
      <c r="H211" s="12">
        <f t="shared" si="2"/>
        <v>365447.10619205725</v>
      </c>
    </row>
    <row r="212" spans="2:8" ht="12.5" x14ac:dyDescent="0.25">
      <c r="B212" s="12">
        <f t="shared" si="3"/>
        <v>198</v>
      </c>
      <c r="C212" s="12">
        <f t="shared" si="4"/>
        <v>51471</v>
      </c>
      <c r="D212" s="14">
        <f t="shared" si="5"/>
        <v>365447.10619205725</v>
      </c>
      <c r="E212" s="14">
        <f t="shared" si="9"/>
        <v>10321.883923760568</v>
      </c>
      <c r="F212" s="14">
        <f t="shared" si="0"/>
        <v>3349.931806760525</v>
      </c>
      <c r="G212" s="12">
        <f t="shared" si="1"/>
        <v>6971.9521170000426</v>
      </c>
      <c r="H212" s="12">
        <f t="shared" si="2"/>
        <v>358475.15407505719</v>
      </c>
    </row>
    <row r="213" spans="2:8" ht="12.5" x14ac:dyDescent="0.25">
      <c r="B213" s="12">
        <f t="shared" si="3"/>
        <v>199</v>
      </c>
      <c r="C213" s="12">
        <f t="shared" si="4"/>
        <v>51502</v>
      </c>
      <c r="D213" s="14">
        <f t="shared" si="5"/>
        <v>358475.15407505719</v>
      </c>
      <c r="E213" s="14">
        <f t="shared" si="9"/>
        <v>10321.883923760568</v>
      </c>
      <c r="F213" s="14">
        <f t="shared" si="0"/>
        <v>3286.0222456880242</v>
      </c>
      <c r="G213" s="12">
        <f t="shared" si="1"/>
        <v>7035.8616780725442</v>
      </c>
      <c r="H213" s="12">
        <f t="shared" si="2"/>
        <v>351439.29239698465</v>
      </c>
    </row>
    <row r="214" spans="2:8" ht="12.5" x14ac:dyDescent="0.25">
      <c r="B214" s="12">
        <f t="shared" si="3"/>
        <v>200</v>
      </c>
      <c r="C214" s="12">
        <f t="shared" si="4"/>
        <v>51533</v>
      </c>
      <c r="D214" s="14">
        <f t="shared" si="5"/>
        <v>351439.29239698465</v>
      </c>
      <c r="E214" s="14">
        <f t="shared" si="9"/>
        <v>10321.883923760568</v>
      </c>
      <c r="F214" s="14">
        <f t="shared" si="0"/>
        <v>3221.5268469723592</v>
      </c>
      <c r="G214" s="12">
        <f t="shared" si="1"/>
        <v>7100.3570767882084</v>
      </c>
      <c r="H214" s="12">
        <f t="shared" si="2"/>
        <v>344338.93532019644</v>
      </c>
    </row>
    <row r="215" spans="2:8" ht="12.5" x14ac:dyDescent="0.25">
      <c r="B215" s="12">
        <f t="shared" si="3"/>
        <v>201</v>
      </c>
      <c r="C215" s="12">
        <f t="shared" si="4"/>
        <v>51561</v>
      </c>
      <c r="D215" s="14">
        <f t="shared" si="5"/>
        <v>344338.93532019644</v>
      </c>
      <c r="E215" s="14">
        <f t="shared" si="9"/>
        <v>10321.883923760568</v>
      </c>
      <c r="F215" s="14">
        <f t="shared" si="0"/>
        <v>3156.440240435134</v>
      </c>
      <c r="G215" s="12">
        <f t="shared" si="1"/>
        <v>7165.443683325434</v>
      </c>
      <c r="H215" s="12">
        <f t="shared" si="2"/>
        <v>337173.49163687101</v>
      </c>
    </row>
    <row r="216" spans="2:8" ht="12.5" x14ac:dyDescent="0.25">
      <c r="B216" s="12">
        <f t="shared" si="3"/>
        <v>202</v>
      </c>
      <c r="C216" s="12">
        <f t="shared" si="4"/>
        <v>51592</v>
      </c>
      <c r="D216" s="14">
        <f t="shared" si="5"/>
        <v>337173.49163687101</v>
      </c>
      <c r="E216" s="14">
        <f t="shared" si="9"/>
        <v>10321.883923760568</v>
      </c>
      <c r="F216" s="14">
        <f t="shared" si="0"/>
        <v>3090.7570066713174</v>
      </c>
      <c r="G216" s="12">
        <f t="shared" si="1"/>
        <v>7231.1269170892501</v>
      </c>
      <c r="H216" s="12">
        <f t="shared" si="2"/>
        <v>329942.36471978173</v>
      </c>
    </row>
    <row r="217" spans="2:8" ht="12.5" x14ac:dyDescent="0.25">
      <c r="B217" s="12">
        <f t="shared" si="3"/>
        <v>203</v>
      </c>
      <c r="C217" s="12">
        <f t="shared" si="4"/>
        <v>51622</v>
      </c>
      <c r="D217" s="14">
        <f t="shared" si="5"/>
        <v>329942.36471978173</v>
      </c>
      <c r="E217" s="14">
        <f t="shared" si="9"/>
        <v>10321.883923760568</v>
      </c>
      <c r="F217" s="14">
        <f t="shared" si="0"/>
        <v>3024.4716765979992</v>
      </c>
      <c r="G217" s="12">
        <f t="shared" si="1"/>
        <v>7297.4122471625687</v>
      </c>
      <c r="H217" s="12">
        <f t="shared" si="2"/>
        <v>322644.95247261919</v>
      </c>
    </row>
    <row r="218" spans="2:8" ht="12.5" x14ac:dyDescent="0.25">
      <c r="B218" s="12">
        <f t="shared" si="3"/>
        <v>204</v>
      </c>
      <c r="C218" s="12">
        <f t="shared" si="4"/>
        <v>51653</v>
      </c>
      <c r="D218" s="14">
        <f t="shared" si="5"/>
        <v>322644.95247261919</v>
      </c>
      <c r="E218" s="14">
        <f t="shared" si="9"/>
        <v>10321.883923760568</v>
      </c>
      <c r="F218" s="14">
        <f t="shared" si="0"/>
        <v>2957.5787309990092</v>
      </c>
      <c r="G218" s="12">
        <f t="shared" si="1"/>
        <v>7364.3051927615588</v>
      </c>
      <c r="H218" s="12">
        <f t="shared" si="2"/>
        <v>315280.64727985766</v>
      </c>
    </row>
    <row r="219" spans="2:8" ht="12.5" x14ac:dyDescent="0.25">
      <c r="B219" s="12">
        <f t="shared" si="3"/>
        <v>205</v>
      </c>
      <c r="C219" s="12">
        <f t="shared" si="4"/>
        <v>51683</v>
      </c>
      <c r="D219" s="14">
        <f t="shared" si="5"/>
        <v>315280.64727985766</v>
      </c>
      <c r="E219" s="14">
        <f t="shared" si="9"/>
        <v>10321.883923760568</v>
      </c>
      <c r="F219" s="14">
        <f t="shared" si="0"/>
        <v>2890.0726000653617</v>
      </c>
      <c r="G219" s="12">
        <f t="shared" si="1"/>
        <v>7431.8113236952067</v>
      </c>
      <c r="H219" s="12">
        <f t="shared" si="2"/>
        <v>307848.83595616242</v>
      </c>
    </row>
    <row r="220" spans="2:8" ht="12.5" x14ac:dyDescent="0.25">
      <c r="B220" s="12">
        <f t="shared" si="3"/>
        <v>206</v>
      </c>
      <c r="C220" s="12">
        <f t="shared" si="4"/>
        <v>51714</v>
      </c>
      <c r="D220" s="14">
        <f t="shared" si="5"/>
        <v>307848.83595616242</v>
      </c>
      <c r="E220" s="14">
        <f t="shared" si="9"/>
        <v>10321.883923760568</v>
      </c>
      <c r="F220" s="14">
        <f t="shared" si="0"/>
        <v>2821.947662931489</v>
      </c>
      <c r="G220" s="12">
        <f t="shared" si="1"/>
        <v>7499.9362608290794</v>
      </c>
      <c r="H220" s="12">
        <f t="shared" si="2"/>
        <v>300348.89969533333</v>
      </c>
    </row>
    <row r="221" spans="2:8" ht="12.5" x14ac:dyDescent="0.25">
      <c r="B221" s="12">
        <f t="shared" si="3"/>
        <v>207</v>
      </c>
      <c r="C221" s="12">
        <f t="shared" si="4"/>
        <v>51745</v>
      </c>
      <c r="D221" s="14">
        <f t="shared" si="5"/>
        <v>300348.89969533333</v>
      </c>
      <c r="E221" s="14">
        <f t="shared" si="9"/>
        <v>10321.883923760568</v>
      </c>
      <c r="F221" s="14">
        <f t="shared" si="0"/>
        <v>2753.1982472072223</v>
      </c>
      <c r="G221" s="12">
        <f t="shared" si="1"/>
        <v>7568.6856765533457</v>
      </c>
      <c r="H221" s="12">
        <f t="shared" si="2"/>
        <v>292780.21401877998</v>
      </c>
    </row>
    <row r="222" spans="2:8" ht="12.5" x14ac:dyDescent="0.25">
      <c r="B222" s="12">
        <f t="shared" si="3"/>
        <v>208</v>
      </c>
      <c r="C222" s="12">
        <f t="shared" si="4"/>
        <v>51775</v>
      </c>
      <c r="D222" s="14">
        <f t="shared" si="5"/>
        <v>292780.21401877998</v>
      </c>
      <c r="E222" s="14">
        <f t="shared" si="9"/>
        <v>10321.883923760568</v>
      </c>
      <c r="F222" s="14">
        <f t="shared" si="0"/>
        <v>2683.818628505483</v>
      </c>
      <c r="G222" s="12">
        <f t="shared" si="1"/>
        <v>7638.0652952550845</v>
      </c>
      <c r="H222" s="12">
        <f t="shared" si="2"/>
        <v>285142.14872352488</v>
      </c>
    </row>
    <row r="223" spans="2:8" ht="12.5" x14ac:dyDescent="0.25">
      <c r="B223" s="12">
        <f t="shared" si="3"/>
        <v>209</v>
      </c>
      <c r="C223" s="12">
        <f t="shared" si="4"/>
        <v>51806</v>
      </c>
      <c r="D223" s="14">
        <f t="shared" si="5"/>
        <v>285142.14872352488</v>
      </c>
      <c r="E223" s="14">
        <f t="shared" si="9"/>
        <v>10321.883923760568</v>
      </c>
      <c r="F223" s="14">
        <f t="shared" si="0"/>
        <v>2613.8030299656448</v>
      </c>
      <c r="G223" s="12">
        <f t="shared" si="1"/>
        <v>7708.0808937949232</v>
      </c>
      <c r="H223" s="12">
        <f t="shared" si="2"/>
        <v>277434.06782972993</v>
      </c>
    </row>
    <row r="224" spans="2:8" ht="12.5" x14ac:dyDescent="0.25">
      <c r="B224" s="12">
        <f t="shared" si="3"/>
        <v>210</v>
      </c>
      <c r="C224" s="12">
        <f t="shared" si="4"/>
        <v>51836</v>
      </c>
      <c r="D224" s="14">
        <f t="shared" si="5"/>
        <v>277434.06782972993</v>
      </c>
      <c r="E224" s="14">
        <f t="shared" si="9"/>
        <v>10321.883923760568</v>
      </c>
      <c r="F224" s="14">
        <f t="shared" si="0"/>
        <v>2543.1456217725245</v>
      </c>
      <c r="G224" s="12">
        <f t="shared" si="1"/>
        <v>7778.7383019880435</v>
      </c>
      <c r="H224" s="12">
        <f t="shared" si="2"/>
        <v>269655.32952774188</v>
      </c>
    </row>
    <row r="225" spans="2:8" ht="12.5" x14ac:dyDescent="0.25">
      <c r="B225" s="12">
        <f t="shared" si="3"/>
        <v>211</v>
      </c>
      <c r="C225" s="12">
        <f t="shared" si="4"/>
        <v>51867</v>
      </c>
      <c r="D225" s="14">
        <f t="shared" si="5"/>
        <v>269655.32952774188</v>
      </c>
      <c r="E225" s="14">
        <f t="shared" si="9"/>
        <v>10321.883923760568</v>
      </c>
      <c r="F225" s="14">
        <f t="shared" si="0"/>
        <v>2471.8405206709672</v>
      </c>
      <c r="G225" s="12">
        <f t="shared" si="1"/>
        <v>7850.0434030896013</v>
      </c>
      <c r="H225" s="12">
        <f t="shared" si="2"/>
        <v>261805.28612465228</v>
      </c>
    </row>
    <row r="226" spans="2:8" ht="12.5" x14ac:dyDescent="0.25">
      <c r="B226" s="12">
        <f t="shared" si="3"/>
        <v>212</v>
      </c>
      <c r="C226" s="12">
        <f t="shared" si="4"/>
        <v>51898</v>
      </c>
      <c r="D226" s="14">
        <f t="shared" si="5"/>
        <v>261805.28612465228</v>
      </c>
      <c r="E226" s="14">
        <f t="shared" si="9"/>
        <v>10321.883923760568</v>
      </c>
      <c r="F226" s="14">
        <f t="shared" si="0"/>
        <v>2399.8817894759791</v>
      </c>
      <c r="G226" s="12">
        <f t="shared" si="1"/>
        <v>7922.0021342845885</v>
      </c>
      <c r="H226" s="12">
        <f t="shared" si="2"/>
        <v>253883.28399036769</v>
      </c>
    </row>
    <row r="227" spans="2:8" ht="12.5" x14ac:dyDescent="0.25">
      <c r="B227" s="12">
        <f t="shared" si="3"/>
        <v>213</v>
      </c>
      <c r="C227" s="12">
        <f t="shared" si="4"/>
        <v>51926</v>
      </c>
      <c r="D227" s="14">
        <f t="shared" si="5"/>
        <v>253883.28399036769</v>
      </c>
      <c r="E227" s="14">
        <f t="shared" si="9"/>
        <v>10321.883923760568</v>
      </c>
      <c r="F227" s="14">
        <f t="shared" si="0"/>
        <v>2327.2634365783706</v>
      </c>
      <c r="G227" s="12">
        <f t="shared" si="1"/>
        <v>7994.6204871821974</v>
      </c>
      <c r="H227" s="12">
        <f t="shared" si="2"/>
        <v>245888.6635031855</v>
      </c>
    </row>
    <row r="228" spans="2:8" ht="12.5" x14ac:dyDescent="0.25">
      <c r="B228" s="12">
        <f t="shared" si="3"/>
        <v>214</v>
      </c>
      <c r="C228" s="12">
        <f t="shared" si="4"/>
        <v>51957</v>
      </c>
      <c r="D228" s="14">
        <f t="shared" si="5"/>
        <v>245888.6635031855</v>
      </c>
      <c r="E228" s="14">
        <f t="shared" si="9"/>
        <v>10321.883923760568</v>
      </c>
      <c r="F228" s="14">
        <f t="shared" si="0"/>
        <v>2253.9794154458673</v>
      </c>
      <c r="G228" s="12">
        <f t="shared" si="1"/>
        <v>8067.9045083147012</v>
      </c>
      <c r="H228" s="12">
        <f t="shared" si="2"/>
        <v>237820.75899487079</v>
      </c>
    </row>
    <row r="229" spans="2:8" ht="12.5" x14ac:dyDescent="0.25">
      <c r="B229" s="12">
        <f t="shared" si="3"/>
        <v>215</v>
      </c>
      <c r="C229" s="12">
        <f t="shared" si="4"/>
        <v>51987</v>
      </c>
      <c r="D229" s="14">
        <f t="shared" si="5"/>
        <v>237820.75899487079</v>
      </c>
      <c r="E229" s="14">
        <f t="shared" si="9"/>
        <v>10321.883923760568</v>
      </c>
      <c r="F229" s="14">
        <f t="shared" si="0"/>
        <v>2180.023624119649</v>
      </c>
      <c r="G229" s="12">
        <f t="shared" si="1"/>
        <v>8141.860299640919</v>
      </c>
      <c r="H229" s="12">
        <f t="shared" si="2"/>
        <v>229678.89869522987</v>
      </c>
    </row>
    <row r="230" spans="2:8" ht="12.5" x14ac:dyDescent="0.25">
      <c r="B230" s="12">
        <f t="shared" si="3"/>
        <v>216</v>
      </c>
      <c r="C230" s="12">
        <f t="shared" si="4"/>
        <v>52018</v>
      </c>
      <c r="D230" s="14">
        <f t="shared" si="5"/>
        <v>229678.89869522987</v>
      </c>
      <c r="E230" s="14">
        <f t="shared" si="9"/>
        <v>10321.883923760568</v>
      </c>
      <c r="F230" s="14">
        <f t="shared" si="0"/>
        <v>2105.3899047062737</v>
      </c>
      <c r="G230" s="12">
        <f t="shared" si="1"/>
        <v>8216.4940190542948</v>
      </c>
      <c r="H230" s="12">
        <f t="shared" si="2"/>
        <v>221462.40467617559</v>
      </c>
    </row>
    <row r="231" spans="2:8" ht="12.5" x14ac:dyDescent="0.25">
      <c r="B231" s="12">
        <f t="shared" si="3"/>
        <v>217</v>
      </c>
      <c r="C231" s="12">
        <f t="shared" si="4"/>
        <v>52048</v>
      </c>
      <c r="D231" s="14">
        <f t="shared" si="5"/>
        <v>221462.40467617559</v>
      </c>
      <c r="E231" s="14">
        <f t="shared" si="9"/>
        <v>10321.883923760568</v>
      </c>
      <c r="F231" s="14">
        <f t="shared" si="0"/>
        <v>2030.0720428649429</v>
      </c>
      <c r="G231" s="12">
        <f t="shared" si="1"/>
        <v>8291.8118808956242</v>
      </c>
      <c r="H231" s="12">
        <f t="shared" si="2"/>
        <v>213170.59279527995</v>
      </c>
    </row>
    <row r="232" spans="2:8" ht="12.5" x14ac:dyDescent="0.25">
      <c r="B232" s="12">
        <f t="shared" si="3"/>
        <v>218</v>
      </c>
      <c r="C232" s="12">
        <f t="shared" si="4"/>
        <v>52079</v>
      </c>
      <c r="D232" s="14">
        <f t="shared" si="5"/>
        <v>213170.59279527995</v>
      </c>
      <c r="E232" s="14">
        <f t="shared" si="9"/>
        <v>10321.883923760568</v>
      </c>
      <c r="F232" s="14">
        <f t="shared" si="0"/>
        <v>1954.0637672900662</v>
      </c>
      <c r="G232" s="12">
        <f t="shared" si="1"/>
        <v>8367.8201564705014</v>
      </c>
      <c r="H232" s="12">
        <f t="shared" si="2"/>
        <v>204802.77263880946</v>
      </c>
    </row>
    <row r="233" spans="2:8" ht="12.5" x14ac:dyDescent="0.25">
      <c r="B233" s="12">
        <f t="shared" si="3"/>
        <v>219</v>
      </c>
      <c r="C233" s="12">
        <f t="shared" si="4"/>
        <v>52110</v>
      </c>
      <c r="D233" s="14">
        <f t="shared" si="5"/>
        <v>204802.77263880946</v>
      </c>
      <c r="E233" s="14">
        <f t="shared" si="9"/>
        <v>10321.883923760568</v>
      </c>
      <c r="F233" s="14">
        <f t="shared" si="0"/>
        <v>1877.3587491890867</v>
      </c>
      <c r="G233" s="12">
        <f t="shared" si="1"/>
        <v>8444.5251745714813</v>
      </c>
      <c r="H233" s="12">
        <f t="shared" si="2"/>
        <v>196358.24746423797</v>
      </c>
    </row>
    <row r="234" spans="2:8" ht="12.5" x14ac:dyDescent="0.25">
      <c r="B234" s="12">
        <f t="shared" si="3"/>
        <v>220</v>
      </c>
      <c r="C234" s="12">
        <f t="shared" si="4"/>
        <v>52140</v>
      </c>
      <c r="D234" s="14">
        <f t="shared" si="5"/>
        <v>196358.24746423797</v>
      </c>
      <c r="E234" s="14">
        <f t="shared" si="9"/>
        <v>10321.883923760568</v>
      </c>
      <c r="F234" s="14">
        <f t="shared" si="0"/>
        <v>1799.9506017555148</v>
      </c>
      <c r="G234" s="12">
        <f t="shared" si="1"/>
        <v>8521.9333220050539</v>
      </c>
      <c r="H234" s="12">
        <f t="shared" si="2"/>
        <v>187836.31414223291</v>
      </c>
    </row>
    <row r="235" spans="2:8" ht="12.5" x14ac:dyDescent="0.25">
      <c r="B235" s="12">
        <f t="shared" si="3"/>
        <v>221</v>
      </c>
      <c r="C235" s="12">
        <f t="shared" si="4"/>
        <v>52171</v>
      </c>
      <c r="D235" s="14">
        <f t="shared" si="5"/>
        <v>187836.31414223291</v>
      </c>
      <c r="E235" s="14">
        <f t="shared" si="9"/>
        <v>10321.883923760568</v>
      </c>
      <c r="F235" s="14">
        <f t="shared" si="0"/>
        <v>1721.832879637135</v>
      </c>
      <c r="G235" s="12">
        <f t="shared" si="1"/>
        <v>8600.0510441234328</v>
      </c>
      <c r="H235" s="12">
        <f t="shared" si="2"/>
        <v>179236.26309810948</v>
      </c>
    </row>
    <row r="236" spans="2:8" ht="12.5" x14ac:dyDescent="0.25">
      <c r="B236" s="12">
        <f t="shared" si="3"/>
        <v>222</v>
      </c>
      <c r="C236" s="12">
        <f t="shared" si="4"/>
        <v>52201</v>
      </c>
      <c r="D236" s="14">
        <f t="shared" si="5"/>
        <v>179236.26309810948</v>
      </c>
      <c r="E236" s="14">
        <f t="shared" si="9"/>
        <v>10321.883923760568</v>
      </c>
      <c r="F236" s="14">
        <f t="shared" si="0"/>
        <v>1642.9990783993369</v>
      </c>
      <c r="G236" s="12">
        <f t="shared" si="1"/>
        <v>8678.8848453612318</v>
      </c>
      <c r="H236" s="12">
        <f t="shared" si="2"/>
        <v>170557.37825274825</v>
      </c>
    </row>
    <row r="237" spans="2:8" ht="12.5" x14ac:dyDescent="0.25">
      <c r="B237" s="12">
        <f t="shared" si="3"/>
        <v>223</v>
      </c>
      <c r="C237" s="12">
        <f t="shared" si="4"/>
        <v>52232</v>
      </c>
      <c r="D237" s="14">
        <f t="shared" si="5"/>
        <v>170557.37825274825</v>
      </c>
      <c r="E237" s="14">
        <f t="shared" si="9"/>
        <v>10321.883923760568</v>
      </c>
      <c r="F237" s="14">
        <f t="shared" si="0"/>
        <v>1563.4426339835256</v>
      </c>
      <c r="G237" s="12">
        <f t="shared" si="1"/>
        <v>8758.4412897770417</v>
      </c>
      <c r="H237" s="12">
        <f t="shared" si="2"/>
        <v>161798.9369629712</v>
      </c>
    </row>
    <row r="238" spans="2:8" ht="12.5" x14ac:dyDescent="0.25">
      <c r="B238" s="12">
        <f t="shared" si="3"/>
        <v>224</v>
      </c>
      <c r="C238" s="12">
        <f t="shared" si="4"/>
        <v>52263</v>
      </c>
      <c r="D238" s="14">
        <f t="shared" si="5"/>
        <v>161798.9369629712</v>
      </c>
      <c r="E238" s="14">
        <f t="shared" si="9"/>
        <v>10321.883923760568</v>
      </c>
      <c r="F238" s="14">
        <f t="shared" si="0"/>
        <v>1483.1569221605694</v>
      </c>
      <c r="G238" s="12">
        <f t="shared" si="1"/>
        <v>8838.7270015999984</v>
      </c>
      <c r="H238" s="12">
        <f t="shared" si="2"/>
        <v>152960.20996137121</v>
      </c>
    </row>
    <row r="239" spans="2:8" ht="12.5" x14ac:dyDescent="0.25">
      <c r="B239" s="12">
        <f t="shared" si="3"/>
        <v>225</v>
      </c>
      <c r="C239" s="12">
        <f t="shared" si="4"/>
        <v>52291</v>
      </c>
      <c r="D239" s="14">
        <f t="shared" si="5"/>
        <v>152960.20996137121</v>
      </c>
      <c r="E239" s="14">
        <f t="shared" si="9"/>
        <v>10321.883923760568</v>
      </c>
      <c r="F239" s="14">
        <f t="shared" si="0"/>
        <v>1402.135257979236</v>
      </c>
      <c r="G239" s="12">
        <f t="shared" si="1"/>
        <v>8919.7486657813315</v>
      </c>
      <c r="H239" s="12">
        <f t="shared" si="2"/>
        <v>144040.46129558986</v>
      </c>
    </row>
    <row r="240" spans="2:8" ht="12.5" x14ac:dyDescent="0.25">
      <c r="B240" s="12">
        <f t="shared" si="3"/>
        <v>226</v>
      </c>
      <c r="C240" s="12">
        <f t="shared" si="4"/>
        <v>52322</v>
      </c>
      <c r="D240" s="14">
        <f t="shared" si="5"/>
        <v>144040.46129558986</v>
      </c>
      <c r="E240" s="14">
        <f t="shared" si="9"/>
        <v>10321.883923760568</v>
      </c>
      <c r="F240" s="14">
        <f t="shared" si="0"/>
        <v>1320.3708952095737</v>
      </c>
      <c r="G240" s="12">
        <f t="shared" si="1"/>
        <v>9001.5130285509949</v>
      </c>
      <c r="H240" s="12">
        <f t="shared" si="2"/>
        <v>135038.94826703885</v>
      </c>
    </row>
    <row r="241" spans="2:9" ht="12.5" x14ac:dyDescent="0.25">
      <c r="B241" s="12">
        <f t="shared" si="3"/>
        <v>227</v>
      </c>
      <c r="C241" s="12">
        <f t="shared" si="4"/>
        <v>52352</v>
      </c>
      <c r="D241" s="14">
        <f t="shared" si="5"/>
        <v>135038.94826703885</v>
      </c>
      <c r="E241" s="14">
        <f t="shared" si="9"/>
        <v>10321.883923760568</v>
      </c>
      <c r="F241" s="14">
        <f t="shared" si="0"/>
        <v>1237.8570257811896</v>
      </c>
      <c r="G241" s="12">
        <f t="shared" si="1"/>
        <v>9084.0268979793782</v>
      </c>
      <c r="H241" s="12">
        <f t="shared" si="2"/>
        <v>125954.92136905948</v>
      </c>
    </row>
    <row r="242" spans="2:9" ht="12.5" x14ac:dyDescent="0.25">
      <c r="B242" s="12">
        <f t="shared" si="3"/>
        <v>228</v>
      </c>
      <c r="C242" s="12">
        <f t="shared" si="4"/>
        <v>52383</v>
      </c>
      <c r="D242" s="14">
        <f t="shared" si="5"/>
        <v>125954.92136905948</v>
      </c>
      <c r="E242" s="14">
        <f t="shared" si="9"/>
        <v>10321.883923760568</v>
      </c>
      <c r="F242" s="14">
        <f t="shared" si="0"/>
        <v>1154.5867792163785</v>
      </c>
      <c r="G242" s="12">
        <f t="shared" si="1"/>
        <v>9167.297144544189</v>
      </c>
      <c r="H242" s="12">
        <f t="shared" si="2"/>
        <v>116787.62422451528</v>
      </c>
    </row>
    <row r="243" spans="2:9" ht="12.5" x14ac:dyDescent="0.25">
      <c r="B243" s="12">
        <f t="shared" si="3"/>
        <v>229</v>
      </c>
      <c r="C243" s="12">
        <f t="shared" si="4"/>
        <v>52413</v>
      </c>
      <c r="D243" s="14">
        <f t="shared" si="5"/>
        <v>116787.62422451528</v>
      </c>
      <c r="E243" s="14">
        <f t="shared" si="9"/>
        <v>10321.883923760568</v>
      </c>
      <c r="F243" s="14">
        <f t="shared" si="0"/>
        <v>1070.5532220580567</v>
      </c>
      <c r="G243" s="12">
        <f t="shared" si="1"/>
        <v>9251.3307017025109</v>
      </c>
      <c r="H243" s="12">
        <f t="shared" si="2"/>
        <v>107536.29352281278</v>
      </c>
    </row>
    <row r="244" spans="2:9" ht="12.5" x14ac:dyDescent="0.25">
      <c r="B244" s="12">
        <f t="shared" si="3"/>
        <v>230</v>
      </c>
      <c r="C244" s="12">
        <f t="shared" si="4"/>
        <v>52444</v>
      </c>
      <c r="D244" s="14">
        <f t="shared" si="5"/>
        <v>107536.29352281278</v>
      </c>
      <c r="E244" s="14">
        <f t="shared" si="9"/>
        <v>10321.883923760568</v>
      </c>
      <c r="F244" s="14">
        <f t="shared" si="0"/>
        <v>985.74935729245044</v>
      </c>
      <c r="G244" s="12">
        <f t="shared" si="1"/>
        <v>9336.1345664681176</v>
      </c>
      <c r="H244" s="12">
        <f t="shared" si="2"/>
        <v>98200.158956344661</v>
      </c>
    </row>
    <row r="245" spans="2:9" ht="12.5" x14ac:dyDescent="0.25">
      <c r="B245" s="12">
        <f t="shared" si="3"/>
        <v>231</v>
      </c>
      <c r="C245" s="12">
        <f t="shared" si="4"/>
        <v>52475</v>
      </c>
      <c r="D245" s="14">
        <f t="shared" si="5"/>
        <v>98200.158956344661</v>
      </c>
      <c r="E245" s="14">
        <f t="shared" si="9"/>
        <v>10321.883923760568</v>
      </c>
      <c r="F245" s="14">
        <f t="shared" si="0"/>
        <v>900.16812376649273</v>
      </c>
      <c r="G245" s="12">
        <f t="shared" si="1"/>
        <v>9421.7157999940755</v>
      </c>
      <c r="H245" s="12">
        <f t="shared" si="2"/>
        <v>88778.443156350579</v>
      </c>
    </row>
    <row r="246" spans="2:9" ht="12.5" x14ac:dyDescent="0.25">
      <c r="B246" s="12">
        <f t="shared" si="3"/>
        <v>232</v>
      </c>
      <c r="C246" s="12">
        <f t="shared" si="4"/>
        <v>52505</v>
      </c>
      <c r="D246" s="14">
        <f t="shared" si="5"/>
        <v>88778.443156350579</v>
      </c>
      <c r="E246" s="14">
        <f t="shared" si="9"/>
        <v>10321.883923760568</v>
      </c>
      <c r="F246" s="14">
        <f t="shared" si="0"/>
        <v>813.80239559988036</v>
      </c>
      <c r="G246" s="12">
        <f t="shared" si="1"/>
        <v>9508.0815281606883</v>
      </c>
      <c r="H246" s="12">
        <f t="shared" si="2"/>
        <v>79270.361628189887</v>
      </c>
    </row>
    <row r="247" spans="2:9" ht="12.5" x14ac:dyDescent="0.25">
      <c r="B247" s="12">
        <f t="shared" si="3"/>
        <v>233</v>
      </c>
      <c r="C247" s="12">
        <f t="shared" si="4"/>
        <v>52536</v>
      </c>
      <c r="D247" s="14">
        <f t="shared" si="5"/>
        <v>79270.361628189887</v>
      </c>
      <c r="E247" s="14">
        <f t="shared" si="9"/>
        <v>10321.883923760568</v>
      </c>
      <c r="F247" s="14">
        <f t="shared" si="0"/>
        <v>726.64498159174059</v>
      </c>
      <c r="G247" s="12">
        <f t="shared" si="1"/>
        <v>9595.2389421688276</v>
      </c>
      <c r="H247" s="12">
        <f t="shared" si="2"/>
        <v>69675.122686021059</v>
      </c>
    </row>
    <row r="248" spans="2:9" ht="12.5" x14ac:dyDescent="0.25">
      <c r="B248" s="12">
        <f t="shared" si="3"/>
        <v>234</v>
      </c>
      <c r="C248" s="12">
        <f t="shared" si="4"/>
        <v>52566</v>
      </c>
      <c r="D248" s="14">
        <f t="shared" si="5"/>
        <v>69675.122686021059</v>
      </c>
      <c r="E248" s="14">
        <f t="shared" si="9"/>
        <v>10321.883923760568</v>
      </c>
      <c r="F248" s="14">
        <f t="shared" si="0"/>
        <v>638.68862462185973</v>
      </c>
      <c r="G248" s="12">
        <f t="shared" si="1"/>
        <v>9683.1952991387079</v>
      </c>
      <c r="H248" s="12">
        <f t="shared" si="2"/>
        <v>59991.927386882351</v>
      </c>
    </row>
    <row r="249" spans="2:9" ht="12.5" x14ac:dyDescent="0.25">
      <c r="B249" s="12">
        <f t="shared" si="3"/>
        <v>235</v>
      </c>
      <c r="C249" s="12">
        <f t="shared" si="4"/>
        <v>52597</v>
      </c>
      <c r="D249" s="14">
        <f t="shared" si="5"/>
        <v>59991.927386882351</v>
      </c>
      <c r="E249" s="14">
        <f t="shared" si="9"/>
        <v>10321.883923760568</v>
      </c>
      <c r="F249" s="14">
        <f t="shared" si="0"/>
        <v>549.92600104642156</v>
      </c>
      <c r="G249" s="12">
        <f t="shared" si="1"/>
        <v>9771.9579227141458</v>
      </c>
      <c r="H249" s="12">
        <f t="shared" si="2"/>
        <v>50219.969464168207</v>
      </c>
    </row>
    <row r="250" spans="2:9" ht="12.5" x14ac:dyDescent="0.25">
      <c r="B250" s="12">
        <f t="shared" si="3"/>
        <v>236</v>
      </c>
      <c r="C250" s="12">
        <f t="shared" si="4"/>
        <v>52628</v>
      </c>
      <c r="D250" s="14">
        <f t="shared" si="5"/>
        <v>50219.969464168207</v>
      </c>
      <c r="E250" s="14">
        <f t="shared" si="9"/>
        <v>10321.883923760568</v>
      </c>
      <c r="F250" s="14">
        <f t="shared" si="0"/>
        <v>460.34972008820858</v>
      </c>
      <c r="G250" s="12">
        <f t="shared" si="1"/>
        <v>9861.5342036723596</v>
      </c>
      <c r="H250" s="12">
        <f t="shared" si="2"/>
        <v>40358.435260495848</v>
      </c>
    </row>
    <row r="251" spans="2:9" ht="12.5" x14ac:dyDescent="0.25">
      <c r="B251" s="12">
        <f t="shared" si="3"/>
        <v>237</v>
      </c>
      <c r="C251" s="12">
        <f t="shared" si="4"/>
        <v>52657</v>
      </c>
      <c r="D251" s="14">
        <f t="shared" si="5"/>
        <v>40358.435260495848</v>
      </c>
      <c r="E251" s="14">
        <f t="shared" si="9"/>
        <v>10321.883923760568</v>
      </c>
      <c r="F251" s="14">
        <f t="shared" si="0"/>
        <v>369.95232322121194</v>
      </c>
      <c r="G251" s="12">
        <f t="shared" si="1"/>
        <v>9951.9316005393557</v>
      </c>
      <c r="H251" s="12">
        <f t="shared" si="2"/>
        <v>30406.503659956492</v>
      </c>
    </row>
    <row r="252" spans="2:9" ht="12.5" x14ac:dyDescent="0.25">
      <c r="B252" s="12">
        <f t="shared" si="3"/>
        <v>238</v>
      </c>
      <c r="C252" s="12">
        <f t="shared" si="4"/>
        <v>52688</v>
      </c>
      <c r="D252" s="14">
        <f t="shared" si="5"/>
        <v>30406.503659956492</v>
      </c>
      <c r="E252" s="14">
        <f t="shared" si="9"/>
        <v>10321.883923760568</v>
      </c>
      <c r="F252" s="14">
        <f t="shared" si="0"/>
        <v>278.72628354960119</v>
      </c>
      <c r="G252" s="12">
        <f t="shared" si="1"/>
        <v>10043.157640210968</v>
      </c>
      <c r="H252" s="12">
        <f t="shared" si="2"/>
        <v>20363.346019745524</v>
      </c>
    </row>
    <row r="253" spans="2:9" ht="12.5" x14ac:dyDescent="0.25">
      <c r="B253" s="12">
        <f t="shared" si="3"/>
        <v>239</v>
      </c>
      <c r="C253" s="12">
        <f t="shared" si="4"/>
        <v>52718</v>
      </c>
      <c r="D253" s="14">
        <f t="shared" si="5"/>
        <v>20363.346019745524</v>
      </c>
      <c r="E253" s="14">
        <f t="shared" si="9"/>
        <v>10321.883923760568</v>
      </c>
      <c r="F253" s="14">
        <f t="shared" si="0"/>
        <v>186.66400518100065</v>
      </c>
      <c r="G253" s="12">
        <f t="shared" si="1"/>
        <v>10135.219918579567</v>
      </c>
      <c r="H253" s="12">
        <f t="shared" si="2"/>
        <v>10228.126101165957</v>
      </c>
    </row>
    <row r="254" spans="2:9" ht="12.5" x14ac:dyDescent="0.25">
      <c r="B254" s="12">
        <f t="shared" si="3"/>
        <v>240</v>
      </c>
      <c r="C254" s="12">
        <f t="shared" si="4"/>
        <v>52749</v>
      </c>
      <c r="D254" s="14">
        <f t="shared" si="5"/>
        <v>10228.126101165957</v>
      </c>
      <c r="E254" s="14">
        <f t="shared" si="9"/>
        <v>10321.883923760568</v>
      </c>
      <c r="F254" s="14">
        <f t="shared" si="0"/>
        <v>93.757822594021277</v>
      </c>
      <c r="G254" s="12">
        <f t="shared" si="1"/>
        <v>10228.126101166547</v>
      </c>
      <c r="H254" s="12">
        <f t="shared" si="2"/>
        <v>-5.893525667488575E-10</v>
      </c>
    </row>
    <row r="255" spans="2:9" ht="12.5" x14ac:dyDescent="0.25">
      <c r="B255" s="12">
        <f t="shared" si="3"/>
        <v>241</v>
      </c>
      <c r="C255" s="12" t="str">
        <f t="shared" si="4"/>
        <v/>
      </c>
      <c r="D255" s="14" t="str">
        <f t="shared" si="5"/>
        <v/>
      </c>
      <c r="E255" s="14" t="str">
        <f t="shared" si="9"/>
        <v/>
      </c>
      <c r="F255" s="14" t="str">
        <f t="shared" si="0"/>
        <v/>
      </c>
      <c r="G255" s="12" t="str">
        <f t="shared" si="1"/>
        <v/>
      </c>
      <c r="H255" s="12" t="str">
        <f t="shared" si="2"/>
        <v/>
      </c>
      <c r="I255" s="2" t="s">
        <v>12</v>
      </c>
    </row>
    <row r="256" spans="2:9" ht="12.5" x14ac:dyDescent="0.25">
      <c r="B256" s="12">
        <f t="shared" si="3"/>
        <v>242</v>
      </c>
      <c r="C256" s="12" t="str">
        <f t="shared" si="4"/>
        <v/>
      </c>
      <c r="D256" s="14" t="str">
        <f t="shared" si="5"/>
        <v/>
      </c>
      <c r="E256" s="14" t="str">
        <f t="shared" si="9"/>
        <v/>
      </c>
      <c r="F256" s="14" t="str">
        <f t="shared" si="0"/>
        <v/>
      </c>
      <c r="G256" s="12" t="str">
        <f t="shared" si="1"/>
        <v/>
      </c>
      <c r="H256" s="12" t="str">
        <f t="shared" si="2"/>
        <v/>
      </c>
    </row>
    <row r="257" spans="2:8" ht="12.5" x14ac:dyDescent="0.25">
      <c r="B257" s="12">
        <f t="shared" si="3"/>
        <v>243</v>
      </c>
      <c r="C257" s="12" t="str">
        <f t="shared" si="4"/>
        <v/>
      </c>
      <c r="D257" s="14" t="str">
        <f t="shared" si="5"/>
        <v/>
      </c>
      <c r="E257" s="14" t="str">
        <f t="shared" si="9"/>
        <v/>
      </c>
      <c r="F257" s="14" t="str">
        <f t="shared" si="0"/>
        <v/>
      </c>
      <c r="G257" s="12" t="str">
        <f t="shared" si="1"/>
        <v/>
      </c>
      <c r="H257" s="12" t="str">
        <f t="shared" si="2"/>
        <v/>
      </c>
    </row>
    <row r="258" spans="2:8" ht="12.5" x14ac:dyDescent="0.25">
      <c r="B258" s="12">
        <f t="shared" si="3"/>
        <v>244</v>
      </c>
      <c r="C258" s="12" t="str">
        <f t="shared" si="4"/>
        <v/>
      </c>
      <c r="D258" s="14" t="str">
        <f t="shared" si="5"/>
        <v/>
      </c>
      <c r="E258" s="14" t="str">
        <f t="shared" si="9"/>
        <v/>
      </c>
      <c r="F258" s="14" t="str">
        <f t="shared" si="0"/>
        <v/>
      </c>
      <c r="G258" s="12" t="str">
        <f t="shared" si="1"/>
        <v/>
      </c>
      <c r="H258" s="12" t="str">
        <f t="shared" si="2"/>
        <v/>
      </c>
    </row>
    <row r="259" spans="2:8" ht="12.5" x14ac:dyDescent="0.25">
      <c r="B259" s="12">
        <f t="shared" si="3"/>
        <v>245</v>
      </c>
      <c r="C259" s="12" t="str">
        <f t="shared" si="4"/>
        <v/>
      </c>
      <c r="D259" s="14" t="str">
        <f t="shared" si="5"/>
        <v/>
      </c>
      <c r="E259" s="14" t="str">
        <f t="shared" si="9"/>
        <v/>
      </c>
      <c r="F259" s="14" t="str">
        <f t="shared" si="0"/>
        <v/>
      </c>
      <c r="G259" s="12" t="str">
        <f t="shared" si="1"/>
        <v/>
      </c>
      <c r="H259" s="12" t="str">
        <f t="shared" si="2"/>
        <v/>
      </c>
    </row>
    <row r="260" spans="2:8" ht="12.5" x14ac:dyDescent="0.25">
      <c r="B260" s="12">
        <f t="shared" si="3"/>
        <v>246</v>
      </c>
      <c r="C260" s="12" t="str">
        <f t="shared" si="4"/>
        <v/>
      </c>
      <c r="D260" s="14" t="str">
        <f t="shared" si="5"/>
        <v/>
      </c>
      <c r="E260" s="14" t="str">
        <f t="shared" si="9"/>
        <v/>
      </c>
      <c r="F260" s="14" t="str">
        <f t="shared" si="0"/>
        <v/>
      </c>
      <c r="G260" s="12" t="str">
        <f t="shared" si="1"/>
        <v/>
      </c>
      <c r="H260" s="12" t="str">
        <f t="shared" si="2"/>
        <v/>
      </c>
    </row>
    <row r="261" spans="2:8" ht="12.5" x14ac:dyDescent="0.25">
      <c r="B261" s="12">
        <f t="shared" si="3"/>
        <v>247</v>
      </c>
      <c r="C261" s="12" t="str">
        <f t="shared" si="4"/>
        <v/>
      </c>
      <c r="D261" s="14" t="str">
        <f t="shared" si="5"/>
        <v/>
      </c>
      <c r="E261" s="14" t="str">
        <f t="shared" si="9"/>
        <v/>
      </c>
      <c r="F261" s="14" t="str">
        <f t="shared" si="0"/>
        <v/>
      </c>
      <c r="G261" s="12" t="str">
        <f t="shared" si="1"/>
        <v/>
      </c>
      <c r="H261" s="12" t="str">
        <f t="shared" si="2"/>
        <v/>
      </c>
    </row>
    <row r="262" spans="2:8" ht="12.5" x14ac:dyDescent="0.25">
      <c r="B262" s="12">
        <f t="shared" si="3"/>
        <v>248</v>
      </c>
      <c r="C262" s="12" t="str">
        <f t="shared" si="4"/>
        <v/>
      </c>
      <c r="D262" s="14" t="str">
        <f t="shared" si="5"/>
        <v/>
      </c>
      <c r="E262" s="14" t="str">
        <f t="shared" si="9"/>
        <v/>
      </c>
      <c r="F262" s="14" t="str">
        <f t="shared" si="0"/>
        <v/>
      </c>
      <c r="G262" s="12" t="str">
        <f t="shared" si="1"/>
        <v/>
      </c>
      <c r="H262" s="12" t="str">
        <f t="shared" si="2"/>
        <v/>
      </c>
    </row>
    <row r="263" spans="2:8" ht="12.5" x14ac:dyDescent="0.25">
      <c r="B263" s="12">
        <f t="shared" si="3"/>
        <v>249</v>
      </c>
      <c r="C263" s="12" t="str">
        <f t="shared" si="4"/>
        <v/>
      </c>
      <c r="D263" s="14" t="str">
        <f t="shared" si="5"/>
        <v/>
      </c>
      <c r="E263" s="14" t="str">
        <f t="shared" si="9"/>
        <v/>
      </c>
      <c r="F263" s="14" t="str">
        <f t="shared" si="0"/>
        <v/>
      </c>
      <c r="G263" s="12" t="str">
        <f t="shared" si="1"/>
        <v/>
      </c>
      <c r="H263" s="12" t="str">
        <f t="shared" si="2"/>
        <v/>
      </c>
    </row>
    <row r="264" spans="2:8" ht="12.5" x14ac:dyDescent="0.25">
      <c r="B264" s="12">
        <f t="shared" si="3"/>
        <v>250</v>
      </c>
      <c r="C264" s="12" t="str">
        <f t="shared" si="4"/>
        <v/>
      </c>
      <c r="D264" s="14" t="str">
        <f t="shared" si="5"/>
        <v/>
      </c>
      <c r="E264" s="14" t="str">
        <f t="shared" si="9"/>
        <v/>
      </c>
      <c r="F264" s="14" t="str">
        <f t="shared" si="0"/>
        <v/>
      </c>
      <c r="G264" s="12" t="str">
        <f t="shared" si="1"/>
        <v/>
      </c>
      <c r="H264" s="12" t="str">
        <f t="shared" si="2"/>
        <v/>
      </c>
    </row>
    <row r="265" spans="2:8" ht="12.5" x14ac:dyDescent="0.25">
      <c r="B265" s="12">
        <f t="shared" si="3"/>
        <v>251</v>
      </c>
      <c r="C265" s="12" t="str">
        <f t="shared" si="4"/>
        <v/>
      </c>
      <c r="D265" s="14" t="str">
        <f t="shared" si="5"/>
        <v/>
      </c>
      <c r="E265" s="14" t="str">
        <f t="shared" si="9"/>
        <v/>
      </c>
      <c r="F265" s="14" t="str">
        <f t="shared" si="0"/>
        <v/>
      </c>
      <c r="G265" s="12" t="str">
        <f t="shared" si="1"/>
        <v/>
      </c>
      <c r="H265" s="12" t="str">
        <f t="shared" si="2"/>
        <v/>
      </c>
    </row>
    <row r="266" spans="2:8" ht="12.5" x14ac:dyDescent="0.25">
      <c r="B266" s="12">
        <f t="shared" si="3"/>
        <v>252</v>
      </c>
      <c r="C266" s="12" t="str">
        <f t="shared" si="4"/>
        <v/>
      </c>
      <c r="D266" s="14" t="str">
        <f t="shared" si="5"/>
        <v/>
      </c>
      <c r="E266" s="14" t="str">
        <f t="shared" si="9"/>
        <v/>
      </c>
      <c r="F266" s="14" t="str">
        <f t="shared" si="0"/>
        <v/>
      </c>
      <c r="G266" s="12" t="str">
        <f t="shared" si="1"/>
        <v/>
      </c>
      <c r="H266" s="12" t="str">
        <f t="shared" si="2"/>
        <v/>
      </c>
    </row>
    <row r="267" spans="2:8" ht="12.5" x14ac:dyDescent="0.25">
      <c r="B267" s="12">
        <f t="shared" si="3"/>
        <v>253</v>
      </c>
      <c r="C267" s="12" t="str">
        <f t="shared" si="4"/>
        <v/>
      </c>
      <c r="D267" s="14" t="str">
        <f t="shared" si="5"/>
        <v/>
      </c>
      <c r="E267" s="14" t="str">
        <f t="shared" si="9"/>
        <v/>
      </c>
      <c r="F267" s="14" t="str">
        <f t="shared" si="0"/>
        <v/>
      </c>
      <c r="G267" s="12" t="str">
        <f t="shared" si="1"/>
        <v/>
      </c>
      <c r="H267" s="12" t="str">
        <f t="shared" si="2"/>
        <v/>
      </c>
    </row>
    <row r="268" spans="2:8" ht="12.5" x14ac:dyDescent="0.25">
      <c r="B268" s="12">
        <f t="shared" si="3"/>
        <v>254</v>
      </c>
      <c r="C268" s="12" t="str">
        <f t="shared" si="4"/>
        <v/>
      </c>
      <c r="D268" s="14" t="str">
        <f t="shared" si="5"/>
        <v/>
      </c>
      <c r="E268" s="14" t="str">
        <f t="shared" si="9"/>
        <v/>
      </c>
      <c r="F268" s="14" t="str">
        <f t="shared" si="0"/>
        <v/>
      </c>
      <c r="G268" s="12" t="str">
        <f t="shared" si="1"/>
        <v/>
      </c>
      <c r="H268" s="12" t="str">
        <f t="shared" si="2"/>
        <v/>
      </c>
    </row>
    <row r="269" spans="2:8" ht="12.5" x14ac:dyDescent="0.25">
      <c r="B269" s="12">
        <f t="shared" si="3"/>
        <v>255</v>
      </c>
      <c r="C269" s="12" t="str">
        <f t="shared" si="4"/>
        <v/>
      </c>
      <c r="D269" s="14" t="str">
        <f t="shared" si="5"/>
        <v/>
      </c>
      <c r="E269" s="14" t="str">
        <f t="shared" si="9"/>
        <v/>
      </c>
      <c r="F269" s="14" t="str">
        <f t="shared" si="0"/>
        <v/>
      </c>
      <c r="G269" s="12" t="str">
        <f t="shared" si="1"/>
        <v/>
      </c>
      <c r="H269" s="12" t="str">
        <f t="shared" si="2"/>
        <v/>
      </c>
    </row>
    <row r="270" spans="2:8" ht="12.5" x14ac:dyDescent="0.25">
      <c r="B270" s="12">
        <f t="shared" si="3"/>
        <v>256</v>
      </c>
      <c r="C270" s="12" t="str">
        <f t="shared" si="4"/>
        <v/>
      </c>
      <c r="D270" s="14" t="str">
        <f t="shared" si="5"/>
        <v/>
      </c>
      <c r="E270" s="14" t="str">
        <f t="shared" si="9"/>
        <v/>
      </c>
      <c r="F270" s="14" t="str">
        <f t="shared" ref="F270:F374" si="10">IF(B270&lt;= $E$4, D270*$E$3,"")</f>
        <v/>
      </c>
      <c r="G270" s="12" t="str">
        <f t="shared" ref="G270:G374" si="11">IF(B270&lt;=$E$4,E270-F270,"")</f>
        <v/>
      </c>
      <c r="H270" s="12" t="str">
        <f t="shared" ref="H270:H374" si="12">IF(B270&lt;=$E$4,D270-G270,"")</f>
        <v/>
      </c>
    </row>
    <row r="271" spans="2:8" ht="12.5" x14ac:dyDescent="0.25">
      <c r="B271" s="12">
        <f t="shared" ref="B271:B374" si="13">B270+1</f>
        <v>257</v>
      </c>
      <c r="C271" s="12" t="str">
        <f t="shared" ref="C271:C374" si="14">IF(B271&lt;=$E$4, EDATE($C$15,B270), "")</f>
        <v/>
      </c>
      <c r="D271" s="14" t="str">
        <f t="shared" ref="D271:D374" si="15">IF(B271&lt;=$E$4,H270,"")</f>
        <v/>
      </c>
      <c r="E271" s="14" t="str">
        <f t="shared" si="9"/>
        <v/>
      </c>
      <c r="F271" s="14" t="str">
        <f t="shared" si="10"/>
        <v/>
      </c>
      <c r="G271" s="12" t="str">
        <f t="shared" si="11"/>
        <v/>
      </c>
      <c r="H271" s="12" t="str">
        <f t="shared" si="12"/>
        <v/>
      </c>
    </row>
    <row r="272" spans="2:8" ht="12.5" x14ac:dyDescent="0.25">
      <c r="B272" s="12">
        <f t="shared" si="13"/>
        <v>258</v>
      </c>
      <c r="C272" s="12" t="str">
        <f t="shared" si="14"/>
        <v/>
      </c>
      <c r="D272" s="14" t="str">
        <f t="shared" si="15"/>
        <v/>
      </c>
      <c r="E272" s="14" t="str">
        <f t="shared" ref="E272:E335" si="16">IF(B272&lt;=$E$4,$F$7,"")</f>
        <v/>
      </c>
      <c r="F272" s="14" t="str">
        <f t="shared" si="10"/>
        <v/>
      </c>
      <c r="G272" s="12" t="str">
        <f t="shared" si="11"/>
        <v/>
      </c>
      <c r="H272" s="12" t="str">
        <f t="shared" si="12"/>
        <v/>
      </c>
    </row>
    <row r="273" spans="2:8" ht="12.5" x14ac:dyDescent="0.25">
      <c r="B273" s="12">
        <f t="shared" si="13"/>
        <v>259</v>
      </c>
      <c r="C273" s="12" t="str">
        <f t="shared" si="14"/>
        <v/>
      </c>
      <c r="D273" s="14" t="str">
        <f t="shared" si="15"/>
        <v/>
      </c>
      <c r="E273" s="14" t="str">
        <f t="shared" si="16"/>
        <v/>
      </c>
      <c r="F273" s="14" t="str">
        <f t="shared" si="10"/>
        <v/>
      </c>
      <c r="G273" s="12" t="str">
        <f t="shared" si="11"/>
        <v/>
      </c>
      <c r="H273" s="12" t="str">
        <f t="shared" si="12"/>
        <v/>
      </c>
    </row>
    <row r="274" spans="2:8" ht="12.5" x14ac:dyDescent="0.25">
      <c r="B274" s="12">
        <f t="shared" si="13"/>
        <v>260</v>
      </c>
      <c r="C274" s="12" t="str">
        <f t="shared" si="14"/>
        <v/>
      </c>
      <c r="D274" s="14" t="str">
        <f t="shared" si="15"/>
        <v/>
      </c>
      <c r="E274" s="14" t="str">
        <f t="shared" si="16"/>
        <v/>
      </c>
      <c r="F274" s="14" t="str">
        <f t="shared" si="10"/>
        <v/>
      </c>
      <c r="G274" s="12" t="str">
        <f t="shared" si="11"/>
        <v/>
      </c>
      <c r="H274" s="12" t="str">
        <f t="shared" si="12"/>
        <v/>
      </c>
    </row>
    <row r="275" spans="2:8" ht="12.5" x14ac:dyDescent="0.25">
      <c r="B275" s="12">
        <f t="shared" si="13"/>
        <v>261</v>
      </c>
      <c r="C275" s="12" t="str">
        <f t="shared" si="14"/>
        <v/>
      </c>
      <c r="D275" s="14" t="str">
        <f t="shared" si="15"/>
        <v/>
      </c>
      <c r="E275" s="14" t="str">
        <f t="shared" si="16"/>
        <v/>
      </c>
      <c r="F275" s="14" t="str">
        <f t="shared" si="10"/>
        <v/>
      </c>
      <c r="G275" s="12" t="str">
        <f t="shared" si="11"/>
        <v/>
      </c>
      <c r="H275" s="12" t="str">
        <f t="shared" si="12"/>
        <v/>
      </c>
    </row>
    <row r="276" spans="2:8" ht="12.5" x14ac:dyDescent="0.25">
      <c r="B276" s="12">
        <f t="shared" si="13"/>
        <v>262</v>
      </c>
      <c r="C276" s="12" t="str">
        <f t="shared" si="14"/>
        <v/>
      </c>
      <c r="D276" s="14" t="str">
        <f t="shared" si="15"/>
        <v/>
      </c>
      <c r="E276" s="14" t="str">
        <f t="shared" si="16"/>
        <v/>
      </c>
      <c r="F276" s="14" t="str">
        <f t="shared" si="10"/>
        <v/>
      </c>
      <c r="G276" s="12" t="str">
        <f t="shared" si="11"/>
        <v/>
      </c>
      <c r="H276" s="12" t="str">
        <f t="shared" si="12"/>
        <v/>
      </c>
    </row>
    <row r="277" spans="2:8" ht="12.5" x14ac:dyDescent="0.25">
      <c r="B277" s="12">
        <f t="shared" si="13"/>
        <v>263</v>
      </c>
      <c r="C277" s="12" t="str">
        <f t="shared" si="14"/>
        <v/>
      </c>
      <c r="D277" s="14" t="str">
        <f t="shared" si="15"/>
        <v/>
      </c>
      <c r="E277" s="14" t="str">
        <f t="shared" si="16"/>
        <v/>
      </c>
      <c r="F277" s="14" t="str">
        <f t="shared" si="10"/>
        <v/>
      </c>
      <c r="G277" s="12" t="str">
        <f t="shared" si="11"/>
        <v/>
      </c>
      <c r="H277" s="12" t="str">
        <f t="shared" si="12"/>
        <v/>
      </c>
    </row>
    <row r="278" spans="2:8" ht="12.5" x14ac:dyDescent="0.25">
      <c r="B278" s="12">
        <f t="shared" si="13"/>
        <v>264</v>
      </c>
      <c r="C278" s="12" t="str">
        <f t="shared" si="14"/>
        <v/>
      </c>
      <c r="D278" s="14" t="str">
        <f t="shared" si="15"/>
        <v/>
      </c>
      <c r="E278" s="14" t="str">
        <f t="shared" si="16"/>
        <v/>
      </c>
      <c r="F278" s="14" t="str">
        <f t="shared" si="10"/>
        <v/>
      </c>
      <c r="G278" s="12" t="str">
        <f t="shared" si="11"/>
        <v/>
      </c>
      <c r="H278" s="12" t="str">
        <f t="shared" si="12"/>
        <v/>
      </c>
    </row>
    <row r="279" spans="2:8" ht="12.5" x14ac:dyDescent="0.25">
      <c r="B279" s="12">
        <f t="shared" si="13"/>
        <v>265</v>
      </c>
      <c r="C279" s="12" t="str">
        <f t="shared" si="14"/>
        <v/>
      </c>
      <c r="D279" s="14" t="str">
        <f t="shared" si="15"/>
        <v/>
      </c>
      <c r="E279" s="14" t="str">
        <f t="shared" si="16"/>
        <v/>
      </c>
      <c r="F279" s="14" t="str">
        <f t="shared" si="10"/>
        <v/>
      </c>
      <c r="G279" s="12" t="str">
        <f t="shared" si="11"/>
        <v/>
      </c>
      <c r="H279" s="12" t="str">
        <f t="shared" si="12"/>
        <v/>
      </c>
    </row>
    <row r="280" spans="2:8" ht="12.5" x14ac:dyDescent="0.25">
      <c r="B280" s="12">
        <f t="shared" si="13"/>
        <v>266</v>
      </c>
      <c r="C280" s="12" t="str">
        <f t="shared" si="14"/>
        <v/>
      </c>
      <c r="D280" s="14" t="str">
        <f t="shared" si="15"/>
        <v/>
      </c>
      <c r="E280" s="14" t="str">
        <f t="shared" si="16"/>
        <v/>
      </c>
      <c r="F280" s="14" t="str">
        <f t="shared" si="10"/>
        <v/>
      </c>
      <c r="G280" s="12" t="str">
        <f t="shared" si="11"/>
        <v/>
      </c>
      <c r="H280" s="12" t="str">
        <f t="shared" si="12"/>
        <v/>
      </c>
    </row>
    <row r="281" spans="2:8" ht="12.5" x14ac:dyDescent="0.25">
      <c r="B281" s="12">
        <f t="shared" si="13"/>
        <v>267</v>
      </c>
      <c r="C281" s="12" t="str">
        <f t="shared" si="14"/>
        <v/>
      </c>
      <c r="D281" s="14" t="str">
        <f t="shared" si="15"/>
        <v/>
      </c>
      <c r="E281" s="14" t="str">
        <f t="shared" si="16"/>
        <v/>
      </c>
      <c r="F281" s="14" t="str">
        <f t="shared" si="10"/>
        <v/>
      </c>
      <c r="G281" s="12" t="str">
        <f t="shared" si="11"/>
        <v/>
      </c>
      <c r="H281" s="12" t="str">
        <f t="shared" si="12"/>
        <v/>
      </c>
    </row>
    <row r="282" spans="2:8" ht="12.5" x14ac:dyDescent="0.25">
      <c r="B282" s="12">
        <f t="shared" si="13"/>
        <v>268</v>
      </c>
      <c r="C282" s="12" t="str">
        <f t="shared" si="14"/>
        <v/>
      </c>
      <c r="D282" s="14" t="str">
        <f t="shared" si="15"/>
        <v/>
      </c>
      <c r="E282" s="14" t="str">
        <f t="shared" si="16"/>
        <v/>
      </c>
      <c r="F282" s="14" t="str">
        <f t="shared" si="10"/>
        <v/>
      </c>
      <c r="G282" s="12" t="str">
        <f t="shared" si="11"/>
        <v/>
      </c>
      <c r="H282" s="12" t="str">
        <f t="shared" si="12"/>
        <v/>
      </c>
    </row>
    <row r="283" spans="2:8" ht="12.5" x14ac:dyDescent="0.25">
      <c r="B283" s="12">
        <f t="shared" si="13"/>
        <v>269</v>
      </c>
      <c r="C283" s="12" t="str">
        <f t="shared" si="14"/>
        <v/>
      </c>
      <c r="D283" s="14" t="str">
        <f t="shared" si="15"/>
        <v/>
      </c>
      <c r="E283" s="14" t="str">
        <f t="shared" si="16"/>
        <v/>
      </c>
      <c r="F283" s="14" t="str">
        <f t="shared" si="10"/>
        <v/>
      </c>
      <c r="G283" s="12" t="str">
        <f t="shared" si="11"/>
        <v/>
      </c>
      <c r="H283" s="12" t="str">
        <f t="shared" si="12"/>
        <v/>
      </c>
    </row>
    <row r="284" spans="2:8" ht="12.5" x14ac:dyDescent="0.25">
      <c r="B284" s="12">
        <f t="shared" si="13"/>
        <v>270</v>
      </c>
      <c r="C284" s="12" t="str">
        <f t="shared" si="14"/>
        <v/>
      </c>
      <c r="D284" s="14" t="str">
        <f t="shared" si="15"/>
        <v/>
      </c>
      <c r="E284" s="14" t="str">
        <f t="shared" si="16"/>
        <v/>
      </c>
      <c r="F284" s="14" t="str">
        <f t="shared" si="10"/>
        <v/>
      </c>
      <c r="G284" s="12" t="str">
        <f t="shared" si="11"/>
        <v/>
      </c>
      <c r="H284" s="12" t="str">
        <f t="shared" si="12"/>
        <v/>
      </c>
    </row>
    <row r="285" spans="2:8" ht="12.5" x14ac:dyDescent="0.25">
      <c r="B285" s="12">
        <f t="shared" si="13"/>
        <v>271</v>
      </c>
      <c r="C285" s="12" t="str">
        <f t="shared" si="14"/>
        <v/>
      </c>
      <c r="D285" s="14" t="str">
        <f t="shared" si="15"/>
        <v/>
      </c>
      <c r="E285" s="14" t="str">
        <f t="shared" si="16"/>
        <v/>
      </c>
      <c r="F285" s="14" t="str">
        <f t="shared" si="10"/>
        <v/>
      </c>
      <c r="G285" s="12" t="str">
        <f t="shared" si="11"/>
        <v/>
      </c>
      <c r="H285" s="12" t="str">
        <f t="shared" si="12"/>
        <v/>
      </c>
    </row>
    <row r="286" spans="2:8" ht="12.5" x14ac:dyDescent="0.25">
      <c r="B286" s="12">
        <f t="shared" si="13"/>
        <v>272</v>
      </c>
      <c r="C286" s="12" t="str">
        <f t="shared" si="14"/>
        <v/>
      </c>
      <c r="D286" s="14" t="str">
        <f t="shared" si="15"/>
        <v/>
      </c>
      <c r="E286" s="14" t="str">
        <f t="shared" si="16"/>
        <v/>
      </c>
      <c r="F286" s="14" t="str">
        <f t="shared" si="10"/>
        <v/>
      </c>
      <c r="G286" s="12" t="str">
        <f t="shared" si="11"/>
        <v/>
      </c>
      <c r="H286" s="12" t="str">
        <f t="shared" si="12"/>
        <v/>
      </c>
    </row>
    <row r="287" spans="2:8" ht="12.5" x14ac:dyDescent="0.25">
      <c r="B287" s="12">
        <f t="shared" si="13"/>
        <v>273</v>
      </c>
      <c r="C287" s="12" t="str">
        <f t="shared" si="14"/>
        <v/>
      </c>
      <c r="D287" s="14" t="str">
        <f t="shared" si="15"/>
        <v/>
      </c>
      <c r="E287" s="14" t="str">
        <f t="shared" si="16"/>
        <v/>
      </c>
      <c r="F287" s="14" t="str">
        <f t="shared" si="10"/>
        <v/>
      </c>
      <c r="G287" s="12" t="str">
        <f t="shared" si="11"/>
        <v/>
      </c>
      <c r="H287" s="12" t="str">
        <f t="shared" si="12"/>
        <v/>
      </c>
    </row>
    <row r="288" spans="2:8" ht="12.5" x14ac:dyDescent="0.25">
      <c r="B288" s="12">
        <f t="shared" si="13"/>
        <v>274</v>
      </c>
      <c r="C288" s="12" t="str">
        <f t="shared" si="14"/>
        <v/>
      </c>
      <c r="D288" s="14" t="str">
        <f t="shared" si="15"/>
        <v/>
      </c>
      <c r="E288" s="14" t="str">
        <f t="shared" si="16"/>
        <v/>
      </c>
      <c r="F288" s="14" t="str">
        <f t="shared" si="10"/>
        <v/>
      </c>
      <c r="G288" s="12" t="str">
        <f t="shared" si="11"/>
        <v/>
      </c>
      <c r="H288" s="12" t="str">
        <f t="shared" si="12"/>
        <v/>
      </c>
    </row>
    <row r="289" spans="2:8" ht="12.5" x14ac:dyDescent="0.25">
      <c r="B289" s="12">
        <f t="shared" si="13"/>
        <v>275</v>
      </c>
      <c r="C289" s="12" t="str">
        <f t="shared" si="14"/>
        <v/>
      </c>
      <c r="D289" s="14" t="str">
        <f t="shared" si="15"/>
        <v/>
      </c>
      <c r="E289" s="14" t="str">
        <f t="shared" si="16"/>
        <v/>
      </c>
      <c r="F289" s="14" t="str">
        <f t="shared" si="10"/>
        <v/>
      </c>
      <c r="G289" s="12" t="str">
        <f t="shared" si="11"/>
        <v/>
      </c>
      <c r="H289" s="12" t="str">
        <f t="shared" si="12"/>
        <v/>
      </c>
    </row>
    <row r="290" spans="2:8" ht="12.5" x14ac:dyDescent="0.25">
      <c r="B290" s="12">
        <f t="shared" si="13"/>
        <v>276</v>
      </c>
      <c r="C290" s="12" t="str">
        <f t="shared" si="14"/>
        <v/>
      </c>
      <c r="D290" s="14" t="str">
        <f t="shared" si="15"/>
        <v/>
      </c>
      <c r="E290" s="14" t="str">
        <f t="shared" si="16"/>
        <v/>
      </c>
      <c r="F290" s="14" t="str">
        <f t="shared" si="10"/>
        <v/>
      </c>
      <c r="G290" s="12" t="str">
        <f t="shared" si="11"/>
        <v/>
      </c>
      <c r="H290" s="12" t="str">
        <f t="shared" si="12"/>
        <v/>
      </c>
    </row>
    <row r="291" spans="2:8" ht="12.5" x14ac:dyDescent="0.25">
      <c r="B291" s="12">
        <f t="shared" si="13"/>
        <v>277</v>
      </c>
      <c r="C291" s="12" t="str">
        <f t="shared" si="14"/>
        <v/>
      </c>
      <c r="D291" s="14" t="str">
        <f t="shared" si="15"/>
        <v/>
      </c>
      <c r="E291" s="14" t="str">
        <f t="shared" si="16"/>
        <v/>
      </c>
      <c r="F291" s="14" t="str">
        <f t="shared" si="10"/>
        <v/>
      </c>
      <c r="G291" s="12" t="str">
        <f t="shared" si="11"/>
        <v/>
      </c>
      <c r="H291" s="12" t="str">
        <f t="shared" si="12"/>
        <v/>
      </c>
    </row>
    <row r="292" spans="2:8" ht="12.5" x14ac:dyDescent="0.25">
      <c r="B292" s="12">
        <f t="shared" si="13"/>
        <v>278</v>
      </c>
      <c r="C292" s="12" t="str">
        <f t="shared" si="14"/>
        <v/>
      </c>
      <c r="D292" s="14" t="str">
        <f t="shared" si="15"/>
        <v/>
      </c>
      <c r="E292" s="14" t="str">
        <f t="shared" si="16"/>
        <v/>
      </c>
      <c r="F292" s="14" t="str">
        <f t="shared" si="10"/>
        <v/>
      </c>
      <c r="G292" s="12" t="str">
        <f t="shared" si="11"/>
        <v/>
      </c>
      <c r="H292" s="12" t="str">
        <f t="shared" si="12"/>
        <v/>
      </c>
    </row>
    <row r="293" spans="2:8" ht="12.5" x14ac:dyDescent="0.25">
      <c r="B293" s="12">
        <f t="shared" si="13"/>
        <v>279</v>
      </c>
      <c r="C293" s="12" t="str">
        <f t="shared" si="14"/>
        <v/>
      </c>
      <c r="D293" s="14" t="str">
        <f t="shared" si="15"/>
        <v/>
      </c>
      <c r="E293" s="14" t="str">
        <f t="shared" si="16"/>
        <v/>
      </c>
      <c r="F293" s="14" t="str">
        <f t="shared" si="10"/>
        <v/>
      </c>
      <c r="G293" s="12" t="str">
        <f t="shared" si="11"/>
        <v/>
      </c>
      <c r="H293" s="12" t="str">
        <f t="shared" si="12"/>
        <v/>
      </c>
    </row>
    <row r="294" spans="2:8" ht="12.5" x14ac:dyDescent="0.25">
      <c r="B294" s="12">
        <f t="shared" si="13"/>
        <v>280</v>
      </c>
      <c r="C294" s="12" t="str">
        <f t="shared" si="14"/>
        <v/>
      </c>
      <c r="D294" s="14" t="str">
        <f t="shared" si="15"/>
        <v/>
      </c>
      <c r="E294" s="14" t="str">
        <f t="shared" si="16"/>
        <v/>
      </c>
      <c r="F294" s="14" t="str">
        <f t="shared" si="10"/>
        <v/>
      </c>
      <c r="G294" s="12" t="str">
        <f t="shared" si="11"/>
        <v/>
      </c>
      <c r="H294" s="12" t="str">
        <f t="shared" si="12"/>
        <v/>
      </c>
    </row>
    <row r="295" spans="2:8" ht="12.5" x14ac:dyDescent="0.25">
      <c r="B295" s="12">
        <f t="shared" si="13"/>
        <v>281</v>
      </c>
      <c r="C295" s="12" t="str">
        <f t="shared" si="14"/>
        <v/>
      </c>
      <c r="D295" s="14" t="str">
        <f t="shared" si="15"/>
        <v/>
      </c>
      <c r="E295" s="14" t="str">
        <f t="shared" si="16"/>
        <v/>
      </c>
      <c r="F295" s="14" t="str">
        <f t="shared" si="10"/>
        <v/>
      </c>
      <c r="G295" s="12" t="str">
        <f t="shared" si="11"/>
        <v/>
      </c>
      <c r="H295" s="12" t="str">
        <f t="shared" si="12"/>
        <v/>
      </c>
    </row>
    <row r="296" spans="2:8" ht="12.5" x14ac:dyDescent="0.25">
      <c r="B296" s="12">
        <f t="shared" si="13"/>
        <v>282</v>
      </c>
      <c r="C296" s="12" t="str">
        <f t="shared" si="14"/>
        <v/>
      </c>
      <c r="D296" s="14" t="str">
        <f t="shared" si="15"/>
        <v/>
      </c>
      <c r="E296" s="14" t="str">
        <f t="shared" si="16"/>
        <v/>
      </c>
      <c r="F296" s="14" t="str">
        <f t="shared" si="10"/>
        <v/>
      </c>
      <c r="G296" s="12" t="str">
        <f t="shared" si="11"/>
        <v/>
      </c>
      <c r="H296" s="12" t="str">
        <f t="shared" si="12"/>
        <v/>
      </c>
    </row>
    <row r="297" spans="2:8" ht="12.5" x14ac:dyDescent="0.25">
      <c r="B297" s="12">
        <f t="shared" si="13"/>
        <v>283</v>
      </c>
      <c r="C297" s="12" t="str">
        <f t="shared" si="14"/>
        <v/>
      </c>
      <c r="D297" s="14" t="str">
        <f t="shared" si="15"/>
        <v/>
      </c>
      <c r="E297" s="14" t="str">
        <f t="shared" si="16"/>
        <v/>
      </c>
      <c r="F297" s="14" t="str">
        <f t="shared" si="10"/>
        <v/>
      </c>
      <c r="G297" s="12" t="str">
        <f t="shared" si="11"/>
        <v/>
      </c>
      <c r="H297" s="12" t="str">
        <f t="shared" si="12"/>
        <v/>
      </c>
    </row>
    <row r="298" spans="2:8" ht="12.5" x14ac:dyDescent="0.25">
      <c r="B298" s="12">
        <f t="shared" si="13"/>
        <v>284</v>
      </c>
      <c r="C298" s="12" t="str">
        <f t="shared" si="14"/>
        <v/>
      </c>
      <c r="D298" s="14" t="str">
        <f t="shared" si="15"/>
        <v/>
      </c>
      <c r="E298" s="14" t="str">
        <f t="shared" si="16"/>
        <v/>
      </c>
      <c r="F298" s="14" t="str">
        <f t="shared" si="10"/>
        <v/>
      </c>
      <c r="G298" s="12" t="str">
        <f t="shared" si="11"/>
        <v/>
      </c>
      <c r="H298" s="12" t="str">
        <f t="shared" si="12"/>
        <v/>
      </c>
    </row>
    <row r="299" spans="2:8" ht="12.5" x14ac:dyDescent="0.25">
      <c r="B299" s="12">
        <f t="shared" si="13"/>
        <v>285</v>
      </c>
      <c r="C299" s="12" t="str">
        <f t="shared" si="14"/>
        <v/>
      </c>
      <c r="D299" s="14" t="str">
        <f t="shared" si="15"/>
        <v/>
      </c>
      <c r="E299" s="14" t="str">
        <f t="shared" si="16"/>
        <v/>
      </c>
      <c r="F299" s="14" t="str">
        <f t="shared" si="10"/>
        <v/>
      </c>
      <c r="G299" s="12" t="str">
        <f t="shared" si="11"/>
        <v/>
      </c>
      <c r="H299" s="12" t="str">
        <f t="shared" si="12"/>
        <v/>
      </c>
    </row>
    <row r="300" spans="2:8" ht="12.5" x14ac:dyDescent="0.25">
      <c r="B300" s="12">
        <f t="shared" si="13"/>
        <v>286</v>
      </c>
      <c r="C300" s="12" t="str">
        <f t="shared" si="14"/>
        <v/>
      </c>
      <c r="D300" s="14" t="str">
        <f t="shared" si="15"/>
        <v/>
      </c>
      <c r="E300" s="14" t="str">
        <f t="shared" si="16"/>
        <v/>
      </c>
      <c r="F300" s="14" t="str">
        <f t="shared" si="10"/>
        <v/>
      </c>
      <c r="G300" s="12" t="str">
        <f t="shared" si="11"/>
        <v/>
      </c>
      <c r="H300" s="12" t="str">
        <f t="shared" si="12"/>
        <v/>
      </c>
    </row>
    <row r="301" spans="2:8" ht="12.5" x14ac:dyDescent="0.25">
      <c r="B301" s="12">
        <f t="shared" si="13"/>
        <v>287</v>
      </c>
      <c r="C301" s="12" t="str">
        <f t="shared" si="14"/>
        <v/>
      </c>
      <c r="D301" s="14" t="str">
        <f t="shared" si="15"/>
        <v/>
      </c>
      <c r="E301" s="14" t="str">
        <f t="shared" si="16"/>
        <v/>
      </c>
      <c r="F301" s="14" t="str">
        <f t="shared" si="10"/>
        <v/>
      </c>
      <c r="G301" s="12" t="str">
        <f t="shared" si="11"/>
        <v/>
      </c>
      <c r="H301" s="12" t="str">
        <f t="shared" si="12"/>
        <v/>
      </c>
    </row>
    <row r="302" spans="2:8" ht="12.5" x14ac:dyDescent="0.25">
      <c r="B302" s="12">
        <f t="shared" si="13"/>
        <v>288</v>
      </c>
      <c r="C302" s="12" t="str">
        <f t="shared" si="14"/>
        <v/>
      </c>
      <c r="D302" s="14" t="str">
        <f t="shared" si="15"/>
        <v/>
      </c>
      <c r="E302" s="14" t="str">
        <f t="shared" si="16"/>
        <v/>
      </c>
      <c r="F302" s="14" t="str">
        <f t="shared" si="10"/>
        <v/>
      </c>
      <c r="G302" s="12" t="str">
        <f t="shared" si="11"/>
        <v/>
      </c>
      <c r="H302" s="12" t="str">
        <f t="shared" si="12"/>
        <v/>
      </c>
    </row>
    <row r="303" spans="2:8" ht="12.5" x14ac:dyDescent="0.25">
      <c r="B303" s="12">
        <f t="shared" si="13"/>
        <v>289</v>
      </c>
      <c r="C303" s="12" t="str">
        <f t="shared" si="14"/>
        <v/>
      </c>
      <c r="D303" s="14" t="str">
        <f t="shared" si="15"/>
        <v/>
      </c>
      <c r="E303" s="14" t="str">
        <f t="shared" si="16"/>
        <v/>
      </c>
      <c r="F303" s="14" t="str">
        <f t="shared" si="10"/>
        <v/>
      </c>
      <c r="G303" s="12" t="str">
        <f t="shared" si="11"/>
        <v/>
      </c>
      <c r="H303" s="12" t="str">
        <f t="shared" si="12"/>
        <v/>
      </c>
    </row>
    <row r="304" spans="2:8" ht="12.5" x14ac:dyDescent="0.25">
      <c r="B304" s="12">
        <f t="shared" si="13"/>
        <v>290</v>
      </c>
      <c r="C304" s="12" t="str">
        <f t="shared" si="14"/>
        <v/>
      </c>
      <c r="D304" s="14" t="str">
        <f t="shared" si="15"/>
        <v/>
      </c>
      <c r="E304" s="14" t="str">
        <f t="shared" si="16"/>
        <v/>
      </c>
      <c r="F304" s="14" t="str">
        <f t="shared" si="10"/>
        <v/>
      </c>
      <c r="G304" s="12" t="str">
        <f t="shared" si="11"/>
        <v/>
      </c>
      <c r="H304" s="12" t="str">
        <f t="shared" si="12"/>
        <v/>
      </c>
    </row>
    <row r="305" spans="2:8" ht="12.5" x14ac:dyDescent="0.25">
      <c r="B305" s="12">
        <f t="shared" si="13"/>
        <v>291</v>
      </c>
      <c r="C305" s="12" t="str">
        <f t="shared" si="14"/>
        <v/>
      </c>
      <c r="D305" s="14" t="str">
        <f t="shared" si="15"/>
        <v/>
      </c>
      <c r="E305" s="14" t="str">
        <f t="shared" si="16"/>
        <v/>
      </c>
      <c r="F305" s="14" t="str">
        <f t="shared" si="10"/>
        <v/>
      </c>
      <c r="G305" s="12" t="str">
        <f t="shared" si="11"/>
        <v/>
      </c>
      <c r="H305" s="12" t="str">
        <f t="shared" si="12"/>
        <v/>
      </c>
    </row>
    <row r="306" spans="2:8" ht="12.5" x14ac:dyDescent="0.25">
      <c r="B306" s="12">
        <f t="shared" si="13"/>
        <v>292</v>
      </c>
      <c r="C306" s="12" t="str">
        <f t="shared" si="14"/>
        <v/>
      </c>
      <c r="D306" s="14" t="str">
        <f t="shared" si="15"/>
        <v/>
      </c>
      <c r="E306" s="14" t="str">
        <f t="shared" si="16"/>
        <v/>
      </c>
      <c r="F306" s="14" t="str">
        <f t="shared" si="10"/>
        <v/>
      </c>
      <c r="G306" s="12" t="str">
        <f t="shared" si="11"/>
        <v/>
      </c>
      <c r="H306" s="12" t="str">
        <f t="shared" si="12"/>
        <v/>
      </c>
    </row>
    <row r="307" spans="2:8" ht="12.5" x14ac:dyDescent="0.25">
      <c r="B307" s="12">
        <f t="shared" si="13"/>
        <v>293</v>
      </c>
      <c r="C307" s="12" t="str">
        <f t="shared" si="14"/>
        <v/>
      </c>
      <c r="D307" s="14" t="str">
        <f t="shared" si="15"/>
        <v/>
      </c>
      <c r="E307" s="14" t="str">
        <f t="shared" si="16"/>
        <v/>
      </c>
      <c r="F307" s="14" t="str">
        <f t="shared" si="10"/>
        <v/>
      </c>
      <c r="G307" s="12" t="str">
        <f t="shared" si="11"/>
        <v/>
      </c>
      <c r="H307" s="12" t="str">
        <f t="shared" si="12"/>
        <v/>
      </c>
    </row>
    <row r="308" spans="2:8" ht="12.5" x14ac:dyDescent="0.25">
      <c r="B308" s="12">
        <f t="shared" si="13"/>
        <v>294</v>
      </c>
      <c r="C308" s="12" t="str">
        <f t="shared" si="14"/>
        <v/>
      </c>
      <c r="D308" s="14" t="str">
        <f t="shared" si="15"/>
        <v/>
      </c>
      <c r="E308" s="14" t="str">
        <f t="shared" si="16"/>
        <v/>
      </c>
      <c r="F308" s="14" t="str">
        <f t="shared" si="10"/>
        <v/>
      </c>
      <c r="G308" s="12" t="str">
        <f t="shared" si="11"/>
        <v/>
      </c>
      <c r="H308" s="12" t="str">
        <f t="shared" si="12"/>
        <v/>
      </c>
    </row>
    <row r="309" spans="2:8" ht="12.5" x14ac:dyDescent="0.25">
      <c r="B309" s="12">
        <f t="shared" si="13"/>
        <v>295</v>
      </c>
      <c r="C309" s="12" t="str">
        <f t="shared" si="14"/>
        <v/>
      </c>
      <c r="D309" s="14" t="str">
        <f t="shared" si="15"/>
        <v/>
      </c>
      <c r="E309" s="14" t="str">
        <f t="shared" si="16"/>
        <v/>
      </c>
      <c r="F309" s="14" t="str">
        <f t="shared" si="10"/>
        <v/>
      </c>
      <c r="G309" s="12" t="str">
        <f t="shared" si="11"/>
        <v/>
      </c>
      <c r="H309" s="12" t="str">
        <f t="shared" si="12"/>
        <v/>
      </c>
    </row>
    <row r="310" spans="2:8" ht="12.5" x14ac:dyDescent="0.25">
      <c r="B310" s="12">
        <f t="shared" si="13"/>
        <v>296</v>
      </c>
      <c r="C310" s="12" t="str">
        <f t="shared" si="14"/>
        <v/>
      </c>
      <c r="D310" s="14" t="str">
        <f t="shared" si="15"/>
        <v/>
      </c>
      <c r="E310" s="14" t="str">
        <f t="shared" si="16"/>
        <v/>
      </c>
      <c r="F310" s="14" t="str">
        <f t="shared" si="10"/>
        <v/>
      </c>
      <c r="G310" s="12" t="str">
        <f t="shared" si="11"/>
        <v/>
      </c>
      <c r="H310" s="12" t="str">
        <f t="shared" si="12"/>
        <v/>
      </c>
    </row>
    <row r="311" spans="2:8" ht="12.5" x14ac:dyDescent="0.25">
      <c r="B311" s="12">
        <f t="shared" si="13"/>
        <v>297</v>
      </c>
      <c r="C311" s="12" t="str">
        <f t="shared" si="14"/>
        <v/>
      </c>
      <c r="D311" s="14" t="str">
        <f t="shared" si="15"/>
        <v/>
      </c>
      <c r="E311" s="14" t="str">
        <f t="shared" si="16"/>
        <v/>
      </c>
      <c r="F311" s="14" t="str">
        <f t="shared" si="10"/>
        <v/>
      </c>
      <c r="G311" s="12" t="str">
        <f t="shared" si="11"/>
        <v/>
      </c>
      <c r="H311" s="12" t="str">
        <f t="shared" si="12"/>
        <v/>
      </c>
    </row>
    <row r="312" spans="2:8" ht="12.5" x14ac:dyDescent="0.25">
      <c r="B312" s="12">
        <f t="shared" si="13"/>
        <v>298</v>
      </c>
      <c r="C312" s="12" t="str">
        <f t="shared" si="14"/>
        <v/>
      </c>
      <c r="D312" s="14" t="str">
        <f t="shared" si="15"/>
        <v/>
      </c>
      <c r="E312" s="14" t="str">
        <f t="shared" si="16"/>
        <v/>
      </c>
      <c r="F312" s="14" t="str">
        <f t="shared" si="10"/>
        <v/>
      </c>
      <c r="G312" s="12" t="str">
        <f t="shared" si="11"/>
        <v/>
      </c>
      <c r="H312" s="12" t="str">
        <f t="shared" si="12"/>
        <v/>
      </c>
    </row>
    <row r="313" spans="2:8" ht="12.5" x14ac:dyDescent="0.25">
      <c r="B313" s="12">
        <f t="shared" si="13"/>
        <v>299</v>
      </c>
      <c r="C313" s="12" t="str">
        <f t="shared" si="14"/>
        <v/>
      </c>
      <c r="D313" s="14" t="str">
        <f t="shared" si="15"/>
        <v/>
      </c>
      <c r="E313" s="14" t="str">
        <f t="shared" si="16"/>
        <v/>
      </c>
      <c r="F313" s="14" t="str">
        <f t="shared" si="10"/>
        <v/>
      </c>
      <c r="G313" s="12" t="str">
        <f t="shared" si="11"/>
        <v/>
      </c>
      <c r="H313" s="12" t="str">
        <f t="shared" si="12"/>
        <v/>
      </c>
    </row>
    <row r="314" spans="2:8" ht="12.5" x14ac:dyDescent="0.25">
      <c r="B314" s="12">
        <f t="shared" si="13"/>
        <v>300</v>
      </c>
      <c r="C314" s="12" t="str">
        <f t="shared" si="14"/>
        <v/>
      </c>
      <c r="D314" s="14" t="str">
        <f t="shared" si="15"/>
        <v/>
      </c>
      <c r="E314" s="14" t="str">
        <f t="shared" si="16"/>
        <v/>
      </c>
      <c r="F314" s="14" t="str">
        <f t="shared" si="10"/>
        <v/>
      </c>
      <c r="G314" s="12" t="str">
        <f t="shared" si="11"/>
        <v/>
      </c>
      <c r="H314" s="12" t="str">
        <f t="shared" si="12"/>
        <v/>
      </c>
    </row>
    <row r="315" spans="2:8" ht="12.5" x14ac:dyDescent="0.25">
      <c r="B315" s="12">
        <f t="shared" si="13"/>
        <v>301</v>
      </c>
      <c r="C315" s="12" t="str">
        <f t="shared" si="14"/>
        <v/>
      </c>
      <c r="D315" s="14" t="str">
        <f t="shared" si="15"/>
        <v/>
      </c>
      <c r="E315" s="14" t="str">
        <f t="shared" si="16"/>
        <v/>
      </c>
      <c r="F315" s="14" t="str">
        <f t="shared" si="10"/>
        <v/>
      </c>
      <c r="G315" s="12" t="str">
        <f t="shared" si="11"/>
        <v/>
      </c>
      <c r="H315" s="12" t="str">
        <f t="shared" si="12"/>
        <v/>
      </c>
    </row>
    <row r="316" spans="2:8" ht="12.5" x14ac:dyDescent="0.25">
      <c r="B316" s="12">
        <f t="shared" si="13"/>
        <v>302</v>
      </c>
      <c r="C316" s="12" t="str">
        <f t="shared" si="14"/>
        <v/>
      </c>
      <c r="D316" s="14" t="str">
        <f t="shared" si="15"/>
        <v/>
      </c>
      <c r="E316" s="14" t="str">
        <f t="shared" si="16"/>
        <v/>
      </c>
      <c r="F316" s="14" t="str">
        <f t="shared" si="10"/>
        <v/>
      </c>
      <c r="G316" s="12" t="str">
        <f t="shared" si="11"/>
        <v/>
      </c>
      <c r="H316" s="12" t="str">
        <f t="shared" si="12"/>
        <v/>
      </c>
    </row>
    <row r="317" spans="2:8" ht="12.5" x14ac:dyDescent="0.25">
      <c r="B317" s="12">
        <f t="shared" si="13"/>
        <v>303</v>
      </c>
      <c r="C317" s="12" t="str">
        <f t="shared" si="14"/>
        <v/>
      </c>
      <c r="D317" s="14" t="str">
        <f t="shared" si="15"/>
        <v/>
      </c>
      <c r="E317" s="14" t="str">
        <f t="shared" si="16"/>
        <v/>
      </c>
      <c r="F317" s="14" t="str">
        <f t="shared" si="10"/>
        <v/>
      </c>
      <c r="G317" s="12" t="str">
        <f t="shared" si="11"/>
        <v/>
      </c>
      <c r="H317" s="12" t="str">
        <f t="shared" si="12"/>
        <v/>
      </c>
    </row>
    <row r="318" spans="2:8" ht="12.5" x14ac:dyDescent="0.25">
      <c r="B318" s="12">
        <f t="shared" si="13"/>
        <v>304</v>
      </c>
      <c r="C318" s="12" t="str">
        <f t="shared" si="14"/>
        <v/>
      </c>
      <c r="D318" s="14" t="str">
        <f t="shared" si="15"/>
        <v/>
      </c>
      <c r="E318" s="14" t="str">
        <f t="shared" si="16"/>
        <v/>
      </c>
      <c r="F318" s="14" t="str">
        <f t="shared" si="10"/>
        <v/>
      </c>
      <c r="G318" s="12" t="str">
        <f t="shared" si="11"/>
        <v/>
      </c>
      <c r="H318" s="12" t="str">
        <f t="shared" si="12"/>
        <v/>
      </c>
    </row>
    <row r="319" spans="2:8" ht="12.5" x14ac:dyDescent="0.25">
      <c r="B319" s="12">
        <f t="shared" si="13"/>
        <v>305</v>
      </c>
      <c r="C319" s="12" t="str">
        <f t="shared" si="14"/>
        <v/>
      </c>
      <c r="D319" s="14" t="str">
        <f t="shared" si="15"/>
        <v/>
      </c>
      <c r="E319" s="14" t="str">
        <f t="shared" si="16"/>
        <v/>
      </c>
      <c r="F319" s="14" t="str">
        <f t="shared" si="10"/>
        <v/>
      </c>
      <c r="G319" s="12" t="str">
        <f t="shared" si="11"/>
        <v/>
      </c>
      <c r="H319" s="12" t="str">
        <f t="shared" si="12"/>
        <v/>
      </c>
    </row>
    <row r="320" spans="2:8" ht="12.5" x14ac:dyDescent="0.25">
      <c r="B320" s="12">
        <f t="shared" si="13"/>
        <v>306</v>
      </c>
      <c r="C320" s="12" t="str">
        <f t="shared" si="14"/>
        <v/>
      </c>
      <c r="D320" s="14" t="str">
        <f t="shared" si="15"/>
        <v/>
      </c>
      <c r="E320" s="14" t="str">
        <f t="shared" si="16"/>
        <v/>
      </c>
      <c r="F320" s="14" t="str">
        <f t="shared" si="10"/>
        <v/>
      </c>
      <c r="G320" s="12" t="str">
        <f t="shared" si="11"/>
        <v/>
      </c>
      <c r="H320" s="12" t="str">
        <f t="shared" si="12"/>
        <v/>
      </c>
    </row>
    <row r="321" spans="2:8" ht="12.5" x14ac:dyDescent="0.25">
      <c r="B321" s="12">
        <f t="shared" si="13"/>
        <v>307</v>
      </c>
      <c r="C321" s="12" t="str">
        <f t="shared" si="14"/>
        <v/>
      </c>
      <c r="D321" s="14" t="str">
        <f t="shared" si="15"/>
        <v/>
      </c>
      <c r="E321" s="14" t="str">
        <f t="shared" si="16"/>
        <v/>
      </c>
      <c r="F321" s="14" t="str">
        <f t="shared" si="10"/>
        <v/>
      </c>
      <c r="G321" s="12" t="str">
        <f t="shared" si="11"/>
        <v/>
      </c>
      <c r="H321" s="12" t="str">
        <f t="shared" si="12"/>
        <v/>
      </c>
    </row>
    <row r="322" spans="2:8" ht="12.5" x14ac:dyDescent="0.25">
      <c r="B322" s="12">
        <f t="shared" si="13"/>
        <v>308</v>
      </c>
      <c r="C322" s="12" t="str">
        <f t="shared" si="14"/>
        <v/>
      </c>
      <c r="D322" s="14" t="str">
        <f t="shared" si="15"/>
        <v/>
      </c>
      <c r="E322" s="14" t="str">
        <f t="shared" si="16"/>
        <v/>
      </c>
      <c r="F322" s="14" t="str">
        <f t="shared" si="10"/>
        <v/>
      </c>
      <c r="G322" s="12" t="str">
        <f t="shared" si="11"/>
        <v/>
      </c>
      <c r="H322" s="12" t="str">
        <f t="shared" si="12"/>
        <v/>
      </c>
    </row>
    <row r="323" spans="2:8" ht="12.5" x14ac:dyDescent="0.25">
      <c r="B323" s="12">
        <f t="shared" si="13"/>
        <v>309</v>
      </c>
      <c r="C323" s="12" t="str">
        <f t="shared" si="14"/>
        <v/>
      </c>
      <c r="D323" s="14" t="str">
        <f t="shared" si="15"/>
        <v/>
      </c>
      <c r="E323" s="14" t="str">
        <f t="shared" si="16"/>
        <v/>
      </c>
      <c r="F323" s="14" t="str">
        <f t="shared" si="10"/>
        <v/>
      </c>
      <c r="G323" s="12" t="str">
        <f t="shared" si="11"/>
        <v/>
      </c>
      <c r="H323" s="12" t="str">
        <f t="shared" si="12"/>
        <v/>
      </c>
    </row>
    <row r="324" spans="2:8" ht="12.5" x14ac:dyDescent="0.25">
      <c r="B324" s="12">
        <f t="shared" si="13"/>
        <v>310</v>
      </c>
      <c r="C324" s="12" t="str">
        <f t="shared" si="14"/>
        <v/>
      </c>
      <c r="D324" s="14" t="str">
        <f t="shared" si="15"/>
        <v/>
      </c>
      <c r="E324" s="14" t="str">
        <f t="shared" si="16"/>
        <v/>
      </c>
      <c r="F324" s="14" t="str">
        <f t="shared" si="10"/>
        <v/>
      </c>
      <c r="G324" s="12" t="str">
        <f t="shared" si="11"/>
        <v/>
      </c>
      <c r="H324" s="12" t="str">
        <f t="shared" si="12"/>
        <v/>
      </c>
    </row>
    <row r="325" spans="2:8" ht="12.5" x14ac:dyDescent="0.25">
      <c r="B325" s="12">
        <f t="shared" si="13"/>
        <v>311</v>
      </c>
      <c r="C325" s="12" t="str">
        <f t="shared" si="14"/>
        <v/>
      </c>
      <c r="D325" s="14" t="str">
        <f t="shared" si="15"/>
        <v/>
      </c>
      <c r="E325" s="14" t="str">
        <f t="shared" si="16"/>
        <v/>
      </c>
      <c r="F325" s="14" t="str">
        <f t="shared" si="10"/>
        <v/>
      </c>
      <c r="G325" s="12" t="str">
        <f t="shared" si="11"/>
        <v/>
      </c>
      <c r="H325" s="12" t="str">
        <f t="shared" si="12"/>
        <v/>
      </c>
    </row>
    <row r="326" spans="2:8" ht="12.5" x14ac:dyDescent="0.25">
      <c r="B326" s="12">
        <f t="shared" si="13"/>
        <v>312</v>
      </c>
      <c r="C326" s="12" t="str">
        <f t="shared" si="14"/>
        <v/>
      </c>
      <c r="D326" s="14" t="str">
        <f t="shared" si="15"/>
        <v/>
      </c>
      <c r="E326" s="14" t="str">
        <f t="shared" si="16"/>
        <v/>
      </c>
      <c r="F326" s="14" t="str">
        <f t="shared" si="10"/>
        <v/>
      </c>
      <c r="G326" s="12" t="str">
        <f t="shared" si="11"/>
        <v/>
      </c>
      <c r="H326" s="12" t="str">
        <f t="shared" si="12"/>
        <v/>
      </c>
    </row>
    <row r="327" spans="2:8" ht="12.5" x14ac:dyDescent="0.25">
      <c r="B327" s="12">
        <f t="shared" si="13"/>
        <v>313</v>
      </c>
      <c r="C327" s="12" t="str">
        <f t="shared" si="14"/>
        <v/>
      </c>
      <c r="D327" s="14" t="str">
        <f t="shared" si="15"/>
        <v/>
      </c>
      <c r="E327" s="14" t="str">
        <f t="shared" si="16"/>
        <v/>
      </c>
      <c r="F327" s="14" t="str">
        <f t="shared" si="10"/>
        <v/>
      </c>
      <c r="G327" s="12" t="str">
        <f t="shared" si="11"/>
        <v/>
      </c>
      <c r="H327" s="12" t="str">
        <f t="shared" si="12"/>
        <v/>
      </c>
    </row>
    <row r="328" spans="2:8" ht="12.5" x14ac:dyDescent="0.25">
      <c r="B328" s="12">
        <f t="shared" si="13"/>
        <v>314</v>
      </c>
      <c r="C328" s="12" t="str">
        <f t="shared" si="14"/>
        <v/>
      </c>
      <c r="D328" s="14" t="str">
        <f t="shared" si="15"/>
        <v/>
      </c>
      <c r="E328" s="14" t="str">
        <f t="shared" si="16"/>
        <v/>
      </c>
      <c r="F328" s="14" t="str">
        <f t="shared" si="10"/>
        <v/>
      </c>
      <c r="G328" s="12" t="str">
        <f t="shared" si="11"/>
        <v/>
      </c>
      <c r="H328" s="12" t="str">
        <f t="shared" si="12"/>
        <v/>
      </c>
    </row>
    <row r="329" spans="2:8" ht="12.5" x14ac:dyDescent="0.25">
      <c r="B329" s="12">
        <f t="shared" si="13"/>
        <v>315</v>
      </c>
      <c r="C329" s="12" t="str">
        <f t="shared" si="14"/>
        <v/>
      </c>
      <c r="D329" s="14" t="str">
        <f t="shared" si="15"/>
        <v/>
      </c>
      <c r="E329" s="14" t="str">
        <f t="shared" si="16"/>
        <v/>
      </c>
      <c r="F329" s="14" t="str">
        <f t="shared" si="10"/>
        <v/>
      </c>
      <c r="G329" s="12" t="str">
        <f t="shared" si="11"/>
        <v/>
      </c>
      <c r="H329" s="12" t="str">
        <f t="shared" si="12"/>
        <v/>
      </c>
    </row>
    <row r="330" spans="2:8" ht="12.5" x14ac:dyDescent="0.25">
      <c r="B330" s="12">
        <f t="shared" si="13"/>
        <v>316</v>
      </c>
      <c r="C330" s="12" t="str">
        <f t="shared" si="14"/>
        <v/>
      </c>
      <c r="D330" s="14" t="str">
        <f t="shared" si="15"/>
        <v/>
      </c>
      <c r="E330" s="14" t="str">
        <f t="shared" si="16"/>
        <v/>
      </c>
      <c r="F330" s="14" t="str">
        <f t="shared" si="10"/>
        <v/>
      </c>
      <c r="G330" s="12" t="str">
        <f t="shared" si="11"/>
        <v/>
      </c>
      <c r="H330" s="12" t="str">
        <f t="shared" si="12"/>
        <v/>
      </c>
    </row>
    <row r="331" spans="2:8" ht="12.5" x14ac:dyDescent="0.25">
      <c r="B331" s="12">
        <f t="shared" si="13"/>
        <v>317</v>
      </c>
      <c r="C331" s="12" t="str">
        <f t="shared" si="14"/>
        <v/>
      </c>
      <c r="D331" s="14" t="str">
        <f t="shared" si="15"/>
        <v/>
      </c>
      <c r="E331" s="14" t="str">
        <f t="shared" si="16"/>
        <v/>
      </c>
      <c r="F331" s="14" t="str">
        <f t="shared" si="10"/>
        <v/>
      </c>
      <c r="G331" s="12" t="str">
        <f t="shared" si="11"/>
        <v/>
      </c>
      <c r="H331" s="12" t="str">
        <f t="shared" si="12"/>
        <v/>
      </c>
    </row>
    <row r="332" spans="2:8" ht="12.5" x14ac:dyDescent="0.25">
      <c r="B332" s="12">
        <f t="shared" si="13"/>
        <v>318</v>
      </c>
      <c r="C332" s="12" t="str">
        <f t="shared" si="14"/>
        <v/>
      </c>
      <c r="D332" s="14" t="str">
        <f t="shared" si="15"/>
        <v/>
      </c>
      <c r="E332" s="14" t="str">
        <f t="shared" si="16"/>
        <v/>
      </c>
      <c r="F332" s="14" t="str">
        <f t="shared" si="10"/>
        <v/>
      </c>
      <c r="G332" s="12" t="str">
        <f t="shared" si="11"/>
        <v/>
      </c>
      <c r="H332" s="12" t="str">
        <f t="shared" si="12"/>
        <v/>
      </c>
    </row>
    <row r="333" spans="2:8" ht="12.5" x14ac:dyDescent="0.25">
      <c r="B333" s="12">
        <f t="shared" si="13"/>
        <v>319</v>
      </c>
      <c r="C333" s="12" t="str">
        <f t="shared" si="14"/>
        <v/>
      </c>
      <c r="D333" s="14" t="str">
        <f t="shared" si="15"/>
        <v/>
      </c>
      <c r="E333" s="14" t="str">
        <f t="shared" si="16"/>
        <v/>
      </c>
      <c r="F333" s="14" t="str">
        <f t="shared" si="10"/>
        <v/>
      </c>
      <c r="G333" s="12" t="str">
        <f t="shared" si="11"/>
        <v/>
      </c>
      <c r="H333" s="12" t="str">
        <f t="shared" si="12"/>
        <v/>
      </c>
    </row>
    <row r="334" spans="2:8" ht="12.5" x14ac:dyDescent="0.25">
      <c r="B334" s="12">
        <f t="shared" si="13"/>
        <v>320</v>
      </c>
      <c r="C334" s="12" t="str">
        <f t="shared" si="14"/>
        <v/>
      </c>
      <c r="D334" s="14" t="str">
        <f t="shared" si="15"/>
        <v/>
      </c>
      <c r="E334" s="14" t="str">
        <f t="shared" si="16"/>
        <v/>
      </c>
      <c r="F334" s="14" t="str">
        <f t="shared" si="10"/>
        <v/>
      </c>
      <c r="G334" s="12" t="str">
        <f t="shared" si="11"/>
        <v/>
      </c>
      <c r="H334" s="12" t="str">
        <f t="shared" si="12"/>
        <v/>
      </c>
    </row>
    <row r="335" spans="2:8" ht="12.5" x14ac:dyDescent="0.25">
      <c r="B335" s="12">
        <f t="shared" si="13"/>
        <v>321</v>
      </c>
      <c r="C335" s="12" t="str">
        <f t="shared" si="14"/>
        <v/>
      </c>
      <c r="D335" s="14" t="str">
        <f t="shared" si="15"/>
        <v/>
      </c>
      <c r="E335" s="14" t="str">
        <f t="shared" si="16"/>
        <v/>
      </c>
      <c r="F335" s="14" t="str">
        <f t="shared" si="10"/>
        <v/>
      </c>
      <c r="G335" s="12" t="str">
        <f t="shared" si="11"/>
        <v/>
      </c>
      <c r="H335" s="12" t="str">
        <f t="shared" si="12"/>
        <v/>
      </c>
    </row>
    <row r="336" spans="2:8" ht="12.5" x14ac:dyDescent="0.25">
      <c r="B336" s="12">
        <f t="shared" si="13"/>
        <v>322</v>
      </c>
      <c r="C336" s="12" t="str">
        <f t="shared" si="14"/>
        <v/>
      </c>
      <c r="D336" s="14" t="str">
        <f t="shared" si="15"/>
        <v/>
      </c>
      <c r="E336" s="14" t="str">
        <f t="shared" ref="E336:E374" si="17">IF(B336&lt;=$E$4,$F$7,"")</f>
        <v/>
      </c>
      <c r="F336" s="14" t="str">
        <f t="shared" si="10"/>
        <v/>
      </c>
      <c r="G336" s="12" t="str">
        <f t="shared" si="11"/>
        <v/>
      </c>
      <c r="H336" s="12" t="str">
        <f t="shared" si="12"/>
        <v/>
      </c>
    </row>
    <row r="337" spans="2:8" ht="12.5" x14ac:dyDescent="0.25">
      <c r="B337" s="12">
        <f t="shared" si="13"/>
        <v>323</v>
      </c>
      <c r="C337" s="12" t="str">
        <f t="shared" si="14"/>
        <v/>
      </c>
      <c r="D337" s="14" t="str">
        <f t="shared" si="15"/>
        <v/>
      </c>
      <c r="E337" s="14" t="str">
        <f t="shared" si="17"/>
        <v/>
      </c>
      <c r="F337" s="14" t="str">
        <f t="shared" si="10"/>
        <v/>
      </c>
      <c r="G337" s="12" t="str">
        <f t="shared" si="11"/>
        <v/>
      </c>
      <c r="H337" s="12" t="str">
        <f t="shared" si="12"/>
        <v/>
      </c>
    </row>
    <row r="338" spans="2:8" ht="12.5" x14ac:dyDescent="0.25">
      <c r="B338" s="12">
        <f t="shared" si="13"/>
        <v>324</v>
      </c>
      <c r="C338" s="12" t="str">
        <f t="shared" si="14"/>
        <v/>
      </c>
      <c r="D338" s="14" t="str">
        <f t="shared" si="15"/>
        <v/>
      </c>
      <c r="E338" s="14" t="str">
        <f t="shared" si="17"/>
        <v/>
      </c>
      <c r="F338" s="14" t="str">
        <f t="shared" si="10"/>
        <v/>
      </c>
      <c r="G338" s="12" t="str">
        <f t="shared" si="11"/>
        <v/>
      </c>
      <c r="H338" s="12" t="str">
        <f t="shared" si="12"/>
        <v/>
      </c>
    </row>
    <row r="339" spans="2:8" ht="12.5" x14ac:dyDescent="0.25">
      <c r="B339" s="12">
        <f t="shared" si="13"/>
        <v>325</v>
      </c>
      <c r="C339" s="12" t="str">
        <f t="shared" si="14"/>
        <v/>
      </c>
      <c r="D339" s="14" t="str">
        <f t="shared" si="15"/>
        <v/>
      </c>
      <c r="E339" s="14" t="str">
        <f t="shared" si="17"/>
        <v/>
      </c>
      <c r="F339" s="14" t="str">
        <f t="shared" si="10"/>
        <v/>
      </c>
      <c r="G339" s="12" t="str">
        <f t="shared" si="11"/>
        <v/>
      </c>
      <c r="H339" s="12" t="str">
        <f t="shared" si="12"/>
        <v/>
      </c>
    </row>
    <row r="340" spans="2:8" ht="12.5" x14ac:dyDescent="0.25">
      <c r="B340" s="12">
        <f t="shared" si="13"/>
        <v>326</v>
      </c>
      <c r="C340" s="12" t="str">
        <f t="shared" si="14"/>
        <v/>
      </c>
      <c r="D340" s="14" t="str">
        <f t="shared" si="15"/>
        <v/>
      </c>
      <c r="E340" s="14" t="str">
        <f t="shared" si="17"/>
        <v/>
      </c>
      <c r="F340" s="14" t="str">
        <f t="shared" si="10"/>
        <v/>
      </c>
      <c r="G340" s="12" t="str">
        <f t="shared" si="11"/>
        <v/>
      </c>
      <c r="H340" s="12" t="str">
        <f t="shared" si="12"/>
        <v/>
      </c>
    </row>
    <row r="341" spans="2:8" ht="12.5" x14ac:dyDescent="0.25">
      <c r="B341" s="12">
        <f t="shared" si="13"/>
        <v>327</v>
      </c>
      <c r="C341" s="12" t="str">
        <f t="shared" si="14"/>
        <v/>
      </c>
      <c r="D341" s="14" t="str">
        <f t="shared" si="15"/>
        <v/>
      </c>
      <c r="E341" s="14" t="str">
        <f t="shared" si="17"/>
        <v/>
      </c>
      <c r="F341" s="14" t="str">
        <f t="shared" si="10"/>
        <v/>
      </c>
      <c r="G341" s="12" t="str">
        <f t="shared" si="11"/>
        <v/>
      </c>
      <c r="H341" s="12" t="str">
        <f t="shared" si="12"/>
        <v/>
      </c>
    </row>
    <row r="342" spans="2:8" ht="12.5" x14ac:dyDescent="0.25">
      <c r="B342" s="12">
        <f t="shared" si="13"/>
        <v>328</v>
      </c>
      <c r="C342" s="12" t="str">
        <f t="shared" si="14"/>
        <v/>
      </c>
      <c r="D342" s="14" t="str">
        <f t="shared" si="15"/>
        <v/>
      </c>
      <c r="E342" s="14" t="str">
        <f t="shared" si="17"/>
        <v/>
      </c>
      <c r="F342" s="14" t="str">
        <f t="shared" si="10"/>
        <v/>
      </c>
      <c r="G342" s="12" t="str">
        <f t="shared" si="11"/>
        <v/>
      </c>
      <c r="H342" s="12" t="str">
        <f t="shared" si="12"/>
        <v/>
      </c>
    </row>
    <row r="343" spans="2:8" ht="12.5" x14ac:dyDescent="0.25">
      <c r="B343" s="12">
        <f t="shared" si="13"/>
        <v>329</v>
      </c>
      <c r="C343" s="12" t="str">
        <f t="shared" si="14"/>
        <v/>
      </c>
      <c r="D343" s="14" t="str">
        <f t="shared" si="15"/>
        <v/>
      </c>
      <c r="E343" s="14" t="str">
        <f t="shared" si="17"/>
        <v/>
      </c>
      <c r="F343" s="14" t="str">
        <f t="shared" si="10"/>
        <v/>
      </c>
      <c r="G343" s="12" t="str">
        <f t="shared" si="11"/>
        <v/>
      </c>
      <c r="H343" s="12" t="str">
        <f t="shared" si="12"/>
        <v/>
      </c>
    </row>
    <row r="344" spans="2:8" ht="12.5" x14ac:dyDescent="0.25">
      <c r="B344" s="12">
        <f t="shared" si="13"/>
        <v>330</v>
      </c>
      <c r="C344" s="12" t="str">
        <f t="shared" si="14"/>
        <v/>
      </c>
      <c r="D344" s="14" t="str">
        <f t="shared" si="15"/>
        <v/>
      </c>
      <c r="E344" s="14" t="str">
        <f t="shared" si="17"/>
        <v/>
      </c>
      <c r="F344" s="14" t="str">
        <f t="shared" si="10"/>
        <v/>
      </c>
      <c r="G344" s="12" t="str">
        <f t="shared" si="11"/>
        <v/>
      </c>
      <c r="H344" s="12" t="str">
        <f t="shared" si="12"/>
        <v/>
      </c>
    </row>
    <row r="345" spans="2:8" ht="12.5" x14ac:dyDescent="0.25">
      <c r="B345" s="12">
        <f t="shared" si="13"/>
        <v>331</v>
      </c>
      <c r="C345" s="12" t="str">
        <f t="shared" si="14"/>
        <v/>
      </c>
      <c r="D345" s="14" t="str">
        <f t="shared" si="15"/>
        <v/>
      </c>
      <c r="E345" s="14" t="str">
        <f t="shared" si="17"/>
        <v/>
      </c>
      <c r="F345" s="14" t="str">
        <f t="shared" si="10"/>
        <v/>
      </c>
      <c r="G345" s="12" t="str">
        <f t="shared" si="11"/>
        <v/>
      </c>
      <c r="H345" s="12" t="str">
        <f t="shared" si="12"/>
        <v/>
      </c>
    </row>
    <row r="346" spans="2:8" ht="12.5" x14ac:dyDescent="0.25">
      <c r="B346" s="12">
        <f t="shared" si="13"/>
        <v>332</v>
      </c>
      <c r="C346" s="12" t="str">
        <f t="shared" si="14"/>
        <v/>
      </c>
      <c r="D346" s="14" t="str">
        <f t="shared" si="15"/>
        <v/>
      </c>
      <c r="E346" s="14" t="str">
        <f t="shared" si="17"/>
        <v/>
      </c>
      <c r="F346" s="14" t="str">
        <f t="shared" si="10"/>
        <v/>
      </c>
      <c r="G346" s="12" t="str">
        <f t="shared" si="11"/>
        <v/>
      </c>
      <c r="H346" s="12" t="str">
        <f t="shared" si="12"/>
        <v/>
      </c>
    </row>
    <row r="347" spans="2:8" ht="12.5" x14ac:dyDescent="0.25">
      <c r="B347" s="12">
        <f t="shared" si="13"/>
        <v>333</v>
      </c>
      <c r="C347" s="12" t="str">
        <f t="shared" si="14"/>
        <v/>
      </c>
      <c r="D347" s="14" t="str">
        <f t="shared" si="15"/>
        <v/>
      </c>
      <c r="E347" s="14" t="str">
        <f t="shared" si="17"/>
        <v/>
      </c>
      <c r="F347" s="14" t="str">
        <f t="shared" si="10"/>
        <v/>
      </c>
      <c r="G347" s="12" t="str">
        <f t="shared" si="11"/>
        <v/>
      </c>
      <c r="H347" s="12" t="str">
        <f t="shared" si="12"/>
        <v/>
      </c>
    </row>
    <row r="348" spans="2:8" ht="12.5" x14ac:dyDescent="0.25">
      <c r="B348" s="12">
        <f t="shared" si="13"/>
        <v>334</v>
      </c>
      <c r="C348" s="12" t="str">
        <f t="shared" si="14"/>
        <v/>
      </c>
      <c r="D348" s="14" t="str">
        <f t="shared" si="15"/>
        <v/>
      </c>
      <c r="E348" s="14" t="str">
        <f t="shared" si="17"/>
        <v/>
      </c>
      <c r="F348" s="14" t="str">
        <f t="shared" si="10"/>
        <v/>
      </c>
      <c r="G348" s="12" t="str">
        <f t="shared" si="11"/>
        <v/>
      </c>
      <c r="H348" s="12" t="str">
        <f t="shared" si="12"/>
        <v/>
      </c>
    </row>
    <row r="349" spans="2:8" ht="12.5" x14ac:dyDescent="0.25">
      <c r="B349" s="12">
        <f t="shared" si="13"/>
        <v>335</v>
      </c>
      <c r="C349" s="12" t="str">
        <f t="shared" si="14"/>
        <v/>
      </c>
      <c r="D349" s="14" t="str">
        <f t="shared" si="15"/>
        <v/>
      </c>
      <c r="E349" s="14" t="str">
        <f t="shared" si="17"/>
        <v/>
      </c>
      <c r="F349" s="14" t="str">
        <f t="shared" si="10"/>
        <v/>
      </c>
      <c r="G349" s="12" t="str">
        <f t="shared" si="11"/>
        <v/>
      </c>
      <c r="H349" s="12" t="str">
        <f t="shared" si="12"/>
        <v/>
      </c>
    </row>
    <row r="350" spans="2:8" ht="12.5" x14ac:dyDescent="0.25">
      <c r="B350" s="12">
        <f t="shared" si="13"/>
        <v>336</v>
      </c>
      <c r="C350" s="12" t="str">
        <f t="shared" si="14"/>
        <v/>
      </c>
      <c r="D350" s="14" t="str">
        <f t="shared" si="15"/>
        <v/>
      </c>
      <c r="E350" s="14" t="str">
        <f t="shared" si="17"/>
        <v/>
      </c>
      <c r="F350" s="14" t="str">
        <f t="shared" si="10"/>
        <v/>
      </c>
      <c r="G350" s="12" t="str">
        <f t="shared" si="11"/>
        <v/>
      </c>
      <c r="H350" s="12" t="str">
        <f t="shared" si="12"/>
        <v/>
      </c>
    </row>
    <row r="351" spans="2:8" ht="12.5" x14ac:dyDescent="0.25">
      <c r="B351" s="12">
        <f t="shared" si="13"/>
        <v>337</v>
      </c>
      <c r="C351" s="12" t="str">
        <f t="shared" si="14"/>
        <v/>
      </c>
      <c r="D351" s="14" t="str">
        <f t="shared" si="15"/>
        <v/>
      </c>
      <c r="E351" s="14" t="str">
        <f t="shared" si="17"/>
        <v/>
      </c>
      <c r="F351" s="14" t="str">
        <f t="shared" si="10"/>
        <v/>
      </c>
      <c r="G351" s="12" t="str">
        <f t="shared" si="11"/>
        <v/>
      </c>
      <c r="H351" s="12" t="str">
        <f t="shared" si="12"/>
        <v/>
      </c>
    </row>
    <row r="352" spans="2:8" ht="12.5" x14ac:dyDescent="0.25">
      <c r="B352" s="12">
        <f t="shared" si="13"/>
        <v>338</v>
      </c>
      <c r="C352" s="12" t="str">
        <f t="shared" si="14"/>
        <v/>
      </c>
      <c r="D352" s="14" t="str">
        <f t="shared" si="15"/>
        <v/>
      </c>
      <c r="E352" s="14" t="str">
        <f t="shared" si="17"/>
        <v/>
      </c>
      <c r="F352" s="14" t="str">
        <f t="shared" si="10"/>
        <v/>
      </c>
      <c r="G352" s="12" t="str">
        <f t="shared" si="11"/>
        <v/>
      </c>
      <c r="H352" s="12" t="str">
        <f t="shared" si="12"/>
        <v/>
      </c>
    </row>
    <row r="353" spans="2:8" ht="12.5" x14ac:dyDescent="0.25">
      <c r="B353" s="12">
        <f t="shared" si="13"/>
        <v>339</v>
      </c>
      <c r="C353" s="12" t="str">
        <f t="shared" si="14"/>
        <v/>
      </c>
      <c r="D353" s="14" t="str">
        <f t="shared" si="15"/>
        <v/>
      </c>
      <c r="E353" s="14" t="str">
        <f t="shared" si="17"/>
        <v/>
      </c>
      <c r="F353" s="14" t="str">
        <f t="shared" si="10"/>
        <v/>
      </c>
      <c r="G353" s="12" t="str">
        <f t="shared" si="11"/>
        <v/>
      </c>
      <c r="H353" s="12" t="str">
        <f t="shared" si="12"/>
        <v/>
      </c>
    </row>
    <row r="354" spans="2:8" ht="12.5" x14ac:dyDescent="0.25">
      <c r="B354" s="12">
        <f t="shared" si="13"/>
        <v>340</v>
      </c>
      <c r="C354" s="12" t="str">
        <f t="shared" si="14"/>
        <v/>
      </c>
      <c r="D354" s="14" t="str">
        <f t="shared" si="15"/>
        <v/>
      </c>
      <c r="E354" s="14" t="str">
        <f t="shared" si="17"/>
        <v/>
      </c>
      <c r="F354" s="14" t="str">
        <f t="shared" si="10"/>
        <v/>
      </c>
      <c r="G354" s="12" t="str">
        <f t="shared" si="11"/>
        <v/>
      </c>
      <c r="H354" s="12" t="str">
        <f t="shared" si="12"/>
        <v/>
      </c>
    </row>
    <row r="355" spans="2:8" ht="12.5" x14ac:dyDescent="0.25">
      <c r="B355" s="12">
        <f t="shared" si="13"/>
        <v>341</v>
      </c>
      <c r="C355" s="12" t="str">
        <f t="shared" si="14"/>
        <v/>
      </c>
      <c r="D355" s="14" t="str">
        <f t="shared" si="15"/>
        <v/>
      </c>
      <c r="E355" s="14" t="str">
        <f t="shared" si="17"/>
        <v/>
      </c>
      <c r="F355" s="14" t="str">
        <f t="shared" si="10"/>
        <v/>
      </c>
      <c r="G355" s="12" t="str">
        <f t="shared" si="11"/>
        <v/>
      </c>
      <c r="H355" s="12" t="str">
        <f t="shared" si="12"/>
        <v/>
      </c>
    </row>
    <row r="356" spans="2:8" ht="12.5" x14ac:dyDescent="0.25">
      <c r="B356" s="12">
        <f t="shared" si="13"/>
        <v>342</v>
      </c>
      <c r="C356" s="12" t="str">
        <f t="shared" si="14"/>
        <v/>
      </c>
      <c r="D356" s="14" t="str">
        <f t="shared" si="15"/>
        <v/>
      </c>
      <c r="E356" s="14" t="str">
        <f t="shared" si="17"/>
        <v/>
      </c>
      <c r="F356" s="14" t="str">
        <f t="shared" si="10"/>
        <v/>
      </c>
      <c r="G356" s="12" t="str">
        <f t="shared" si="11"/>
        <v/>
      </c>
      <c r="H356" s="12" t="str">
        <f t="shared" si="12"/>
        <v/>
      </c>
    </row>
    <row r="357" spans="2:8" ht="12.5" x14ac:dyDescent="0.25">
      <c r="B357" s="12">
        <f t="shared" si="13"/>
        <v>343</v>
      </c>
      <c r="C357" s="12" t="str">
        <f t="shared" si="14"/>
        <v/>
      </c>
      <c r="D357" s="14" t="str">
        <f t="shared" si="15"/>
        <v/>
      </c>
      <c r="E357" s="14" t="str">
        <f t="shared" si="17"/>
        <v/>
      </c>
      <c r="F357" s="14" t="str">
        <f t="shared" si="10"/>
        <v/>
      </c>
      <c r="G357" s="12" t="str">
        <f t="shared" si="11"/>
        <v/>
      </c>
      <c r="H357" s="12" t="str">
        <f t="shared" si="12"/>
        <v/>
      </c>
    </row>
    <row r="358" spans="2:8" ht="12.5" x14ac:dyDescent="0.25">
      <c r="B358" s="12">
        <f t="shared" si="13"/>
        <v>344</v>
      </c>
      <c r="C358" s="12" t="str">
        <f t="shared" si="14"/>
        <v/>
      </c>
      <c r="D358" s="14" t="str">
        <f t="shared" si="15"/>
        <v/>
      </c>
      <c r="E358" s="14" t="str">
        <f t="shared" si="17"/>
        <v/>
      </c>
      <c r="F358" s="14" t="str">
        <f t="shared" si="10"/>
        <v/>
      </c>
      <c r="G358" s="12" t="str">
        <f t="shared" si="11"/>
        <v/>
      </c>
      <c r="H358" s="12" t="str">
        <f t="shared" si="12"/>
        <v/>
      </c>
    </row>
    <row r="359" spans="2:8" ht="12.5" x14ac:dyDescent="0.25">
      <c r="B359" s="12">
        <f t="shared" si="13"/>
        <v>345</v>
      </c>
      <c r="C359" s="12" t="str">
        <f t="shared" si="14"/>
        <v/>
      </c>
      <c r="D359" s="14" t="str">
        <f t="shared" si="15"/>
        <v/>
      </c>
      <c r="E359" s="14" t="str">
        <f t="shared" si="17"/>
        <v/>
      </c>
      <c r="F359" s="14" t="str">
        <f t="shared" si="10"/>
        <v/>
      </c>
      <c r="G359" s="12" t="str">
        <f t="shared" si="11"/>
        <v/>
      </c>
      <c r="H359" s="12" t="str">
        <f t="shared" si="12"/>
        <v/>
      </c>
    </row>
    <row r="360" spans="2:8" ht="12.5" x14ac:dyDescent="0.25">
      <c r="B360" s="12">
        <f t="shared" si="13"/>
        <v>346</v>
      </c>
      <c r="C360" s="12" t="str">
        <f t="shared" si="14"/>
        <v/>
      </c>
      <c r="D360" s="14" t="str">
        <f t="shared" si="15"/>
        <v/>
      </c>
      <c r="E360" s="14" t="str">
        <f t="shared" si="17"/>
        <v/>
      </c>
      <c r="F360" s="14" t="str">
        <f t="shared" si="10"/>
        <v/>
      </c>
      <c r="G360" s="12" t="str">
        <f t="shared" si="11"/>
        <v/>
      </c>
      <c r="H360" s="12" t="str">
        <f t="shared" si="12"/>
        <v/>
      </c>
    </row>
    <row r="361" spans="2:8" ht="12.5" x14ac:dyDescent="0.25">
      <c r="B361" s="12">
        <f t="shared" si="13"/>
        <v>347</v>
      </c>
      <c r="C361" s="12" t="str">
        <f t="shared" si="14"/>
        <v/>
      </c>
      <c r="D361" s="14" t="str">
        <f t="shared" si="15"/>
        <v/>
      </c>
      <c r="E361" s="14" t="str">
        <f t="shared" si="17"/>
        <v/>
      </c>
      <c r="F361" s="14" t="str">
        <f t="shared" si="10"/>
        <v/>
      </c>
      <c r="G361" s="12" t="str">
        <f t="shared" si="11"/>
        <v/>
      </c>
      <c r="H361" s="12" t="str">
        <f t="shared" si="12"/>
        <v/>
      </c>
    </row>
    <row r="362" spans="2:8" ht="12.5" x14ac:dyDescent="0.25">
      <c r="B362" s="12">
        <f t="shared" si="13"/>
        <v>348</v>
      </c>
      <c r="C362" s="12" t="str">
        <f t="shared" si="14"/>
        <v/>
      </c>
      <c r="D362" s="14" t="str">
        <f t="shared" si="15"/>
        <v/>
      </c>
      <c r="E362" s="14" t="str">
        <f t="shared" si="17"/>
        <v/>
      </c>
      <c r="F362" s="14" t="str">
        <f t="shared" si="10"/>
        <v/>
      </c>
      <c r="G362" s="12" t="str">
        <f t="shared" si="11"/>
        <v/>
      </c>
      <c r="H362" s="12" t="str">
        <f t="shared" si="12"/>
        <v/>
      </c>
    </row>
    <row r="363" spans="2:8" ht="12.5" x14ac:dyDescent="0.25">
      <c r="B363" s="12">
        <f t="shared" si="13"/>
        <v>349</v>
      </c>
      <c r="C363" s="12" t="str">
        <f t="shared" si="14"/>
        <v/>
      </c>
      <c r="D363" s="14" t="str">
        <f t="shared" si="15"/>
        <v/>
      </c>
      <c r="E363" s="14" t="str">
        <f t="shared" si="17"/>
        <v/>
      </c>
      <c r="F363" s="14" t="str">
        <f t="shared" si="10"/>
        <v/>
      </c>
      <c r="G363" s="12" t="str">
        <f t="shared" si="11"/>
        <v/>
      </c>
      <c r="H363" s="12" t="str">
        <f t="shared" si="12"/>
        <v/>
      </c>
    </row>
    <row r="364" spans="2:8" ht="12.5" x14ac:dyDescent="0.25">
      <c r="B364" s="12">
        <f t="shared" si="13"/>
        <v>350</v>
      </c>
      <c r="C364" s="12" t="str">
        <f t="shared" si="14"/>
        <v/>
      </c>
      <c r="D364" s="14" t="str">
        <f t="shared" si="15"/>
        <v/>
      </c>
      <c r="E364" s="14" t="str">
        <f t="shared" si="17"/>
        <v/>
      </c>
      <c r="F364" s="14" t="str">
        <f t="shared" si="10"/>
        <v/>
      </c>
      <c r="G364" s="12" t="str">
        <f t="shared" si="11"/>
        <v/>
      </c>
      <c r="H364" s="12" t="str">
        <f t="shared" si="12"/>
        <v/>
      </c>
    </row>
    <row r="365" spans="2:8" ht="12.5" x14ac:dyDescent="0.25">
      <c r="B365" s="12">
        <f t="shared" si="13"/>
        <v>351</v>
      </c>
      <c r="C365" s="12" t="str">
        <f t="shared" si="14"/>
        <v/>
      </c>
      <c r="D365" s="14" t="str">
        <f t="shared" si="15"/>
        <v/>
      </c>
      <c r="E365" s="14" t="str">
        <f t="shared" si="17"/>
        <v/>
      </c>
      <c r="F365" s="14" t="str">
        <f t="shared" si="10"/>
        <v/>
      </c>
      <c r="G365" s="12" t="str">
        <f t="shared" si="11"/>
        <v/>
      </c>
      <c r="H365" s="12" t="str">
        <f t="shared" si="12"/>
        <v/>
      </c>
    </row>
    <row r="366" spans="2:8" ht="12.5" x14ac:dyDescent="0.25">
      <c r="B366" s="12">
        <f t="shared" si="13"/>
        <v>352</v>
      </c>
      <c r="C366" s="12" t="str">
        <f t="shared" si="14"/>
        <v/>
      </c>
      <c r="D366" s="14" t="str">
        <f t="shared" si="15"/>
        <v/>
      </c>
      <c r="E366" s="14" t="str">
        <f t="shared" si="17"/>
        <v/>
      </c>
      <c r="F366" s="14" t="str">
        <f t="shared" si="10"/>
        <v/>
      </c>
      <c r="G366" s="12" t="str">
        <f t="shared" si="11"/>
        <v/>
      </c>
      <c r="H366" s="12" t="str">
        <f t="shared" si="12"/>
        <v/>
      </c>
    </row>
    <row r="367" spans="2:8" ht="12.5" x14ac:dyDescent="0.25">
      <c r="B367" s="12">
        <f t="shared" si="13"/>
        <v>353</v>
      </c>
      <c r="C367" s="12" t="str">
        <f t="shared" si="14"/>
        <v/>
      </c>
      <c r="D367" s="14" t="str">
        <f t="shared" si="15"/>
        <v/>
      </c>
      <c r="E367" s="14" t="str">
        <f t="shared" si="17"/>
        <v/>
      </c>
      <c r="F367" s="14" t="str">
        <f t="shared" si="10"/>
        <v/>
      </c>
      <c r="G367" s="12" t="str">
        <f t="shared" si="11"/>
        <v/>
      </c>
      <c r="H367" s="12" t="str">
        <f t="shared" si="12"/>
        <v/>
      </c>
    </row>
    <row r="368" spans="2:8" ht="12.5" x14ac:dyDescent="0.25">
      <c r="B368" s="12">
        <f t="shared" si="13"/>
        <v>354</v>
      </c>
      <c r="C368" s="12" t="str">
        <f t="shared" si="14"/>
        <v/>
      </c>
      <c r="D368" s="14" t="str">
        <f t="shared" si="15"/>
        <v/>
      </c>
      <c r="E368" s="14" t="str">
        <f t="shared" si="17"/>
        <v/>
      </c>
      <c r="F368" s="14" t="str">
        <f t="shared" si="10"/>
        <v/>
      </c>
      <c r="G368" s="12" t="str">
        <f t="shared" si="11"/>
        <v/>
      </c>
      <c r="H368" s="12" t="str">
        <f t="shared" si="12"/>
        <v/>
      </c>
    </row>
    <row r="369" spans="2:8" ht="12.5" x14ac:dyDescent="0.25">
      <c r="B369" s="12">
        <f t="shared" si="13"/>
        <v>355</v>
      </c>
      <c r="C369" s="12" t="str">
        <f t="shared" si="14"/>
        <v/>
      </c>
      <c r="D369" s="14" t="str">
        <f t="shared" si="15"/>
        <v/>
      </c>
      <c r="E369" s="14" t="str">
        <f t="shared" si="17"/>
        <v/>
      </c>
      <c r="F369" s="14" t="str">
        <f t="shared" si="10"/>
        <v/>
      </c>
      <c r="G369" s="12" t="str">
        <f t="shared" si="11"/>
        <v/>
      </c>
      <c r="H369" s="12" t="str">
        <f t="shared" si="12"/>
        <v/>
      </c>
    </row>
    <row r="370" spans="2:8" ht="12.5" x14ac:dyDescent="0.25">
      <c r="B370" s="12">
        <f t="shared" si="13"/>
        <v>356</v>
      </c>
      <c r="C370" s="12" t="str">
        <f t="shared" si="14"/>
        <v/>
      </c>
      <c r="D370" s="14" t="str">
        <f t="shared" si="15"/>
        <v/>
      </c>
      <c r="E370" s="14" t="str">
        <f t="shared" si="17"/>
        <v/>
      </c>
      <c r="F370" s="14" t="str">
        <f t="shared" si="10"/>
        <v/>
      </c>
      <c r="G370" s="12" t="str">
        <f t="shared" si="11"/>
        <v/>
      </c>
      <c r="H370" s="12" t="str">
        <f t="shared" si="12"/>
        <v/>
      </c>
    </row>
    <row r="371" spans="2:8" ht="12.5" x14ac:dyDescent="0.25">
      <c r="B371" s="12">
        <f t="shared" si="13"/>
        <v>357</v>
      </c>
      <c r="C371" s="12" t="str">
        <f t="shared" si="14"/>
        <v/>
      </c>
      <c r="D371" s="14" t="str">
        <f t="shared" si="15"/>
        <v/>
      </c>
      <c r="E371" s="14" t="str">
        <f t="shared" si="17"/>
        <v/>
      </c>
      <c r="F371" s="14" t="str">
        <f t="shared" si="10"/>
        <v/>
      </c>
      <c r="G371" s="12" t="str">
        <f t="shared" si="11"/>
        <v/>
      </c>
      <c r="H371" s="12" t="str">
        <f t="shared" si="12"/>
        <v/>
      </c>
    </row>
    <row r="372" spans="2:8" ht="12.5" x14ac:dyDescent="0.25">
      <c r="B372" s="12">
        <f t="shared" si="13"/>
        <v>358</v>
      </c>
      <c r="C372" s="12" t="str">
        <f t="shared" si="14"/>
        <v/>
      </c>
      <c r="D372" s="14" t="str">
        <f t="shared" si="15"/>
        <v/>
      </c>
      <c r="E372" s="14" t="str">
        <f t="shared" si="17"/>
        <v/>
      </c>
      <c r="F372" s="14" t="str">
        <f t="shared" si="10"/>
        <v/>
      </c>
      <c r="G372" s="12" t="str">
        <f t="shared" si="11"/>
        <v/>
      </c>
      <c r="H372" s="12" t="str">
        <f t="shared" si="12"/>
        <v/>
      </c>
    </row>
    <row r="373" spans="2:8" ht="12.5" x14ac:dyDescent="0.25">
      <c r="B373" s="12">
        <f t="shared" si="13"/>
        <v>359</v>
      </c>
      <c r="C373" s="12" t="str">
        <f t="shared" si="14"/>
        <v/>
      </c>
      <c r="D373" s="14" t="str">
        <f t="shared" si="15"/>
        <v/>
      </c>
      <c r="E373" s="14" t="str">
        <f t="shared" si="17"/>
        <v/>
      </c>
      <c r="F373" s="14" t="str">
        <f t="shared" si="10"/>
        <v/>
      </c>
      <c r="G373" s="12" t="str">
        <f t="shared" si="11"/>
        <v/>
      </c>
      <c r="H373" s="12" t="str">
        <f t="shared" si="12"/>
        <v/>
      </c>
    </row>
    <row r="374" spans="2:8" ht="12.5" x14ac:dyDescent="0.25">
      <c r="B374" s="12">
        <f t="shared" si="13"/>
        <v>360</v>
      </c>
      <c r="C374" s="12" t="str">
        <f t="shared" si="14"/>
        <v/>
      </c>
      <c r="D374" s="14" t="str">
        <f t="shared" si="15"/>
        <v/>
      </c>
      <c r="E374" s="14" t="str">
        <f t="shared" si="17"/>
        <v/>
      </c>
      <c r="F374" s="14" t="str">
        <f t="shared" si="10"/>
        <v/>
      </c>
      <c r="G374" s="12" t="str">
        <f t="shared" si="11"/>
        <v/>
      </c>
      <c r="H374" s="12" t="str">
        <f t="shared" si="1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mtgage amortization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Maurizio Tiso</cp:lastModifiedBy>
  <dcterms:created xsi:type="dcterms:W3CDTF">2025-08-18T18:15:38Z</dcterms:created>
  <dcterms:modified xsi:type="dcterms:W3CDTF">2025-08-18T18:15:38Z</dcterms:modified>
</cp:coreProperties>
</file>