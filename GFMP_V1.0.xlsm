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GFMP" defaultThemeVersion="202300"/>
  <mc:AlternateContent xmlns:mc="http://schemas.openxmlformats.org/markup-compatibility/2006">
    <mc:Choice Requires="x15">
      <x15ac:absPath xmlns:x15ac="http://schemas.microsoft.com/office/spreadsheetml/2010/11/ac" url="C:\Users\raymond.keya\source\repos\GFMP\"/>
    </mc:Choice>
  </mc:AlternateContent>
  <xr:revisionPtr revIDLastSave="0" documentId="13_ncr:1_{9E99F993-7628-46FD-97E4-32A7C0D09646}" xr6:coauthVersionLast="47" xr6:coauthVersionMax="47" xr10:uidLastSave="{00000000-0000-0000-0000-000000000000}"/>
  <bookViews>
    <workbookView xWindow="-120" yWindow="-120" windowWidth="25840" windowHeight="15533" activeTab="1" xr2:uid="{1683A99B-DE25-42CB-A00A-3FF1E1A6B4DC}"/>
  </bookViews>
  <sheets>
    <sheet name="APP_HOME" sheetId="29" r:id="rId1"/>
    <sheet name="NET_WORTH" sheetId="236" r:id="rId2"/>
    <sheet name="DASHBOARD" sheetId="235" r:id="rId3"/>
    <sheet name="BUDGET_ZBB" sheetId="224" r:id="rId4"/>
    <sheet name="DIM_Compte" sheetId="2" state="veryHidden" r:id="rId5"/>
    <sheet name="DIM_Categorie" sheetId="3" state="veryHidden" r:id="rId6"/>
    <sheet name="DIM_Tiers" sheetId="4" state="veryHidden" r:id="rId7"/>
    <sheet name="FACT_Transaction" sheetId="5" state="veryHidden" r:id="rId8"/>
    <sheet name="FACT_Budget" sheetId="6" state="veryHidden" r:id="rId9"/>
    <sheet name="SYS_Config" sheetId="7" state="very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<sst xmlns="http://schemas.openxmlformats.org/spreadsheetml/2006/main" count="979" uniqueCount="662">
  <si>
    <t>ID_Compte</t>
  </si>
  <si>
    <t>Nom_Compte</t>
  </si>
  <si>
    <t>Classe_Actif</t>
  </si>
  <si>
    <t>Devise_Defaut</t>
  </si>
  <si>
    <t>Est_Actif</t>
  </si>
  <si>
    <t>ID_Categorie</t>
  </si>
  <si>
    <t>Nom_Categorie</t>
  </si>
  <si>
    <t>Type_Flux</t>
  </si>
  <si>
    <t>ID_Tiers</t>
  </si>
  <si>
    <t>Nom_Tiers</t>
  </si>
  <si>
    <t>Type_Tiers</t>
  </si>
  <si>
    <t>ID_Trans</t>
  </si>
  <si>
    <t>Date_Trans</t>
  </si>
  <si>
    <t>Montant</t>
  </si>
  <si>
    <t>Devise</t>
  </si>
  <si>
    <t>Notes</t>
  </si>
  <si>
    <t>SYS_User</t>
  </si>
  <si>
    <t>SYS_Date</t>
  </si>
  <si>
    <t>ID_Budget</t>
  </si>
  <si>
    <t>Mois_Annee</t>
  </si>
  <si>
    <t>Montant_Alloue</t>
  </si>
  <si>
    <t>Parametre</t>
  </si>
  <si>
    <t>Valeur</t>
  </si>
  <si>
    <t>Description</t>
  </si>
  <si>
    <t>SEQ_T_DIM_Compte</t>
  </si>
  <si>
    <t>Séquence T_DIM_Compte</t>
  </si>
  <si>
    <t>Compte Courant Principal</t>
  </si>
  <si>
    <t>LIQUIDITE</t>
  </si>
  <si>
    <t>MUR</t>
  </si>
  <si>
    <t>OUI</t>
  </si>
  <si>
    <t>Livret d'Épargne</t>
  </si>
  <si>
    <t>Portefeuille Espèces</t>
  </si>
  <si>
    <t>Assurance Vie</t>
  </si>
  <si>
    <t>INVESTISSEMENT</t>
  </si>
  <si>
    <t>EUR</t>
  </si>
  <si>
    <t>PEA / Actions</t>
  </si>
  <si>
    <t>Portefeuille Crypto</t>
  </si>
  <si>
    <t>USD</t>
  </si>
  <si>
    <t>Prêt Immobilier</t>
  </si>
  <si>
    <t>DETTE</t>
  </si>
  <si>
    <t>Carte de Crédit (Différé)</t>
  </si>
  <si>
    <t>Autre (Préciser...)</t>
  </si>
  <si>
    <t>AUTRE</t>
  </si>
  <si>
    <t>SEQ_T_DIM_Categorie</t>
  </si>
  <si>
    <t>Séquence T_DIM_Categorie</t>
  </si>
  <si>
    <t>Salaire / Revenus Pro</t>
  </si>
  <si>
    <t>REVENU</t>
  </si>
  <si>
    <t>Intérêts / Dividendes</t>
  </si>
  <si>
    <t>Aides / Bourses / Allocations</t>
  </si>
  <si>
    <t>Logement (Loyer/Prêt/Charges)</t>
  </si>
  <si>
    <t>DEPENSE</t>
  </si>
  <si>
    <t>Alimentation &amp; Supermarché</t>
  </si>
  <si>
    <t>Transports (Essence/Assurance)</t>
  </si>
  <si>
    <t>Santé &amp; Mutuelle</t>
  </si>
  <si>
    <t>Loisirs, Sorties &amp; Vacances</t>
  </si>
  <si>
    <t>Impôts &amp; Taxes</t>
  </si>
  <si>
    <t>Virement Interne (Épargne)</t>
  </si>
  <si>
    <t>TRANSFERT</t>
  </si>
  <si>
    <t>SEQ_T_DIM_Tiers</t>
  </si>
  <si>
    <t>Séquence T_DIM_Tiers</t>
  </si>
  <si>
    <t>Employeur principal</t>
  </si>
  <si>
    <t>ENTREPRISE</t>
  </si>
  <si>
    <t>Banque / Courtier</t>
  </si>
  <si>
    <t>FINANCE</t>
  </si>
  <si>
    <t>État / Impôts</t>
  </si>
  <si>
    <t>INSTITUTION</t>
  </si>
  <si>
    <t>Supermarché / Alimentaire</t>
  </si>
  <si>
    <t>COMMERCE</t>
  </si>
  <si>
    <t>Propriétaire / Syndic</t>
  </si>
  <si>
    <t>IMMOBILIER</t>
  </si>
  <si>
    <t>Station Service</t>
  </si>
  <si>
    <t>FR</t>
  </si>
  <si>
    <t>KEY</t>
  </si>
  <si>
    <t>EN</t>
  </si>
  <si>
    <t>ES</t>
  </si>
  <si>
    <t>APP_TITLE</t>
  </si>
  <si>
    <t>HUB_LOC</t>
  </si>
  <si>
    <t>SAISIE TRANSACTION</t>
  </si>
  <si>
    <t>ENTER TRANSACTION</t>
  </si>
  <si>
    <t>INGRESAR TRANSACCIÓN</t>
  </si>
  <si>
    <t>DASHBOARD CASHFLOW</t>
  </si>
  <si>
    <t>CASHFLOW DASHBOARD</t>
  </si>
  <si>
    <t>PANEL DE FLUJO DE CAJA</t>
  </si>
  <si>
    <t>PILOTAGE BUDGÉTAIRE</t>
  </si>
  <si>
    <t>BUDGET TRACKING</t>
  </si>
  <si>
    <t>CONTROL PRESUPUESTARIO</t>
  </si>
  <si>
    <t>BILAN PATRIMONIAL</t>
  </si>
  <si>
    <t>NET WORTH STATEMENT</t>
  </si>
  <si>
    <t>BALANCE PATRIMONIAL</t>
  </si>
  <si>
    <t>PT</t>
  </si>
  <si>
    <t>DE</t>
  </si>
  <si>
    <t>SYSTÈME FINANCIER PERSONNEL</t>
  </si>
  <si>
    <t>PERSONAL FINANCE SYSTEM</t>
  </si>
  <si>
    <t>SISTEMA FINANCIERO PERSONAL</t>
  </si>
  <si>
    <t>SISTEMA FINANCEIRO PESSOAL</t>
  </si>
  <si>
    <t>PERSÖNLICHES FINANZSYSTEM</t>
  </si>
  <si>
    <t>SAISIE_T</t>
  </si>
  <si>
    <t>INSERIR TRANSAÇÃO</t>
  </si>
  <si>
    <t>TRANSAKTION ERFASSEN</t>
  </si>
  <si>
    <t>SAISIE_D</t>
  </si>
  <si>
    <t>DASH_T</t>
  </si>
  <si>
    <t>PAINEL DE FLUXO DE CAIXA</t>
  </si>
  <si>
    <t>CASHFLOW-DASHBOARD</t>
  </si>
  <si>
    <t>DASH_D</t>
  </si>
  <si>
    <t>Analyser les flux consolidés.</t>
  </si>
  <si>
    <t>Analyze consolidated flows.</t>
  </si>
  <si>
    <t>Analizar flujos consolidados.</t>
  </si>
  <si>
    <t>Analisar fluxos consolidados.</t>
  </si>
  <si>
    <t>Konsolidierte Flüsse analysieren.</t>
  </si>
  <si>
    <t>BUDG_T</t>
  </si>
  <si>
    <t>CONTROLE ORÇAMENTÁRIO</t>
  </si>
  <si>
    <t>BUDGETKONTROLLE</t>
  </si>
  <si>
    <t>BUDG_D</t>
  </si>
  <si>
    <t>Track budget envelopes.</t>
  </si>
  <si>
    <t>Seguimiento de presupuestos.</t>
  </si>
  <si>
    <t>Acompanhamento de orçamentos.</t>
  </si>
  <si>
    <t>Verfolgung der Budgets.</t>
  </si>
  <si>
    <t>NETW_T</t>
  </si>
  <si>
    <t>BALANÇO PATRIMONIAL</t>
  </si>
  <si>
    <t>VERMÖGENSBILANZ</t>
  </si>
  <si>
    <t>NETW_D</t>
  </si>
  <si>
    <t>Calcul de la Valeur Nette.</t>
  </si>
  <si>
    <t>Net Worth calculation.</t>
  </si>
  <si>
    <t>Cálculo del patrimonio neto.</t>
  </si>
  <si>
    <t>Cálculo do patrimônio líquido.</t>
  </si>
  <si>
    <t>Berechnung des Nettovermögens.</t>
  </si>
  <si>
    <t>WELCOME</t>
  </si>
  <si>
    <t>TT_LANG</t>
  </si>
  <si>
    <t>Suivi des enveloppes (ZBB).</t>
  </si>
  <si>
    <t xml:space="preserve">Changer la langue : </t>
  </si>
  <si>
    <t xml:space="preserve">Change language : </t>
  </si>
  <si>
    <t xml:space="preserve">Cambiar idioma : </t>
  </si>
  <si>
    <t xml:space="preserve">Mudar idioma : </t>
  </si>
  <si>
    <t xml:space="preserve">Sprache ändern : </t>
  </si>
  <si>
    <t>IT</t>
  </si>
  <si>
    <t>INSERISCI TRANSAZIONE</t>
  </si>
  <si>
    <t>DASHBOARD FLUSSI</t>
  </si>
  <si>
    <t>Analizza i flussi consolidati.</t>
  </si>
  <si>
    <t>CONTROLLO BUDGET</t>
  </si>
  <si>
    <t>Traccia i budget.</t>
  </si>
  <si>
    <t>BILANCIO PATRIMONIALE</t>
  </si>
  <si>
    <t>Calcolo del patrimonio netto.</t>
  </si>
  <si>
    <t xml:space="preserve">Cambia lingua : </t>
  </si>
  <si>
    <t>NL</t>
  </si>
  <si>
    <t>SV</t>
  </si>
  <si>
    <t>SISTEMA FINANZIARIO</t>
  </si>
  <si>
    <t>FINANCIEEL SYSTEEM</t>
  </si>
  <si>
    <t>FINANSSYSTEM</t>
  </si>
  <si>
    <t>TRANSACTIE INVOEREN</t>
  </si>
  <si>
    <t>ANGE TRANSAKTION</t>
  </si>
  <si>
    <t>Analyseer de stromen.</t>
  </si>
  <si>
    <t>Analysera flöden.</t>
  </si>
  <si>
    <t>BUDGETBEHEER</t>
  </si>
  <si>
    <t>BUDGETKONTROLL</t>
  </si>
  <si>
    <t>Volg uw budgetten.</t>
  </si>
  <si>
    <t>Spåra dina budgetar.</t>
  </si>
  <si>
    <t>VERMOGENSOVERZICHT</t>
  </si>
  <si>
    <t>FÖRMÖGENHETSRAPPORT</t>
  </si>
  <si>
    <t>Berekening nettowaarde.</t>
  </si>
  <si>
    <t>Beräkning av nettovärde.</t>
  </si>
  <si>
    <t xml:space="preserve">Taal wijzigen : </t>
  </si>
  <si>
    <t xml:space="preserve">Ändra språk : </t>
  </si>
  <si>
    <t>Hub Central</t>
  </si>
  <si>
    <t>Central Hub</t>
  </si>
  <si>
    <t>Centro Principal</t>
  </si>
  <si>
    <t>Zentraler Hub</t>
  </si>
  <si>
    <t>Hub Centrale</t>
  </si>
  <si>
    <t>Centrale Hub</t>
  </si>
  <si>
    <t>TOTAL REVENUS</t>
  </si>
  <si>
    <t>TOTAL DÉPENSES</t>
  </si>
  <si>
    <t>CASHFLOW NET</t>
  </si>
  <si>
    <t>TYPE DE FLUX</t>
  </si>
  <si>
    <t>KPI_INC</t>
  </si>
  <si>
    <t>KPI_EXP</t>
  </si>
  <si>
    <t>KPI_NET</t>
  </si>
  <si>
    <t>FRM_DATE</t>
  </si>
  <si>
    <t>FRM_COMPTE</t>
  </si>
  <si>
    <t>FRM_CAT</t>
  </si>
  <si>
    <t>FRM_TIERS</t>
  </si>
  <si>
    <t>FRM_MONTANT</t>
  </si>
  <si>
    <t>FRM_DEVISE</t>
  </si>
  <si>
    <t>COL_TYPE</t>
  </si>
  <si>
    <t>FRM_DESC</t>
  </si>
  <si>
    <t>NO_DATA</t>
  </si>
  <si>
    <t>FRM_TITLE</t>
  </si>
  <si>
    <t>Saisie de Transaction</t>
  </si>
  <si>
    <t>Transaction Entry</t>
  </si>
  <si>
    <t>Ingreso de Transacción</t>
  </si>
  <si>
    <t>Registro de Transação</t>
  </si>
  <si>
    <t>Transaktion Erfassen</t>
  </si>
  <si>
    <t>Inserimento Transazione</t>
  </si>
  <si>
    <t>Transactie Invoer</t>
  </si>
  <si>
    <t>Transaktionsinmatning</t>
  </si>
  <si>
    <t>FRM_NEW</t>
  </si>
  <si>
    <t>Précisez :</t>
  </si>
  <si>
    <t>Specify :</t>
  </si>
  <si>
    <t>Especificar :</t>
  </si>
  <si>
    <t>Angeben :</t>
  </si>
  <si>
    <t>Specifica :</t>
  </si>
  <si>
    <t>Specificeer :</t>
  </si>
  <si>
    <t>Ange :</t>
  </si>
  <si>
    <t>FRM_SAVE</t>
  </si>
  <si>
    <t>ENREGISTRER</t>
  </si>
  <si>
    <t>SAVE</t>
  </si>
  <si>
    <t>GUARDAR</t>
  </si>
  <si>
    <t>SALVAR</t>
  </si>
  <si>
    <t>SPEICHERN</t>
  </si>
  <si>
    <t>SALVA</t>
  </si>
  <si>
    <t>OPSLAAN</t>
  </si>
  <si>
    <t>SPARA</t>
  </si>
  <si>
    <t>FRM_CANCEL</t>
  </si>
  <si>
    <t>ANNULER</t>
  </si>
  <si>
    <t>CANCEL</t>
  </si>
  <si>
    <t>CANCELAR</t>
  </si>
  <si>
    <t>ABBRECHEN</t>
  </si>
  <si>
    <t>ANNULLA</t>
  </si>
  <si>
    <t>ANNULEREN</t>
  </si>
  <si>
    <t>AVBRYT</t>
  </si>
  <si>
    <t>MSG_ERR_MISSING</t>
  </si>
  <si>
    <t>Sélection incomplète.</t>
  </si>
  <si>
    <t>Missing selection.</t>
  </si>
  <si>
    <t>Selección incompleta.</t>
  </si>
  <si>
    <t>Seleção incompleta.</t>
  </si>
  <si>
    <t>Fehlende Auswahl.</t>
  </si>
  <si>
    <t>Selezione incompleta.</t>
  </si>
  <si>
    <t>Ontbrekende selectie.</t>
  </si>
  <si>
    <t>Saknad markering.</t>
  </si>
  <si>
    <t>MSG_ERR_AMT</t>
  </si>
  <si>
    <t>Montant invalide.</t>
  </si>
  <si>
    <t>Invalid amount.</t>
  </si>
  <si>
    <t>Monto inválido.</t>
  </si>
  <si>
    <t>Valor inválido.</t>
  </si>
  <si>
    <t>Ungültiger Betrag.</t>
  </si>
  <si>
    <t>Importo non valido.</t>
  </si>
  <si>
    <t>Ongeldig bedrag.</t>
  </si>
  <si>
    <t>Ogiltigt belopp.</t>
  </si>
  <si>
    <t>MSG_OK</t>
  </si>
  <si>
    <t>Enregistré avec succès !</t>
  </si>
  <si>
    <t>Saved successfully!</t>
  </si>
  <si>
    <t>¡Guardado con éxito!</t>
  </si>
  <si>
    <t>Salvo com sucesso!</t>
  </si>
  <si>
    <t>Erfolgreich gespeichert!</t>
  </si>
  <si>
    <t>Salvato con successo!</t>
  </si>
  <si>
    <t>Succesvol opgeslagen!</t>
  </si>
  <si>
    <t>Sparad!</t>
  </si>
  <si>
    <t>TT_F_DATE</t>
  </si>
  <si>
    <t>TT_F_COMPTE</t>
  </si>
  <si>
    <t>TT_F_CAT</t>
  </si>
  <si>
    <t>Sélectionnez la catégorie.</t>
  </si>
  <si>
    <t>Välj kategori.</t>
  </si>
  <si>
    <t>TT_F_TIERS</t>
  </si>
  <si>
    <t>TT_F_MONTANT</t>
  </si>
  <si>
    <t>TT_F_DEVISE</t>
  </si>
  <si>
    <t>TT_F_DESC</t>
  </si>
  <si>
    <t>TT_F_SAVE</t>
  </si>
  <si>
    <t>TT_F_CANCEL</t>
  </si>
  <si>
    <t>KPI_ASSETS</t>
  </si>
  <si>
    <t>TOTAL ACTIFS</t>
  </si>
  <si>
    <t>TOTAL ASSETS</t>
  </si>
  <si>
    <t>TOTAL ACTIVOS</t>
  </si>
  <si>
    <t>TOTAL DE ATIVOS</t>
  </si>
  <si>
    <t>GESAMTVERMÖGEN</t>
  </si>
  <si>
    <t>TOTALE ATTIVITÀ</t>
  </si>
  <si>
    <t>TOTALE ACTIVA</t>
  </si>
  <si>
    <t>TOTALA TILLGÅNGAR</t>
  </si>
  <si>
    <t>KPI_LIAB</t>
  </si>
  <si>
    <t>TOTAL PASSIFS</t>
  </si>
  <si>
    <t>TOTAL LIABILITIES</t>
  </si>
  <si>
    <t>TOTAL PASIVOS</t>
  </si>
  <si>
    <t>TOTAL DE PASSIVOS</t>
  </si>
  <si>
    <t>GESAMTVERBINDLICHKEITEN</t>
  </si>
  <si>
    <t>TOTALE PASSIVITÀ</t>
  </si>
  <si>
    <t>TOTALE PASSIVA</t>
  </si>
  <si>
    <t>TOTALA SKULDER</t>
  </si>
  <si>
    <t>KPI_NW</t>
  </si>
  <si>
    <t>VALEUR NETTE</t>
  </si>
  <si>
    <t>NET WORTH</t>
  </si>
  <si>
    <t>PATRIMONIO NETO</t>
  </si>
  <si>
    <t>PATRIMÔNIO LÍQUIDO</t>
  </si>
  <si>
    <t>NETTOVERMÖGEN</t>
  </si>
  <si>
    <t>PATRIMONIO NETTO</t>
  </si>
  <si>
    <t>NETTOWAARDE</t>
  </si>
  <si>
    <t>NETTOFÖRMÖGENHET</t>
  </si>
  <si>
    <t>NW_COMPTE</t>
  </si>
  <si>
    <t>COMPTE FINANCIER</t>
  </si>
  <si>
    <t>FINANCIAL ACCOUNT</t>
  </si>
  <si>
    <t>CUENTA FINANCIERA</t>
  </si>
  <si>
    <t>CONTA FINANCEIRA</t>
  </si>
  <si>
    <t>FINANZKONTO</t>
  </si>
  <si>
    <t>CONTO FINANZIARIO</t>
  </si>
  <si>
    <t>FINANCIËLE REKENING</t>
  </si>
  <si>
    <t>FINANSIELLT KONTO</t>
  </si>
  <si>
    <t>NW_CLASS</t>
  </si>
  <si>
    <t>CLASSE D'ACTIF</t>
  </si>
  <si>
    <t>ASSET CLASS</t>
  </si>
  <si>
    <t>CLASE DE ACTIVO</t>
  </si>
  <si>
    <t>CLASSE DE ATIVO</t>
  </si>
  <si>
    <t>ANLAGEKLASSE</t>
  </si>
  <si>
    <t>CLASSE DI INVESTIMENTO</t>
  </si>
  <si>
    <t>ACTIVA KLASSE</t>
  </si>
  <si>
    <t>TILLGÅNGSKLASS</t>
  </si>
  <si>
    <t>NW_BALANCE</t>
  </si>
  <si>
    <t>TOTAL INCOME</t>
  </si>
  <si>
    <t>TOTAL INGRESOS</t>
  </si>
  <si>
    <t>RENDA TOTAL</t>
  </si>
  <si>
    <t>GESAMTEINKOMMEN</t>
  </si>
  <si>
    <t>TOTALE ENTRATE</t>
  </si>
  <si>
    <t>TOTALE INKOMSTEN</t>
  </si>
  <si>
    <t>TOTAL INKOMST</t>
  </si>
  <si>
    <t>TOTAL EXPENSES</t>
  </si>
  <si>
    <t>TOTAL GASTOS</t>
  </si>
  <si>
    <t>DESPESAS TOTAIS</t>
  </si>
  <si>
    <t>GESAMTAUSGABEN</t>
  </si>
  <si>
    <t>TOTALE USCITE</t>
  </si>
  <si>
    <t>TOTALE UITGAVEN</t>
  </si>
  <si>
    <t>TOTALA UTGIFTER</t>
  </si>
  <si>
    <t>NET CASHFLOW</t>
  </si>
  <si>
    <t>FLUJO NETO</t>
  </si>
  <si>
    <t>FLUXO LÍQUIDO</t>
  </si>
  <si>
    <t>NETTO-CASHFLOW</t>
  </si>
  <si>
    <t>CASHFLOW NETTO</t>
  </si>
  <si>
    <t>NETTO CASHFLOW</t>
  </si>
  <si>
    <t>NETTO KASSAFLÖDE</t>
  </si>
  <si>
    <t>BTN_BACK</t>
  </si>
  <si>
    <t>RETOUR AU MENU</t>
  </si>
  <si>
    <t>BACK TO MENU</t>
  </si>
  <si>
    <t>VOLVER AL MENÚ</t>
  </si>
  <si>
    <t>VOLTAR AO MENU</t>
  </si>
  <si>
    <t>ZURÜCK ZUM MENÜ</t>
  </si>
  <si>
    <t>TORNA AL MENU</t>
  </si>
  <si>
    <t>TERUG NAAR MENU</t>
  </si>
  <si>
    <t>TILLBAKA TILL MENY</t>
  </si>
  <si>
    <t>FLOW TYPE</t>
  </si>
  <si>
    <t>TIPO DE FLUJO</t>
  </si>
  <si>
    <t>TIPO DE FLUXO</t>
  </si>
  <si>
    <t>FLUSSTYP</t>
  </si>
  <si>
    <t>TIPO DI FLUSSO</t>
  </si>
  <si>
    <t>STROOMTYPE</t>
  </si>
  <si>
    <t>FLÖDESTYP</t>
  </si>
  <si>
    <t>Currency</t>
  </si>
  <si>
    <t>Divisa</t>
  </si>
  <si>
    <t>Moeda</t>
  </si>
  <si>
    <t>Währung</t>
  </si>
  <si>
    <t>Valuta</t>
  </si>
  <si>
    <t>Keine Konten</t>
  </si>
  <si>
    <t>Nessun conto</t>
  </si>
  <si>
    <t>Geen rekeningen</t>
  </si>
  <si>
    <t>Inga konton</t>
  </si>
  <si>
    <t>CATEGORÍA</t>
  </si>
  <si>
    <t>BUDG_TITLE</t>
  </si>
  <si>
    <t>BTN_ALLOC</t>
  </si>
  <si>
    <t>ALLOUER BUDGET</t>
  </si>
  <si>
    <t>ALLOCATE BUDGET</t>
  </si>
  <si>
    <t>ASIGNAR PRESUPUESTO</t>
  </si>
  <si>
    <t>ALOCAR ORÇAMENTO</t>
  </si>
  <si>
    <t>BUDGET ZUWEISEN</t>
  </si>
  <si>
    <t>ASSEGNA BUDGET</t>
  </si>
  <si>
    <t>BUDGET TOEWIJZEN</t>
  </si>
  <si>
    <t>TILLDELA BUDGET</t>
  </si>
  <si>
    <t>KPI_B_ALLO</t>
  </si>
  <si>
    <t>TOTAL ALLOUÉ</t>
  </si>
  <si>
    <t>TOTAL ALLOCATED</t>
  </si>
  <si>
    <t>TOTAL ASIGNADO</t>
  </si>
  <si>
    <t>TOTAL ALOCADO</t>
  </si>
  <si>
    <t>GESAMT ZUGEWIESEN</t>
  </si>
  <si>
    <t>TOTALE ASSEGNATO</t>
  </si>
  <si>
    <t>TOTAAL TOEGEWEZEN</t>
  </si>
  <si>
    <t>TOTALT TILLDELAD</t>
  </si>
  <si>
    <t>KPI_B_SPEN</t>
  </si>
  <si>
    <t>TOTAL DÉPENSÉ</t>
  </si>
  <si>
    <t>TOTAL SPENT</t>
  </si>
  <si>
    <t>TOTAL GASTADO</t>
  </si>
  <si>
    <t>TOTAL GASTO</t>
  </si>
  <si>
    <t>GESAMT AUSGEGEBEN</t>
  </si>
  <si>
    <t>TOTALE SPESO</t>
  </si>
  <si>
    <t>TOTAAL UITGEGEVEN</t>
  </si>
  <si>
    <t>TOTALT SPENDERAT</t>
  </si>
  <si>
    <t>KPI_B_LEFT</t>
  </si>
  <si>
    <t>RESTE À DÉPENSER</t>
  </si>
  <si>
    <t>REMAINING</t>
  </si>
  <si>
    <t>RESTANTE</t>
  </si>
  <si>
    <t>VERBLEIBEND</t>
  </si>
  <si>
    <t>RIMANENTE</t>
  </si>
  <si>
    <t>RESTEREND</t>
  </si>
  <si>
    <t>ÅTERSTÅENDE</t>
  </si>
  <si>
    <t>COL_B_CAT</t>
  </si>
  <si>
    <t>ENVELOPPE (CATÉGORIE)</t>
  </si>
  <si>
    <t>ENVELOPE (CATEGORY)</t>
  </si>
  <si>
    <t>CATEGORIA</t>
  </si>
  <si>
    <t>KATEGORIE</t>
  </si>
  <si>
    <t>CATEGORIE</t>
  </si>
  <si>
    <t>KATEGORI</t>
  </si>
  <si>
    <t>COL_B_ALLO</t>
  </si>
  <si>
    <t>ALLOUÉ</t>
  </si>
  <si>
    <t>ALLOCATED</t>
  </si>
  <si>
    <t>ASIGNADO</t>
  </si>
  <si>
    <t>ALOCADO</t>
  </si>
  <si>
    <t>ZUGEWIESEN</t>
  </si>
  <si>
    <t>ASSEGNATO</t>
  </si>
  <si>
    <t>TOEGEWEZEN</t>
  </si>
  <si>
    <t>TILLDELAD</t>
  </si>
  <si>
    <t>COL_B_REAL</t>
  </si>
  <si>
    <t>RÉALISÉ</t>
  </si>
  <si>
    <t>ACTUAL</t>
  </si>
  <si>
    <t>REAL</t>
  </si>
  <si>
    <t>REALIZADO</t>
  </si>
  <si>
    <t>IST-WERT</t>
  </si>
  <si>
    <t>REALE</t>
  </si>
  <si>
    <t>WERKELIJK</t>
  </si>
  <si>
    <t>FAKTISKT</t>
  </si>
  <si>
    <t>COL_B_DIFF</t>
  </si>
  <si>
    <t>ÉCART</t>
  </si>
  <si>
    <t>VARIANCE</t>
  </si>
  <si>
    <t>DIFERENCIA</t>
  </si>
  <si>
    <t>DIFERENÇA</t>
  </si>
  <si>
    <t>ABWEICHUNG</t>
  </si>
  <si>
    <t>VARIAZIONE</t>
  </si>
  <si>
    <t>VERSCHIL</t>
  </si>
  <si>
    <t>AVVIKELSE</t>
  </si>
  <si>
    <t>COL_B_PROG</t>
  </si>
  <si>
    <t>CONSOMMATION</t>
  </si>
  <si>
    <t>CONSUMPTION</t>
  </si>
  <si>
    <t>CONSUMO</t>
  </si>
  <si>
    <t>VERBRAUCH</t>
  </si>
  <si>
    <t>VERBRUIK</t>
  </si>
  <si>
    <t>FÖRBRUKNING</t>
  </si>
  <si>
    <t>NO_BUDG</t>
  </si>
  <si>
    <t>Aucun budget alloué</t>
  </si>
  <si>
    <t>No budget allocated</t>
  </si>
  <si>
    <t>Sin presupuesto</t>
  </si>
  <si>
    <t>Sem orçamento</t>
  </si>
  <si>
    <t>Kein Budget</t>
  </si>
  <si>
    <t>Nessun budget</t>
  </si>
  <si>
    <t>Geen budget</t>
  </si>
  <si>
    <t>Ingen budget</t>
  </si>
  <si>
    <t>COL_YEAR</t>
  </si>
  <si>
    <t>Année</t>
  </si>
  <si>
    <t>Year</t>
  </si>
  <si>
    <t>Año</t>
  </si>
  <si>
    <t>Ano</t>
  </si>
  <si>
    <t>Jahr</t>
  </si>
  <si>
    <t>Anno</t>
  </si>
  <si>
    <t>Jaar</t>
  </si>
  <si>
    <t>År</t>
  </si>
  <si>
    <t>COL_MONTH</t>
  </si>
  <si>
    <t>Mois</t>
  </si>
  <si>
    <t>Month</t>
  </si>
  <si>
    <t>Mes</t>
  </si>
  <si>
    <t>Mês</t>
  </si>
  <si>
    <t>Monat</t>
  </si>
  <si>
    <t>Mese</t>
  </si>
  <si>
    <t>Maand</t>
  </si>
  <si>
    <t>Månad</t>
  </si>
  <si>
    <t>SOLDE</t>
  </si>
  <si>
    <t>BALANCE</t>
  </si>
  <si>
    <t>SALDO</t>
  </si>
  <si>
    <t>GUTHABEN</t>
  </si>
  <si>
    <t>Aucun compte actif à cette date</t>
  </si>
  <si>
    <t>No active accounts on this date</t>
  </si>
  <si>
    <t>Sin cuentas en esta fecha</t>
  </si>
  <si>
    <t>Sem contas nesta data</t>
  </si>
  <si>
    <t>Date (JJ/MM/AAAA) :</t>
  </si>
  <si>
    <t>Date (DD/MM/YYYY) :</t>
  </si>
  <si>
    <t>Fecha (DD/MM/AAAA) :</t>
  </si>
  <si>
    <t>Data (DD/MM/AAAA) :</t>
  </si>
  <si>
    <t>Datum (TT/MM/JJJJ) :</t>
  </si>
  <si>
    <t>Data (GG/MM/AAAA) :</t>
  </si>
  <si>
    <t>Datum (DD/MM/JJJJ) :</t>
  </si>
  <si>
    <t>Datum (DD/MM/ÅÅÅÅ) :</t>
  </si>
  <si>
    <t>Compte :</t>
  </si>
  <si>
    <t>Account :</t>
  </si>
  <si>
    <t>Cuenta :</t>
  </si>
  <si>
    <t>Conta :</t>
  </si>
  <si>
    <t>Konto :</t>
  </si>
  <si>
    <t>Conto :</t>
  </si>
  <si>
    <t>Rekening :</t>
  </si>
  <si>
    <t>Catégorie :</t>
  </si>
  <si>
    <t>Category :</t>
  </si>
  <si>
    <t>Categoría :</t>
  </si>
  <si>
    <t>Categoria :</t>
  </si>
  <si>
    <t>Kategorie :</t>
  </si>
  <si>
    <t>Categorie :</t>
  </si>
  <si>
    <t>Kategori :</t>
  </si>
  <si>
    <t>Tiers :</t>
  </si>
  <si>
    <t>Payee/Payer :</t>
  </si>
  <si>
    <t>Tercero :</t>
  </si>
  <si>
    <t>Terceiro :</t>
  </si>
  <si>
    <t>Partei :</t>
  </si>
  <si>
    <t>Terzo :</t>
  </si>
  <si>
    <t>Partij :</t>
  </si>
  <si>
    <t>Part :</t>
  </si>
  <si>
    <t>Montant :</t>
  </si>
  <si>
    <t>Amount :</t>
  </si>
  <si>
    <t>Monto :</t>
  </si>
  <si>
    <t>Valor :</t>
  </si>
  <si>
    <t>Betrag :</t>
  </si>
  <si>
    <t>Importo :</t>
  </si>
  <si>
    <t>Bedrag :</t>
  </si>
  <si>
    <t>Belopp :</t>
  </si>
  <si>
    <t>Notes :</t>
  </si>
  <si>
    <t>Notas :</t>
  </si>
  <si>
    <t>Notizen :</t>
  </si>
  <si>
    <t>Note :</t>
  </si>
  <si>
    <t>Notities :</t>
  </si>
  <si>
    <t>Anteckningar :</t>
  </si>
  <si>
    <t>Ajouter un revenu, dépense ou virement.</t>
  </si>
  <si>
    <t>Add an income, expense, or transfer.</t>
  </si>
  <si>
    <t>Añadir ingreso, gasto o transferencia.</t>
  </si>
  <si>
    <t>Adicionar renda, despesa ou transferência.</t>
  </si>
  <si>
    <t>Einkommen, Ausgabe oder Transfer.</t>
  </si>
  <si>
    <t>Aggiungi entrata, uscita o bonifico.</t>
  </si>
  <si>
    <t>Voeg inkomsten, uitgaven of overboeking toe.</t>
  </si>
  <si>
    <t>Lägg till inkomst, utgift eller överföring.</t>
  </si>
  <si>
    <t>Sélectionnez un module d'application ci-dessous pour démarrer.</t>
  </si>
  <si>
    <t>Select an application module below to get started.</t>
  </si>
  <si>
    <t>Seleccione un módulo de aplicación a continuación.</t>
  </si>
  <si>
    <t>Selecione um módulo de aplicativo abaixo.</t>
  </si>
  <si>
    <t>Wählen Sie unten ein Anwendungsmodul aus.</t>
  </si>
  <si>
    <t>Seleziona un modulo dell'applicazione di seguito.</t>
  </si>
  <si>
    <t>Selecteer hieronder een applicatiemodule.</t>
  </si>
  <si>
    <t>Välj en applikationsmodul nedan.</t>
  </si>
  <si>
    <t>Saisissez la date.</t>
  </si>
  <si>
    <t>Enter date.</t>
  </si>
  <si>
    <t>Ingrese fecha.</t>
  </si>
  <si>
    <t>Insira data.</t>
  </si>
  <si>
    <t>Datum eingeben.</t>
  </si>
  <si>
    <t>Inserisci data.</t>
  </si>
  <si>
    <t>Voer datum in.</t>
  </si>
  <si>
    <t>Ange datum.</t>
  </si>
  <si>
    <t>Choisissez le compte.</t>
  </si>
  <si>
    <t>Choose account.</t>
  </si>
  <si>
    <t>Elija cuenta.</t>
  </si>
  <si>
    <t>Escolha conta.</t>
  </si>
  <si>
    <t>Konto wählen.</t>
  </si>
  <si>
    <t>Scegli conto.</t>
  </si>
  <si>
    <t>Kies rekening.</t>
  </si>
  <si>
    <t>Välj konto.</t>
  </si>
  <si>
    <t>Select category.</t>
  </si>
  <si>
    <t>Seleccione categoría.</t>
  </si>
  <si>
    <t>Selecione categoria.</t>
  </si>
  <si>
    <t>Kategorie wählen.</t>
  </si>
  <si>
    <t>Seleziona categoria.</t>
  </si>
  <si>
    <t>Selecteer categorie.</t>
  </si>
  <si>
    <t>Tiers lié.</t>
  </si>
  <si>
    <t>Related party.</t>
  </si>
  <si>
    <t>Tercero relacionado.</t>
  </si>
  <si>
    <t>Terceiro relacionado.</t>
  </si>
  <si>
    <t>Zugehörige Partei.</t>
  </si>
  <si>
    <t>Parte correlata.</t>
  </si>
  <si>
    <t>Gerelateerde partij.</t>
  </si>
  <si>
    <t>Relaterad part.</t>
  </si>
  <si>
    <t>Valeur absolue.</t>
  </si>
  <si>
    <t>Absolute value.</t>
  </si>
  <si>
    <t>Valor absoluto.</t>
  </si>
  <si>
    <t>Absoluter Wert.</t>
  </si>
  <si>
    <t>Valore assoluto.</t>
  </si>
  <si>
    <t>Absolute waarde.</t>
  </si>
  <si>
    <t>Absolut värde.</t>
  </si>
  <si>
    <t>Monnaie.</t>
  </si>
  <si>
    <t>Currency.</t>
  </si>
  <si>
    <t>Moneda.</t>
  </si>
  <si>
    <t>Moeda.</t>
  </si>
  <si>
    <t>Währung.</t>
  </si>
  <si>
    <t>Valuta.</t>
  </si>
  <si>
    <t>Notes.</t>
  </si>
  <si>
    <t>Notas.</t>
  </si>
  <si>
    <t>Notizen.</t>
  </si>
  <si>
    <t>Note.</t>
  </si>
  <si>
    <t>Notities.</t>
  </si>
  <si>
    <t>Anteckningar.</t>
  </si>
  <si>
    <t>Enregistrer.</t>
  </si>
  <si>
    <t>Save.</t>
  </si>
  <si>
    <t>Guardar.</t>
  </si>
  <si>
    <t>Salvar.</t>
  </si>
  <si>
    <t>Speichern.</t>
  </si>
  <si>
    <t>Salva.</t>
  </si>
  <si>
    <t>Opslaan.</t>
  </si>
  <si>
    <t>Spara.</t>
  </si>
  <si>
    <t>Annuler.</t>
  </si>
  <si>
    <t>Cancel.</t>
  </si>
  <si>
    <t>Cancelar.</t>
  </si>
  <si>
    <t>Abbrechen.</t>
  </si>
  <si>
    <t>Annulla.</t>
  </si>
  <si>
    <t>Annuleren.</t>
  </si>
  <si>
    <t>Avbryt.</t>
  </si>
  <si>
    <t>TT_F_TYPE_CPT</t>
  </si>
  <si>
    <t>Type d'actif.</t>
  </si>
  <si>
    <t>Asset type.</t>
  </si>
  <si>
    <t>Tipo de activo.</t>
  </si>
  <si>
    <t>Tipo de ativo.</t>
  </si>
  <si>
    <t>Anlageklasse.</t>
  </si>
  <si>
    <t>Classe di attività.</t>
  </si>
  <si>
    <t>Activaklasse.</t>
  </si>
  <si>
    <t>Tillgångsklass.</t>
  </si>
  <si>
    <t>TT_F_TYPE_CAT</t>
  </si>
  <si>
    <t>Type de flux.</t>
  </si>
  <si>
    <t>Flow type.</t>
  </si>
  <si>
    <t>Tipo de flujo.</t>
  </si>
  <si>
    <t>Tipo de fluxo.</t>
  </si>
  <si>
    <t>Flusstyp.</t>
  </si>
  <si>
    <t>Tipo di flusso.</t>
  </si>
  <si>
    <t>Stroomtype.</t>
  </si>
  <si>
    <t>Flödestyp.</t>
  </si>
  <si>
    <t>NW_FILTRE_DEV</t>
  </si>
  <si>
    <t>Filtre Actif</t>
  </si>
  <si>
    <t>NW_FILTRE_MOIS</t>
  </si>
  <si>
    <t>2026-02</t>
  </si>
  <si>
    <t>DEVISE</t>
  </si>
  <si>
    <t>BUDG_FILTRE_DEV</t>
  </si>
  <si>
    <t>BUDG_FILTRE_MOIS</t>
  </si>
  <si>
    <t>DASH_FILTRE_MOIS</t>
  </si>
  <si>
    <t>DASH_FILTRE_DEV</t>
  </si>
  <si>
    <t>ID</t>
  </si>
  <si>
    <t>DATE (JJ/MM/AAAA) :</t>
  </si>
  <si>
    <t>ANNÉE</t>
  </si>
  <si>
    <t>MOIS</t>
  </si>
  <si>
    <t>COMPTE :</t>
  </si>
  <si>
    <t>CATÉGORIE :</t>
  </si>
  <si>
    <t>TIERS :</t>
  </si>
  <si>
    <t>MONTANT :</t>
  </si>
  <si>
    <t>NOTES :</t>
  </si>
  <si>
    <t>SEQ_T_FACT_Transaction</t>
  </si>
  <si>
    <t>Séquence T_FACT_Transaction</t>
  </si>
  <si>
    <t>XOF</t>
  </si>
  <si>
    <t>Report</t>
  </si>
  <si>
    <t>Keya, Raymond</t>
  </si>
  <si>
    <t>2026-01</t>
  </si>
  <si>
    <t>Me card</t>
  </si>
  <si>
    <t>Transport</t>
  </si>
  <si>
    <t>Metro express</t>
  </si>
  <si>
    <t>Coris bank account</t>
  </si>
  <si>
    <t>Saving</t>
  </si>
  <si>
    <t>Bank account</t>
  </si>
  <si>
    <t>Xof cash wallet</t>
  </si>
  <si>
    <t>Cash wallet</t>
  </si>
  <si>
    <t>Mur cash wallet</t>
  </si>
  <si>
    <t>Security account: 0441561094</t>
  </si>
  <si>
    <t>Share</t>
  </si>
  <si>
    <t>Securities account</t>
  </si>
  <si>
    <t>Share dividend</t>
  </si>
  <si>
    <t>Absa bank account</t>
  </si>
  <si>
    <t>DASH_FILTRE_ANNEE</t>
  </si>
  <si>
    <t>DASH_FILTRE_MOIS_SEUL</t>
  </si>
  <si>
    <t>Transport cost</t>
  </si>
  <si>
    <t>Intermat hyper</t>
  </si>
  <si>
    <t>Pain, pomme golden</t>
  </si>
  <si>
    <t>Transport to the office</t>
  </si>
  <si>
    <t>Intermat hyper qb</t>
  </si>
  <si>
    <t>Pain</t>
  </si>
  <si>
    <t>Moneygram transfert</t>
  </si>
  <si>
    <t>Relatives</t>
  </si>
  <si>
    <t>Gift to togbe</t>
  </si>
  <si>
    <t>Family assistance</t>
  </si>
  <si>
    <t>Cash withdrawal</t>
  </si>
  <si>
    <t>Withdrawal from absa bank account</t>
  </si>
  <si>
    <t>Withdrawal</t>
  </si>
  <si>
    <t>Transfert from absa to mur cash wallet</t>
  </si>
  <si>
    <t>Balance</t>
  </si>
  <si>
    <t>Payment facility</t>
  </si>
  <si>
    <t>Cim finance</t>
  </si>
  <si>
    <t>February 2026 instalment</t>
  </si>
  <si>
    <t>Pain, golden pomme, tara spread, lemon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</si>
</sst>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0"/>
      <color theme="1"/>
      <name val="ADLaM Display"/>
      <family val="2"/>
    </font>
    <font>
      <i/>
      <sz val="10"/>
      <color rgb="FF969696"/>
      <name val="ADLaM Display"/>
    </font>
    <font>
      <b/>
      <sz val="10"/>
      <color rgb="FFFFFFFF"/>
      <name val="ADLaM Display"/>
    </font>
    <font>
      <sz val="10"/>
      <color rgb="FFFFFFFF"/>
      <name val="ADLaM Display"/>
      <family val="2"/>
    </font>
    <font>
      <b/>
      <sz val="10"/>
      <color rgb="FFFADA5E"/>
      <name val="ADLaM Display"/>
    </font>
  </fonts>
  <fills count="7">
    <fill>
      <patternFill patternType="none"/>
    </fill>
    <fill>
      <patternFill patternType="gray125"/>
    </fill>
    <fill>
      <patternFill patternType="solid">
        <fgColor rgb="FFF8F8FA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5A3282"/>
        <bgColor indexed="64"/>
      </patternFill>
    </fill>
    <fill>
      <patternFill patternType="solid">
        <fgColor rgb="FF7851A9"/>
        <bgColor indexed="64"/>
      </patternFill>
    </fill>
    <fill>
      <patternFill patternType="solid">
        <fgColor rgb="FF916EB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2" borderId="0" xfId="0" applyFont="1" applyFill="1"/>
    <xf numFmtId="22" fontId="0" fillId="0" borderId="0" xfId="0" applyNumberFormat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3" fillId="5" borderId="0" xfId="0" applyFont="1" applyFill="1" applyAlignment="1">
      <alignment horizontal="center" vertical="center"/>
    </xf>
    <xf numFmtId="14" fontId="3" fillId="5" borderId="0" xfId="0" applyNumberFormat="1" applyFont="1" applyFill="1" applyAlignment="1">
      <alignment horizontal="center" vertical="center"/>
    </xf>
    <xf numFmtId="4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left" vertical="center"/>
    </xf>
    <xf numFmtId="0" fontId="3" fillId="6" borderId="0" xfId="0" applyFont="1" applyFill="1" applyAlignment="1">
      <alignment vertical="center"/>
    </xf>
    <xf numFmtId="0" fontId="3" fillId="6" borderId="0" xfId="0" applyFont="1" applyFill="1" applyAlignment="1">
      <alignment horizontal="left" vertical="center"/>
    </xf>
    <xf numFmtId="0" fontId="3" fillId="6" borderId="0" xfId="0" applyFont="1" applyFill="1" applyAlignment="1">
      <alignment horizontal="center" vertical="center"/>
    </xf>
    <xf numFmtId="4" fontId="3" fillId="6" borderId="0" xfId="0" applyNumberFormat="1" applyFont="1" applyFill="1" applyAlignment="1">
      <alignment horizontal="right" vertical="center"/>
    </xf>
    <xf numFmtId="14" fontId="3" fillId="6" borderId="0" xfId="0" applyNumberFormat="1" applyFont="1" applyFill="1" applyAlignment="1">
      <alignment horizontal="center" vertical="center"/>
    </xf>
    <xf numFmtId="4" fontId="4" fillId="6" borderId="0" xfId="0" applyNumberFormat="1" applyFont="1" applyFill="1" applyAlignment="1">
      <alignment horizontal="right" vertical="center"/>
    </xf>
    <xf numFmtId="9" fontId="3" fillId="5" borderId="0" xfId="0" applyNumberFormat="1" applyFont="1" applyFill="1" applyAlignment="1">
      <alignment vertical="center"/>
    </xf>
    <xf numFmtId="9" fontId="3" fillId="6" borderId="0" xfId="0" applyNumberFormat="1" applyFont="1" applyFill="1" applyAlignment="1">
      <alignment vertical="center"/>
    </xf>
    <xf numFmtId="4" fontId="4" fillId="5" borderId="0" xfId="0" applyNumberFormat="1" applyFont="1" applyFill="1" applyAlignment="1">
      <alignment horizontal="right" vertical="center"/>
    </xf>
    <xf numFmtId="0" fontId="0" fillId="2" borderId="0" xfId="0" applyFont="1" applyFill="1"/>
    <xf numFmtId="0" fontId="0" fillId="3" borderId="0" xfId="0" applyFont="1" applyFill="1"/>
    <xf numFmtId="0" fontId="2" fillId="4" borderId="0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left" vertical="center"/>
    </xf>
    <xf numFmtId="0" fontId="3" fillId="6" borderId="0" xfId="0" applyFont="1" applyFill="1" applyBorder="1" applyAlignment="1">
      <alignment horizontal="left" vertical="center"/>
    </xf>
    <xf numFmtId="0" fontId="3" fillId="5" borderId="0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4" fontId="3" fillId="5" borderId="0" xfId="0" applyNumberFormat="1" applyFont="1" applyFill="1" applyBorder="1" applyAlignment="1">
      <alignment horizontal="right" vertical="center"/>
    </xf>
    <xf numFmtId="4" fontId="3" fillId="6" borderId="0" xfId="0" applyNumberFormat="1" applyFont="1" applyFill="1" applyBorder="1" applyAlignment="1">
      <alignment horizontal="right" vertical="center"/>
    </xf>
  </cellXfs>
  <cellStyles count="1">
    <cellStyle name="Normal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5A328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13" formatCode="0%"/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5A328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19" formatCode="m/d/yyyy"/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5A3282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3E2447B0-4B8B-46E9-B0F4-5682EA8C0EC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APP_HOME'!A18"/><Relationship Id="rId3" Type="http://schemas.openxmlformats.org/officeDocument/2006/relationships/hyperlink" Target="#'APP_HOME'!A13"/><Relationship Id="rId7" Type="http://schemas.openxmlformats.org/officeDocument/2006/relationships/hyperlink" Target="#'APP_HOME'!A17"/><Relationship Id="rId12" Type="http://schemas.openxmlformats.org/officeDocument/2006/relationships/hyperlink" Target="#'APP_HOME'!A24"/><Relationship Id="rId2" Type="http://schemas.openxmlformats.org/officeDocument/2006/relationships/hyperlink" Target="#'APP_HOME'!A12"/><Relationship Id="rId1" Type="http://schemas.openxmlformats.org/officeDocument/2006/relationships/hyperlink" Target="#'APP_HOME'!A11"/><Relationship Id="rId6" Type="http://schemas.openxmlformats.org/officeDocument/2006/relationships/hyperlink" Target="#'APP_HOME'!A16"/><Relationship Id="rId11" Type="http://schemas.openxmlformats.org/officeDocument/2006/relationships/hyperlink" Target="#'APP_HOME'!A23"/><Relationship Id="rId5" Type="http://schemas.openxmlformats.org/officeDocument/2006/relationships/hyperlink" Target="#'APP_HOME'!A15"/><Relationship Id="rId10" Type="http://schemas.openxmlformats.org/officeDocument/2006/relationships/hyperlink" Target="#'APP_HOME'!A22"/><Relationship Id="rId4" Type="http://schemas.openxmlformats.org/officeDocument/2006/relationships/hyperlink" Target="#'APP_HOME'!A14"/><Relationship Id="rId9" Type="http://schemas.openxmlformats.org/officeDocument/2006/relationships/hyperlink" Target="#'APP_HOME'!A2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</xdr:row>
      <xdr:rowOff>4233</xdr:rowOff>
    </xdr:from>
    <xdr:to>
      <xdr:col>9</xdr:col>
      <xdr:colOff>558800</xdr:colOff>
      <xdr:row>4</xdr:row>
      <xdr:rowOff>80433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CF9C1785-0BDF-2383-3A9A-A52ADC28B2C0}"/>
            </a:ext>
          </a:extLst>
        </xdr:cNvPr>
        <xdr:cNvSpPr txBox="1"/>
      </xdr:nvSpPr>
      <xdr:spPr>
        <a:xfrm>
          <a:off x="381000" y="190500"/>
          <a:ext cx="6350000" cy="635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2200" b="1">
              <a:solidFill>
                <a:srgbClr val="FFFFFF"/>
              </a:solidFill>
              <a:latin typeface="ADLaM Display" panose="02010000000000000000" pitchFamily="2" charset="0"/>
            </a:rPr>
            <a:t>SYSTÈME FINANCIER PERSONNEL</a:t>
          </a:r>
        </a:p>
        <a:p>
          <a:r>
            <a:rPr lang="en-US" sz="1100">
              <a:solidFill>
                <a:srgbClr val="DCDCFF"/>
              </a:solidFill>
              <a:latin typeface="ADLaM Display" panose="02010000000000000000" pitchFamily="2" charset="0"/>
            </a:rPr>
            <a:t>Hub Central | 28 February 2026</a:t>
          </a:r>
        </a:p>
      </xdr:txBody>
    </xdr:sp>
    <xdr:clientData/>
  </xdr:twoCellAnchor>
  <xdr:twoCellAnchor>
    <xdr:from>
      <xdr:col>16</xdr:col>
      <xdr:colOff>457200</xdr:colOff>
      <xdr:row>0</xdr:row>
      <xdr:rowOff>63500</xdr:rowOff>
    </xdr:from>
    <xdr:to>
      <xdr:col>20</xdr:col>
      <xdr:colOff>508000</xdr:colOff>
      <xdr:row>1</xdr:row>
      <xdr:rowOff>131233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4C323DC1-E469-5828-8533-0EF327F19335}"/>
            </a:ext>
          </a:extLst>
        </xdr:cNvPr>
        <xdr:cNvSpPr txBox="1"/>
      </xdr:nvSpPr>
      <xdr:spPr>
        <a:xfrm>
          <a:off x="11430000" y="63500"/>
          <a:ext cx="2794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r"/>
          <a:r>
            <a:rPr lang="en-US" sz="900" b="1">
              <a:solidFill>
                <a:srgbClr val="FFFFFF"/>
              </a:solidFill>
              <a:latin typeface="ADLaM Display" panose="02010000000000000000" pitchFamily="2" charset="0"/>
            </a:rPr>
            <a:t>SFP v3.2</a:t>
          </a:r>
        </a:p>
      </xdr:txBody>
    </xdr:sp>
    <xdr:clientData/>
  </xdr:twoCellAnchor>
  <xdr:twoCellAnchor>
    <xdr:from>
      <xdr:col>14</xdr:col>
      <xdr:colOff>177800</xdr:colOff>
      <xdr:row>2</xdr:row>
      <xdr:rowOff>8467</xdr:rowOff>
    </xdr:from>
    <xdr:to>
      <xdr:col>14</xdr:col>
      <xdr:colOff>622300</xdr:colOff>
      <xdr:row>4</xdr:row>
      <xdr:rowOff>80433</xdr:rowOff>
    </xdr:to>
    <xdr:sp macro="" textlink="">
      <xdr:nvSpPr>
        <xdr:cNvPr id="32" name="Oval 31">
          <a:hlinkClick xmlns:r="http://schemas.openxmlformats.org/officeDocument/2006/relationships" r:id="rId1" tooltip="Changer la langue : FR"/>
          <a:extLst>
            <a:ext uri="{FF2B5EF4-FFF2-40B4-BE49-F238E27FC236}">
              <a16:creationId xmlns:a16="http://schemas.microsoft.com/office/drawing/2014/main" id="{4F82A9BE-369F-51EC-27A4-27ECBAF841BF}"/>
            </a:ext>
          </a:extLst>
        </xdr:cNvPr>
        <xdr:cNvSpPr/>
      </xdr:nvSpPr>
      <xdr:spPr>
        <a:xfrm>
          <a:off x="9779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FR</a:t>
          </a:r>
        </a:p>
      </xdr:txBody>
    </xdr:sp>
    <xdr:clientData/>
  </xdr:twoCellAnchor>
  <xdr:twoCellAnchor>
    <xdr:from>
      <xdr:col>15</xdr:col>
      <xdr:colOff>0</xdr:colOff>
      <xdr:row>2</xdr:row>
      <xdr:rowOff>8467</xdr:rowOff>
    </xdr:from>
    <xdr:to>
      <xdr:col>15</xdr:col>
      <xdr:colOff>444500</xdr:colOff>
      <xdr:row>4</xdr:row>
      <xdr:rowOff>80433</xdr:rowOff>
    </xdr:to>
    <xdr:sp macro="" textlink="">
      <xdr:nvSpPr>
        <xdr:cNvPr id="33" name="Oval 32">
          <a:hlinkClick xmlns:r="http://schemas.openxmlformats.org/officeDocument/2006/relationships" r:id="rId2" tooltip="Changer la langue : EN"/>
          <a:extLst>
            <a:ext uri="{FF2B5EF4-FFF2-40B4-BE49-F238E27FC236}">
              <a16:creationId xmlns:a16="http://schemas.microsoft.com/office/drawing/2014/main" id="{AD0941FD-3B35-4A12-52ED-65501CBA07C2}"/>
            </a:ext>
          </a:extLst>
        </xdr:cNvPr>
        <xdr:cNvSpPr/>
      </xdr:nvSpPr>
      <xdr:spPr>
        <a:xfrm>
          <a:off x="10287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EN</a:t>
          </a:r>
        </a:p>
      </xdr:txBody>
    </xdr:sp>
    <xdr:clientData/>
  </xdr:twoCellAnchor>
  <xdr:twoCellAnchor>
    <xdr:from>
      <xdr:col>15</xdr:col>
      <xdr:colOff>508000</xdr:colOff>
      <xdr:row>2</xdr:row>
      <xdr:rowOff>8467</xdr:rowOff>
    </xdr:from>
    <xdr:to>
      <xdr:col>16</xdr:col>
      <xdr:colOff>266700</xdr:colOff>
      <xdr:row>4</xdr:row>
      <xdr:rowOff>80433</xdr:rowOff>
    </xdr:to>
    <xdr:sp macro="" textlink="">
      <xdr:nvSpPr>
        <xdr:cNvPr id="34" name="Oval 33">
          <a:hlinkClick xmlns:r="http://schemas.openxmlformats.org/officeDocument/2006/relationships" r:id="rId3" tooltip="Changer la langue : ES"/>
          <a:extLst>
            <a:ext uri="{FF2B5EF4-FFF2-40B4-BE49-F238E27FC236}">
              <a16:creationId xmlns:a16="http://schemas.microsoft.com/office/drawing/2014/main" id="{3412368F-A44B-DC46-0B30-0567C5A0078B}"/>
            </a:ext>
          </a:extLst>
        </xdr:cNvPr>
        <xdr:cNvSpPr/>
      </xdr:nvSpPr>
      <xdr:spPr>
        <a:xfrm>
          <a:off x="10795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ES</a:t>
          </a:r>
        </a:p>
      </xdr:txBody>
    </xdr:sp>
    <xdr:clientData/>
  </xdr:twoCellAnchor>
  <xdr:twoCellAnchor>
    <xdr:from>
      <xdr:col>16</xdr:col>
      <xdr:colOff>330200</xdr:colOff>
      <xdr:row>2</xdr:row>
      <xdr:rowOff>8467</xdr:rowOff>
    </xdr:from>
    <xdr:to>
      <xdr:col>17</xdr:col>
      <xdr:colOff>88900</xdr:colOff>
      <xdr:row>4</xdr:row>
      <xdr:rowOff>80433</xdr:rowOff>
    </xdr:to>
    <xdr:sp macro="" textlink="">
      <xdr:nvSpPr>
        <xdr:cNvPr id="35" name="Oval 34">
          <a:hlinkClick xmlns:r="http://schemas.openxmlformats.org/officeDocument/2006/relationships" r:id="rId4" tooltip="Changer la langue : PT"/>
          <a:extLst>
            <a:ext uri="{FF2B5EF4-FFF2-40B4-BE49-F238E27FC236}">
              <a16:creationId xmlns:a16="http://schemas.microsoft.com/office/drawing/2014/main" id="{006174F0-EB25-418D-E168-AB57043BE188}"/>
            </a:ext>
          </a:extLst>
        </xdr:cNvPr>
        <xdr:cNvSpPr/>
      </xdr:nvSpPr>
      <xdr:spPr>
        <a:xfrm>
          <a:off x="11303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PT</a:t>
          </a:r>
        </a:p>
      </xdr:txBody>
    </xdr:sp>
    <xdr:clientData/>
  </xdr:twoCellAnchor>
  <xdr:twoCellAnchor>
    <xdr:from>
      <xdr:col>17</xdr:col>
      <xdr:colOff>152400</xdr:colOff>
      <xdr:row>2</xdr:row>
      <xdr:rowOff>8467</xdr:rowOff>
    </xdr:from>
    <xdr:to>
      <xdr:col>17</xdr:col>
      <xdr:colOff>596900</xdr:colOff>
      <xdr:row>4</xdr:row>
      <xdr:rowOff>80433</xdr:rowOff>
    </xdr:to>
    <xdr:sp macro="" textlink="">
      <xdr:nvSpPr>
        <xdr:cNvPr id="36" name="Oval 35">
          <a:hlinkClick xmlns:r="http://schemas.openxmlformats.org/officeDocument/2006/relationships" r:id="rId5" tooltip="Changer la langue : DE"/>
          <a:extLst>
            <a:ext uri="{FF2B5EF4-FFF2-40B4-BE49-F238E27FC236}">
              <a16:creationId xmlns:a16="http://schemas.microsoft.com/office/drawing/2014/main" id="{E4C0A654-2BE3-55EA-893E-50B59D7962EA}"/>
            </a:ext>
          </a:extLst>
        </xdr:cNvPr>
        <xdr:cNvSpPr/>
      </xdr:nvSpPr>
      <xdr:spPr>
        <a:xfrm>
          <a:off x="11811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DE</a:t>
          </a:r>
        </a:p>
      </xdr:txBody>
    </xdr:sp>
    <xdr:clientData/>
  </xdr:twoCellAnchor>
  <xdr:twoCellAnchor>
    <xdr:from>
      <xdr:col>17</xdr:col>
      <xdr:colOff>660400</xdr:colOff>
      <xdr:row>2</xdr:row>
      <xdr:rowOff>8467</xdr:rowOff>
    </xdr:from>
    <xdr:to>
      <xdr:col>18</xdr:col>
      <xdr:colOff>419100</xdr:colOff>
      <xdr:row>4</xdr:row>
      <xdr:rowOff>80433</xdr:rowOff>
    </xdr:to>
    <xdr:sp macro="" textlink="">
      <xdr:nvSpPr>
        <xdr:cNvPr id="37" name="Oval 36">
          <a:hlinkClick xmlns:r="http://schemas.openxmlformats.org/officeDocument/2006/relationships" r:id="rId6" tooltip="Changer la langue : IT"/>
          <a:extLst>
            <a:ext uri="{FF2B5EF4-FFF2-40B4-BE49-F238E27FC236}">
              <a16:creationId xmlns:a16="http://schemas.microsoft.com/office/drawing/2014/main" id="{3C36E3EA-7D13-085E-7644-61A010E97EC4}"/>
            </a:ext>
          </a:extLst>
        </xdr:cNvPr>
        <xdr:cNvSpPr/>
      </xdr:nvSpPr>
      <xdr:spPr>
        <a:xfrm>
          <a:off x="12319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IT</a:t>
          </a:r>
        </a:p>
      </xdr:txBody>
    </xdr:sp>
    <xdr:clientData/>
  </xdr:twoCellAnchor>
  <xdr:twoCellAnchor>
    <xdr:from>
      <xdr:col>18</xdr:col>
      <xdr:colOff>482600</xdr:colOff>
      <xdr:row>2</xdr:row>
      <xdr:rowOff>8467</xdr:rowOff>
    </xdr:from>
    <xdr:to>
      <xdr:col>19</xdr:col>
      <xdr:colOff>241300</xdr:colOff>
      <xdr:row>4</xdr:row>
      <xdr:rowOff>80433</xdr:rowOff>
    </xdr:to>
    <xdr:sp macro="" textlink="">
      <xdr:nvSpPr>
        <xdr:cNvPr id="38" name="Oval 37">
          <a:hlinkClick xmlns:r="http://schemas.openxmlformats.org/officeDocument/2006/relationships" r:id="rId7" tooltip="Changer la langue : NL"/>
          <a:extLst>
            <a:ext uri="{FF2B5EF4-FFF2-40B4-BE49-F238E27FC236}">
              <a16:creationId xmlns:a16="http://schemas.microsoft.com/office/drawing/2014/main" id="{69123BB0-4E2D-B928-557C-AEDD1ED1CCFF}"/>
            </a:ext>
          </a:extLst>
        </xdr:cNvPr>
        <xdr:cNvSpPr/>
      </xdr:nvSpPr>
      <xdr:spPr>
        <a:xfrm>
          <a:off x="12827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NL</a:t>
          </a:r>
        </a:p>
      </xdr:txBody>
    </xdr:sp>
    <xdr:clientData/>
  </xdr:twoCellAnchor>
  <xdr:twoCellAnchor>
    <xdr:from>
      <xdr:col>19</xdr:col>
      <xdr:colOff>304800</xdr:colOff>
      <xdr:row>2</xdr:row>
      <xdr:rowOff>8467</xdr:rowOff>
    </xdr:from>
    <xdr:to>
      <xdr:col>20</xdr:col>
      <xdr:colOff>63500</xdr:colOff>
      <xdr:row>4</xdr:row>
      <xdr:rowOff>80433</xdr:rowOff>
    </xdr:to>
    <xdr:sp macro="" textlink="">
      <xdr:nvSpPr>
        <xdr:cNvPr id="39" name="Oval 38">
          <a:hlinkClick xmlns:r="http://schemas.openxmlformats.org/officeDocument/2006/relationships" r:id="rId8" tooltip="Changer la langue : SV"/>
          <a:extLst>
            <a:ext uri="{FF2B5EF4-FFF2-40B4-BE49-F238E27FC236}">
              <a16:creationId xmlns:a16="http://schemas.microsoft.com/office/drawing/2014/main" id="{1C5DDAF1-4845-809F-E491-B4A76F898659}"/>
            </a:ext>
          </a:extLst>
        </xdr:cNvPr>
        <xdr:cNvSpPr/>
      </xdr:nvSpPr>
      <xdr:spPr>
        <a:xfrm>
          <a:off x="13335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SV</a:t>
          </a:r>
        </a:p>
      </xdr:txBody>
    </xdr:sp>
    <xdr:clientData/>
  </xdr:twoCellAnchor>
  <xdr:twoCellAnchor>
    <xdr:from>
      <xdr:col>1</xdr:col>
      <xdr:colOff>584200</xdr:colOff>
      <xdr:row>10</xdr:row>
      <xdr:rowOff>169333</xdr:rowOff>
    </xdr:from>
    <xdr:to>
      <xdr:col>8</xdr:col>
      <xdr:colOff>609600</xdr:colOff>
      <xdr:row>18</xdr:row>
      <xdr:rowOff>76200</xdr:rowOff>
    </xdr:to>
    <xdr:sp macro="" textlink="">
      <xdr:nvSpPr>
        <xdr:cNvPr id="40" name="Rectangle: Rounded Corners 39">
          <a:hlinkClick xmlns:r="http://schemas.openxmlformats.org/officeDocument/2006/relationships" r:id="rId9" tooltip="SAISIE TRANSACTION"/>
          <a:extLst>
            <a:ext uri="{FF2B5EF4-FFF2-40B4-BE49-F238E27FC236}">
              <a16:creationId xmlns:a16="http://schemas.microsoft.com/office/drawing/2014/main" id="{AFE1BD4F-EDB5-FB50-5B4E-9C8389CB66DF}"/>
            </a:ext>
          </a:extLst>
        </xdr:cNvPr>
        <xdr:cNvSpPr/>
      </xdr:nvSpPr>
      <xdr:spPr>
        <a:xfrm>
          <a:off x="1270000" y="2032000"/>
          <a:ext cx="4826000" cy="13970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101600" dist="508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282828"/>
              </a:solidFill>
              <a:latin typeface="ADLaM Display" panose="02010000000000000000" pitchFamily="2" charset="0"/>
            </a:rPr>
            <a:t>SAISIE TRANSACTION</a:t>
          </a:r>
        </a:p>
        <a:p>
          <a:pPr algn="ctr"/>
          <a:r>
            <a:rPr lang="en-US" sz="1100" b="0">
              <a:solidFill>
                <a:srgbClr val="282828"/>
              </a:solidFill>
              <a:latin typeface="ADLaM Display" panose="02010000000000000000" pitchFamily="2" charset="0"/>
            </a:rPr>
            <a:t>Ajouter un revenu, dépense ou virement.</a:t>
          </a:r>
        </a:p>
      </xdr:txBody>
    </xdr:sp>
    <xdr:clientData/>
  </xdr:twoCellAnchor>
  <xdr:twoCellAnchor>
    <xdr:from>
      <xdr:col>9</xdr:col>
      <xdr:colOff>304800</xdr:colOff>
      <xdr:row>10</xdr:row>
      <xdr:rowOff>169333</xdr:rowOff>
    </xdr:from>
    <xdr:to>
      <xdr:col>16</xdr:col>
      <xdr:colOff>330200</xdr:colOff>
      <xdr:row>18</xdr:row>
      <xdr:rowOff>76200</xdr:rowOff>
    </xdr:to>
    <xdr:sp macro="" textlink="">
      <xdr:nvSpPr>
        <xdr:cNvPr id="41" name="Rectangle: Rounded Corners 40">
          <a:hlinkClick xmlns:r="http://schemas.openxmlformats.org/officeDocument/2006/relationships" r:id="rId10" tooltip="DASHBOARD CASHFLOW"/>
          <a:extLst>
            <a:ext uri="{FF2B5EF4-FFF2-40B4-BE49-F238E27FC236}">
              <a16:creationId xmlns:a16="http://schemas.microsoft.com/office/drawing/2014/main" id="{F147ADC3-9F54-7EE7-DBDD-0CA34981DD25}"/>
            </a:ext>
          </a:extLst>
        </xdr:cNvPr>
        <xdr:cNvSpPr/>
      </xdr:nvSpPr>
      <xdr:spPr>
        <a:xfrm>
          <a:off x="6477000" y="2032000"/>
          <a:ext cx="4826000" cy="1397000"/>
        </a:xfrm>
        <a:prstGeom prst="roundRect">
          <a:avLst/>
        </a:prstGeom>
        <a:solidFill>
          <a:srgbClr val="7851A9"/>
        </a:solidFill>
        <a:ln w="19050" cap="flat" cmpd="sng" algn="ctr">
          <a:noFill/>
          <a:prstDash val="solid"/>
          <a:miter lim="800000"/>
        </a:ln>
        <a:effectLst>
          <a:outerShdw blurRad="101600" dist="508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FF"/>
              </a:solidFill>
              <a:latin typeface="ADLaM Display" panose="02010000000000000000" pitchFamily="2" charset="0"/>
            </a:rPr>
            <a:t>DASHBOARD CASHFLOW</a:t>
          </a:r>
        </a:p>
        <a:p>
          <a:pPr algn="ctr"/>
          <a:r>
            <a:rPr lang="en-US" sz="1100" b="0">
              <a:solidFill>
                <a:srgbClr val="FFFFFF"/>
              </a:solidFill>
              <a:latin typeface="ADLaM Display" panose="02010000000000000000" pitchFamily="2" charset="0"/>
            </a:rPr>
            <a:t>Analyser les flux consolidés.</a:t>
          </a:r>
        </a:p>
      </xdr:txBody>
    </xdr:sp>
    <xdr:clientData/>
  </xdr:twoCellAnchor>
  <xdr:twoCellAnchor>
    <xdr:from>
      <xdr:col>1</xdr:col>
      <xdr:colOff>584200</xdr:colOff>
      <xdr:row>20</xdr:row>
      <xdr:rowOff>84667</xdr:rowOff>
    </xdr:from>
    <xdr:to>
      <xdr:col>8</xdr:col>
      <xdr:colOff>609600</xdr:colOff>
      <xdr:row>27</xdr:row>
      <xdr:rowOff>177800</xdr:rowOff>
    </xdr:to>
    <xdr:sp macro="" textlink="">
      <xdr:nvSpPr>
        <xdr:cNvPr id="42" name="Rectangle: Rounded Corners 41">
          <a:hlinkClick xmlns:r="http://schemas.openxmlformats.org/officeDocument/2006/relationships" r:id="rId11" tooltip="PILOTAGE BUDGÉTAIRE"/>
          <a:extLst>
            <a:ext uri="{FF2B5EF4-FFF2-40B4-BE49-F238E27FC236}">
              <a16:creationId xmlns:a16="http://schemas.microsoft.com/office/drawing/2014/main" id="{EE473B27-3B7F-00D3-B6A3-7770AE2CEBA8}"/>
            </a:ext>
          </a:extLst>
        </xdr:cNvPr>
        <xdr:cNvSpPr/>
      </xdr:nvSpPr>
      <xdr:spPr>
        <a:xfrm>
          <a:off x="1270000" y="3810000"/>
          <a:ext cx="4826000" cy="1397000"/>
        </a:xfrm>
        <a:prstGeom prst="roundRect">
          <a:avLst/>
        </a:prstGeom>
        <a:solidFill>
          <a:srgbClr val="4169E1"/>
        </a:solidFill>
        <a:ln w="19050" cap="flat" cmpd="sng" algn="ctr">
          <a:noFill/>
          <a:prstDash val="solid"/>
          <a:miter lim="800000"/>
        </a:ln>
        <a:effectLst>
          <a:outerShdw blurRad="101600" dist="508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FF"/>
              </a:solidFill>
              <a:latin typeface="ADLaM Display" panose="02010000000000000000" pitchFamily="2" charset="0"/>
            </a:rPr>
            <a:t>PILOTAGE BUDGÉTAIRE</a:t>
          </a:r>
        </a:p>
        <a:p>
          <a:pPr algn="ctr"/>
          <a:r>
            <a:rPr lang="en-US" sz="1100" b="0">
              <a:solidFill>
                <a:srgbClr val="FFFFFF"/>
              </a:solidFill>
              <a:latin typeface="ADLaM Display" panose="02010000000000000000" pitchFamily="2" charset="0"/>
            </a:rPr>
            <a:t>Suivi des enveloppes (ZBB).</a:t>
          </a:r>
        </a:p>
      </xdr:txBody>
    </xdr:sp>
    <xdr:clientData/>
  </xdr:twoCellAnchor>
  <xdr:twoCellAnchor>
    <xdr:from>
      <xdr:col>9</xdr:col>
      <xdr:colOff>304800</xdr:colOff>
      <xdr:row>20</xdr:row>
      <xdr:rowOff>84667</xdr:rowOff>
    </xdr:from>
    <xdr:to>
      <xdr:col>16</xdr:col>
      <xdr:colOff>330200</xdr:colOff>
      <xdr:row>27</xdr:row>
      <xdr:rowOff>177800</xdr:rowOff>
    </xdr:to>
    <xdr:sp macro="" textlink="">
      <xdr:nvSpPr>
        <xdr:cNvPr id="43" name="Rectangle: Rounded Corners 42">
          <a:hlinkClick xmlns:r="http://schemas.openxmlformats.org/officeDocument/2006/relationships" r:id="rId12" tooltip="BILAN PATRIMONIAL"/>
          <a:extLst>
            <a:ext uri="{FF2B5EF4-FFF2-40B4-BE49-F238E27FC236}">
              <a16:creationId xmlns:a16="http://schemas.microsoft.com/office/drawing/2014/main" id="{B05661B5-DBCB-7BFF-663D-64EF15DA3B4F}"/>
            </a:ext>
          </a:extLst>
        </xdr:cNvPr>
        <xdr:cNvSpPr/>
      </xdr:nvSpPr>
      <xdr:spPr>
        <a:xfrm>
          <a:off x="6477000" y="3810000"/>
          <a:ext cx="4826000" cy="1397000"/>
        </a:xfrm>
        <a:prstGeom prst="roundRect">
          <a:avLst/>
        </a:prstGeom>
        <a:solidFill>
          <a:srgbClr val="2ECC71"/>
        </a:solidFill>
        <a:ln w="19050" cap="flat" cmpd="sng" algn="ctr">
          <a:noFill/>
          <a:prstDash val="solid"/>
          <a:miter lim="800000"/>
        </a:ln>
        <a:effectLst>
          <a:outerShdw blurRad="101600" dist="508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FF"/>
              </a:solidFill>
              <a:latin typeface="ADLaM Display" panose="02010000000000000000" pitchFamily="2" charset="0"/>
            </a:rPr>
            <a:t>BILAN PATRIMONIAL</a:t>
          </a:r>
        </a:p>
        <a:p>
          <a:pPr algn="ctr"/>
          <a:r>
            <a:rPr lang="en-US" sz="1100" b="0">
              <a:solidFill>
                <a:srgbClr val="FFFFFF"/>
              </a:solidFill>
              <a:latin typeface="ADLaM Display" panose="02010000000000000000" pitchFamily="2" charset="0"/>
            </a:rPr>
            <a:t>Calcul de la Valeur Nette.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4233</xdr:rowOff>
    </xdr:from>
    <xdr:to>
      <xdr:col>3</xdr:col>
      <xdr:colOff>127000</xdr:colOff>
      <xdr:row>3</xdr:row>
      <xdr:rowOff>12700</xdr:rowOff>
    </xdr:to>
    <xdr:sp macro="MOD_05_Advanced_Modules.ANIMATION_RETOUR_TACTILE_NW" textlink="">
      <xdr:nvSpPr>
        <xdr:cNvPr id="2" name="BTN_RETOUR_TACTILE_NW">
          <a:extLst>
            <a:ext uri="{FF2B5EF4-FFF2-40B4-BE49-F238E27FC236}">
              <a16:creationId xmlns:a16="http://schemas.microsoft.com/office/drawing/2014/main" id="{9FBB3898-01D9-4CE5-EBCA-CE28347EC0E8}"/>
            </a:ext>
          </a:extLst>
        </xdr:cNvPr>
        <xdr:cNvSpPr/>
      </xdr:nvSpPr>
      <xdr:spPr>
        <a:xfrm>
          <a:off x="254000" y="190500"/>
          <a:ext cx="1905000" cy="3810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50800" dist="28398" dir="3806086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&lt;  RETOUR AU MENU</a:t>
          </a:r>
        </a:p>
      </xdr:txBody>
    </xdr:sp>
    <xdr:clientData/>
  </xdr:twoCellAnchor>
  <xdr:twoCellAnchor>
    <xdr:from>
      <xdr:col>3</xdr:col>
      <xdr:colOff>635000</xdr:colOff>
      <xdr:row>0</xdr:row>
      <xdr:rowOff>127000</xdr:rowOff>
    </xdr:from>
    <xdr:to>
      <xdr:col>9</xdr:col>
      <xdr:colOff>381000</xdr:colOff>
      <xdr:row>3</xdr:row>
      <xdr:rowOff>76200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6FC5AA3-9966-63A9-FBDB-D18E5ECB5171}"/>
            </a:ext>
          </a:extLst>
        </xdr:cNvPr>
        <xdr:cNvSpPr txBox="1"/>
      </xdr:nvSpPr>
      <xdr:spPr>
        <a:xfrm>
          <a:off x="2667000" y="127000"/>
          <a:ext cx="3810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800" b="1">
              <a:solidFill>
                <a:srgbClr val="FFFFFF"/>
              </a:solidFill>
              <a:latin typeface="ADLaM Display" panose="02010000000000000000" pitchFamily="2" charset="0"/>
            </a:rPr>
            <a:t>BILAN PATRIMONIAL</a:t>
          </a:r>
        </a:p>
        <a:p>
          <a:r>
            <a:rPr lang="en-US" sz="1000">
              <a:solidFill>
                <a:srgbClr val="DCDCFF"/>
              </a:solidFill>
              <a:latin typeface="ADLaM Display" panose="02010000000000000000" pitchFamily="2" charset="0"/>
            </a:rPr>
            <a:t>Snapshot Mode</a:t>
          </a:r>
        </a:p>
      </xdr:txBody>
    </xdr:sp>
    <xdr:clientData/>
  </xdr:twoCellAnchor>
  <xdr:twoCellAnchor>
    <xdr:from>
      <xdr:col>5</xdr:col>
      <xdr:colOff>296333</xdr:colOff>
      <xdr:row>1</xdr:row>
      <xdr:rowOff>4233</xdr:rowOff>
    </xdr:from>
    <xdr:to>
      <xdr:col>5</xdr:col>
      <xdr:colOff>613833</xdr:colOff>
      <xdr:row>3</xdr:row>
      <xdr:rowOff>38100</xdr:rowOff>
    </xdr:to>
    <xdr:sp macro="MOD_05_Advanced_Modules.MOIS_PRECEDENT_NW" textlink="">
      <xdr:nvSpPr>
        <xdr:cNvPr id="4" name="BTN_NW_PREV_MONTH">
          <a:extLst>
            <a:ext uri="{FF2B5EF4-FFF2-40B4-BE49-F238E27FC236}">
              <a16:creationId xmlns:a16="http://schemas.microsoft.com/office/drawing/2014/main" id="{D7B791F0-6B66-1812-F3D2-A459103DA151}"/>
            </a:ext>
          </a:extLst>
        </xdr:cNvPr>
        <xdr:cNvSpPr/>
      </xdr:nvSpPr>
      <xdr:spPr>
        <a:xfrm>
          <a:off x="3683000" y="190500"/>
          <a:ext cx="3175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&lt;</a:t>
          </a:r>
        </a:p>
      </xdr:txBody>
    </xdr:sp>
    <xdr:clientData/>
  </xdr:twoCellAnchor>
  <xdr:twoCellAnchor>
    <xdr:from>
      <xdr:col>6</xdr:col>
      <xdr:colOff>0</xdr:colOff>
      <xdr:row>1</xdr:row>
      <xdr:rowOff>4233</xdr:rowOff>
    </xdr:from>
    <xdr:to>
      <xdr:col>9</xdr:col>
      <xdr:colOff>0</xdr:colOff>
      <xdr:row>3</xdr:row>
      <xdr:rowOff>38100</xdr:rowOff>
    </xdr:to>
    <xdr:sp macro="" textlink="">
      <xdr:nvSpPr>
        <xdr:cNvPr id="5" name="LBL_NW_MONTH">
          <a:extLst>
            <a:ext uri="{FF2B5EF4-FFF2-40B4-BE49-F238E27FC236}">
              <a16:creationId xmlns:a16="http://schemas.microsoft.com/office/drawing/2014/main" id="{68452D5C-4E8B-B541-9D64-2FD6ACC59257}"/>
            </a:ext>
          </a:extLst>
        </xdr:cNvPr>
        <xdr:cNvSpPr/>
      </xdr:nvSpPr>
      <xdr:spPr>
        <a:xfrm>
          <a:off x="4064000" y="190500"/>
          <a:ext cx="2032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FEBRUARY 2026</a:t>
          </a:r>
        </a:p>
      </xdr:txBody>
    </xdr:sp>
    <xdr:clientData/>
  </xdr:twoCellAnchor>
  <xdr:twoCellAnchor>
    <xdr:from>
      <xdr:col>9</xdr:col>
      <xdr:colOff>63500</xdr:colOff>
      <xdr:row>1</xdr:row>
      <xdr:rowOff>4233</xdr:rowOff>
    </xdr:from>
    <xdr:to>
      <xdr:col>9</xdr:col>
      <xdr:colOff>381000</xdr:colOff>
      <xdr:row>3</xdr:row>
      <xdr:rowOff>38100</xdr:rowOff>
    </xdr:to>
    <xdr:sp macro="MOD_05_Advanced_Modules.MOIS_SUIVANT_NW" textlink="">
      <xdr:nvSpPr>
        <xdr:cNvPr id="6" name="BTN_NW_NEXT_MONTH">
          <a:extLst>
            <a:ext uri="{FF2B5EF4-FFF2-40B4-BE49-F238E27FC236}">
              <a16:creationId xmlns:a16="http://schemas.microsoft.com/office/drawing/2014/main" id="{BDD9F75A-09FD-5EAF-C13F-5B9C29EDD7D4}"/>
            </a:ext>
          </a:extLst>
        </xdr:cNvPr>
        <xdr:cNvSpPr/>
      </xdr:nvSpPr>
      <xdr:spPr>
        <a:xfrm>
          <a:off x="6159500" y="190500"/>
          <a:ext cx="3175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&gt;</a:t>
          </a:r>
        </a:p>
      </xdr:txBody>
    </xdr:sp>
    <xdr:clientData/>
  </xdr:twoCellAnchor>
  <xdr:twoCellAnchor>
    <xdr:from>
      <xdr:col>10</xdr:col>
      <xdr:colOff>84667</xdr:colOff>
      <xdr:row>1</xdr:row>
      <xdr:rowOff>4233</xdr:rowOff>
    </xdr:from>
    <xdr:to>
      <xdr:col>11</xdr:col>
      <xdr:colOff>42333</xdr:colOff>
      <xdr:row>3</xdr:row>
      <xdr:rowOff>38100</xdr:rowOff>
    </xdr:to>
    <xdr:sp macro="MOD_05_Advanced_Modules.CHANGER_DEVISE_NW" textlink="">
      <xdr:nvSpPr>
        <xdr:cNvPr id="7" name="BTN_NW_DEV_MUR">
          <a:extLst>
            <a:ext uri="{FF2B5EF4-FFF2-40B4-BE49-F238E27FC236}">
              <a16:creationId xmlns:a16="http://schemas.microsoft.com/office/drawing/2014/main" id="{3631BB95-A116-4EC1-E6CE-6A0630987018}"/>
            </a:ext>
          </a:extLst>
        </xdr:cNvPr>
        <xdr:cNvSpPr/>
      </xdr:nvSpPr>
      <xdr:spPr>
        <a:xfrm>
          <a:off x="6858000" y="190500"/>
          <a:ext cx="635000" cy="4064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MUR</a:t>
          </a:r>
        </a:p>
      </xdr:txBody>
    </xdr:sp>
    <xdr:clientData/>
  </xdr:twoCellAnchor>
  <xdr:twoCellAnchor>
    <xdr:from>
      <xdr:col>11</xdr:col>
      <xdr:colOff>105833</xdr:colOff>
      <xdr:row>1</xdr:row>
      <xdr:rowOff>4233</xdr:rowOff>
    </xdr:from>
    <xdr:to>
      <xdr:col>12</xdr:col>
      <xdr:colOff>63500</xdr:colOff>
      <xdr:row>3</xdr:row>
      <xdr:rowOff>38100</xdr:rowOff>
    </xdr:to>
    <xdr:sp macro="MOD_05_Advanced_Modules.CHANGER_DEVISE_NW" textlink="">
      <xdr:nvSpPr>
        <xdr:cNvPr id="8" name="BTN_NW_DEV_EUR">
          <a:extLst>
            <a:ext uri="{FF2B5EF4-FFF2-40B4-BE49-F238E27FC236}">
              <a16:creationId xmlns:a16="http://schemas.microsoft.com/office/drawing/2014/main" id="{B50C45B1-CD83-9B09-21F2-41D5AEBF2388}"/>
            </a:ext>
          </a:extLst>
        </xdr:cNvPr>
        <xdr:cNvSpPr/>
      </xdr:nvSpPr>
      <xdr:spPr>
        <a:xfrm>
          <a:off x="7556500" y="190500"/>
          <a:ext cx="6350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EUR</a:t>
          </a:r>
        </a:p>
      </xdr:txBody>
    </xdr:sp>
    <xdr:clientData/>
  </xdr:twoCellAnchor>
  <xdr:twoCellAnchor>
    <xdr:from>
      <xdr:col>12</xdr:col>
      <xdr:colOff>127000</xdr:colOff>
      <xdr:row>1</xdr:row>
      <xdr:rowOff>4233</xdr:rowOff>
    </xdr:from>
    <xdr:to>
      <xdr:col>13</xdr:col>
      <xdr:colOff>84667</xdr:colOff>
      <xdr:row>3</xdr:row>
      <xdr:rowOff>38100</xdr:rowOff>
    </xdr:to>
    <xdr:sp macro="MOD_05_Advanced_Modules.CHANGER_DEVISE_NW" textlink="">
      <xdr:nvSpPr>
        <xdr:cNvPr id="9" name="BTN_NW_DEV_USD">
          <a:extLst>
            <a:ext uri="{FF2B5EF4-FFF2-40B4-BE49-F238E27FC236}">
              <a16:creationId xmlns:a16="http://schemas.microsoft.com/office/drawing/2014/main" id="{9F0CD114-A51D-C111-B4E2-75776C606315}"/>
            </a:ext>
          </a:extLst>
        </xdr:cNvPr>
        <xdr:cNvSpPr/>
      </xdr:nvSpPr>
      <xdr:spPr>
        <a:xfrm>
          <a:off x="8255000" y="190500"/>
          <a:ext cx="6350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USD</a:t>
          </a:r>
        </a:p>
      </xdr:txBody>
    </xdr:sp>
    <xdr:clientData/>
  </xdr:twoCellAnchor>
  <xdr:twoCellAnchor>
    <xdr:from>
      <xdr:col>13</xdr:col>
      <xdr:colOff>148167</xdr:colOff>
      <xdr:row>1</xdr:row>
      <xdr:rowOff>4233</xdr:rowOff>
    </xdr:from>
    <xdr:to>
      <xdr:col>14</xdr:col>
      <xdr:colOff>105833</xdr:colOff>
      <xdr:row>3</xdr:row>
      <xdr:rowOff>38100</xdr:rowOff>
    </xdr:to>
    <xdr:sp macro="MOD_05_Advanced_Modules.CHANGER_DEVISE_NW" textlink="">
      <xdr:nvSpPr>
        <xdr:cNvPr id="10" name="BTN_NW_DEV_XOF">
          <a:extLst>
            <a:ext uri="{FF2B5EF4-FFF2-40B4-BE49-F238E27FC236}">
              <a16:creationId xmlns:a16="http://schemas.microsoft.com/office/drawing/2014/main" id="{F7D981E5-260A-7760-6670-9095E6EDC141}"/>
            </a:ext>
          </a:extLst>
        </xdr:cNvPr>
        <xdr:cNvSpPr/>
      </xdr:nvSpPr>
      <xdr:spPr>
        <a:xfrm>
          <a:off x="8953500" y="190500"/>
          <a:ext cx="6350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XOF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2873023</xdr:colOff>
      <xdr:row>8</xdr:row>
      <xdr:rowOff>4233</xdr:rowOff>
    </xdr:to>
    <xdr:sp macro="" textlink="">
      <xdr:nvSpPr>
        <xdr:cNvPr id="11" name="CARD_ASSETS">
          <a:extLst>
            <a:ext uri="{FF2B5EF4-FFF2-40B4-BE49-F238E27FC236}">
              <a16:creationId xmlns:a16="http://schemas.microsoft.com/office/drawing/2014/main" id="{7B16741C-E102-6D17-CFF8-F59A3630C9C1}"/>
            </a:ext>
          </a:extLst>
        </xdr:cNvPr>
        <xdr:cNvSpPr/>
      </xdr:nvSpPr>
      <xdr:spPr>
        <a:xfrm>
          <a:off x="423333" y="1117600"/>
          <a:ext cx="2873023" cy="1079500"/>
        </a:xfrm>
        <a:prstGeom prst="roundRect">
          <a:avLst/>
        </a:prstGeom>
        <a:solidFill>
          <a:srgbClr val="4169E1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TOTAL ACTIFS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577,854.82</a:t>
          </a:r>
        </a:p>
      </xdr:txBody>
    </xdr:sp>
    <xdr:clientData/>
  </xdr:twoCellAnchor>
  <xdr:twoCellAnchor>
    <xdr:from>
      <xdr:col>2</xdr:col>
      <xdr:colOff>3063522</xdr:colOff>
      <xdr:row>6</xdr:row>
      <xdr:rowOff>0</xdr:rowOff>
    </xdr:from>
    <xdr:to>
      <xdr:col>4</xdr:col>
      <xdr:colOff>484011</xdr:colOff>
      <xdr:row>8</xdr:row>
      <xdr:rowOff>4233</xdr:rowOff>
    </xdr:to>
    <xdr:sp macro="" textlink="">
      <xdr:nvSpPr>
        <xdr:cNvPr id="12" name="CARD_LIAB">
          <a:extLst>
            <a:ext uri="{FF2B5EF4-FFF2-40B4-BE49-F238E27FC236}">
              <a16:creationId xmlns:a16="http://schemas.microsoft.com/office/drawing/2014/main" id="{7075BCA6-D4B1-B6C4-F365-75081A4F9A3E}"/>
            </a:ext>
          </a:extLst>
        </xdr:cNvPr>
        <xdr:cNvSpPr/>
      </xdr:nvSpPr>
      <xdr:spPr>
        <a:xfrm>
          <a:off x="3486855" y="1117600"/>
          <a:ext cx="2873023" cy="1079500"/>
        </a:xfrm>
        <a:prstGeom prst="roundRect">
          <a:avLst/>
        </a:prstGeom>
        <a:solidFill>
          <a:srgbClr val="7851A9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TOTAL PASSIFS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0.00</a:t>
          </a:r>
        </a:p>
      </xdr:txBody>
    </xdr:sp>
    <xdr:clientData/>
  </xdr:twoCellAnchor>
  <xdr:twoCellAnchor>
    <xdr:from>
      <xdr:col>4</xdr:col>
      <xdr:colOff>674511</xdr:colOff>
      <xdr:row>6</xdr:row>
      <xdr:rowOff>0</xdr:rowOff>
    </xdr:from>
    <xdr:to>
      <xdr:col>6</xdr:col>
      <xdr:colOff>0</xdr:colOff>
      <xdr:row>8</xdr:row>
      <xdr:rowOff>4233</xdr:rowOff>
    </xdr:to>
    <xdr:sp macro="" textlink="">
      <xdr:nvSpPr>
        <xdr:cNvPr id="13" name="CARD_NW">
          <a:extLst>
            <a:ext uri="{FF2B5EF4-FFF2-40B4-BE49-F238E27FC236}">
              <a16:creationId xmlns:a16="http://schemas.microsoft.com/office/drawing/2014/main" id="{BF0BA853-14E3-D6AF-455B-EF735BB55A0A}"/>
            </a:ext>
          </a:extLst>
        </xdr:cNvPr>
        <xdr:cNvSpPr/>
      </xdr:nvSpPr>
      <xdr:spPr>
        <a:xfrm>
          <a:off x="6550378" y="1117600"/>
          <a:ext cx="2873022" cy="1079500"/>
        </a:xfrm>
        <a:prstGeom prst="roundRect">
          <a:avLst/>
        </a:prstGeom>
        <a:solidFill>
          <a:srgbClr val="2ECC71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VALEUR NETTE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577,854.82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4233</xdr:rowOff>
    </xdr:from>
    <xdr:to>
      <xdr:col>4</xdr:col>
      <xdr:colOff>84667</xdr:colOff>
      <xdr:row>3</xdr:row>
      <xdr:rowOff>38100</xdr:rowOff>
    </xdr:to>
    <xdr:sp macro="MOD_04_Dashboard_ETL.ANIMATION_RETOUR" textlink="">
      <xdr:nvSpPr>
        <xdr:cNvPr id="2" name="BTN_RETOUR_TACTILE">
          <a:extLst>
            <a:ext uri="{FF2B5EF4-FFF2-40B4-BE49-F238E27FC236}">
              <a16:creationId xmlns:a16="http://schemas.microsoft.com/office/drawing/2014/main" id="{CB496EB7-538F-F554-5465-DE2172086D38}"/>
            </a:ext>
          </a:extLst>
        </xdr:cNvPr>
        <xdr:cNvSpPr/>
      </xdr:nvSpPr>
      <xdr:spPr>
        <a:xfrm>
          <a:off x="254000" y="190500"/>
          <a:ext cx="2540000" cy="4064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50800" dist="28398" dir="3806086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&lt;  RETOUR AU MENU</a:t>
          </a:r>
        </a:p>
      </xdr:txBody>
    </xdr:sp>
    <xdr:clientData/>
  </xdr:twoCellAnchor>
  <xdr:twoCellAnchor>
    <xdr:from>
      <xdr:col>4</xdr:col>
      <xdr:colOff>148167</xdr:colOff>
      <xdr:row>0</xdr:row>
      <xdr:rowOff>127000</xdr:rowOff>
    </xdr:from>
    <xdr:to>
      <xdr:col>9</xdr:col>
      <xdr:colOff>571500</xdr:colOff>
      <xdr:row>3</xdr:row>
      <xdr:rowOff>76200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9E2E0C8-925B-0BD1-F8E5-B60D777A61A5}"/>
            </a:ext>
          </a:extLst>
        </xdr:cNvPr>
        <xdr:cNvSpPr txBox="1"/>
      </xdr:nvSpPr>
      <xdr:spPr>
        <a:xfrm>
          <a:off x="2857500" y="127000"/>
          <a:ext cx="3810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800" b="1">
              <a:solidFill>
                <a:srgbClr val="FFFFFF"/>
              </a:solidFill>
              <a:latin typeface="ADLaM Display" panose="02010000000000000000" pitchFamily="2" charset="0"/>
            </a:rPr>
            <a:t>DASHBOARD CASHFLOW</a:t>
          </a:r>
        </a:p>
        <a:p>
          <a:r>
            <a:rPr lang="en-US" sz="1000">
              <a:solidFill>
                <a:srgbClr val="DCDCFF"/>
              </a:solidFill>
              <a:latin typeface="ADLaM Display" panose="02010000000000000000" pitchFamily="2" charset="0"/>
            </a:rPr>
            <a:t>28 Feb 2026</a:t>
          </a:r>
        </a:p>
      </xdr:txBody>
    </xdr:sp>
    <xdr:clientData/>
  </xdr:twoCellAnchor>
  <xdr:twoCellAnchor>
    <xdr:from>
      <xdr:col>7</xdr:col>
      <xdr:colOff>338667</xdr:colOff>
      <xdr:row>1</xdr:row>
      <xdr:rowOff>4233</xdr:rowOff>
    </xdr:from>
    <xdr:to>
      <xdr:col>7</xdr:col>
      <xdr:colOff>592667</xdr:colOff>
      <xdr:row>3</xdr:row>
      <xdr:rowOff>38100</xdr:rowOff>
    </xdr:to>
    <xdr:sp macro="MOD_04_Dashboard_ETL.ANNEE_PRECEDENTE" textlink="">
      <xdr:nvSpPr>
        <xdr:cNvPr id="4" name="BTN_PREV_YEAR">
          <a:extLst>
            <a:ext uri="{FF2B5EF4-FFF2-40B4-BE49-F238E27FC236}">
              <a16:creationId xmlns:a16="http://schemas.microsoft.com/office/drawing/2014/main" id="{5BDE98CD-241D-08B0-DAF3-03C3E6343D0C}"/>
            </a:ext>
          </a:extLst>
        </xdr:cNvPr>
        <xdr:cNvSpPr/>
      </xdr:nvSpPr>
      <xdr:spPr>
        <a:xfrm>
          <a:off x="5080000" y="190500"/>
          <a:ext cx="254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&lt;</a:t>
          </a:r>
        </a:p>
      </xdr:txBody>
    </xdr:sp>
    <xdr:clientData/>
  </xdr:twoCellAnchor>
  <xdr:twoCellAnchor>
    <xdr:from>
      <xdr:col>7</xdr:col>
      <xdr:colOff>656167</xdr:colOff>
      <xdr:row>1</xdr:row>
      <xdr:rowOff>4233</xdr:rowOff>
    </xdr:from>
    <xdr:to>
      <xdr:col>8</xdr:col>
      <xdr:colOff>359833</xdr:colOff>
      <xdr:row>3</xdr:row>
      <xdr:rowOff>38100</xdr:rowOff>
    </xdr:to>
    <xdr:sp macro="" textlink="">
      <xdr:nvSpPr>
        <xdr:cNvPr id="5" name="LBL_YEAR">
          <a:extLst>
            <a:ext uri="{FF2B5EF4-FFF2-40B4-BE49-F238E27FC236}">
              <a16:creationId xmlns:a16="http://schemas.microsoft.com/office/drawing/2014/main" id="{509ADDF2-3F55-DBF2-BA79-64047AEF4CE2}"/>
            </a:ext>
          </a:extLst>
        </xdr:cNvPr>
        <xdr:cNvSpPr/>
      </xdr:nvSpPr>
      <xdr:spPr>
        <a:xfrm>
          <a:off x="5397500" y="190500"/>
          <a:ext cx="381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2026</a:t>
          </a:r>
        </a:p>
      </xdr:txBody>
    </xdr:sp>
    <xdr:clientData/>
  </xdr:twoCellAnchor>
  <xdr:twoCellAnchor>
    <xdr:from>
      <xdr:col>8</xdr:col>
      <xdr:colOff>423333</xdr:colOff>
      <xdr:row>1</xdr:row>
      <xdr:rowOff>4233</xdr:rowOff>
    </xdr:from>
    <xdr:to>
      <xdr:col>9</xdr:col>
      <xdr:colOff>0</xdr:colOff>
      <xdr:row>3</xdr:row>
      <xdr:rowOff>38100</xdr:rowOff>
    </xdr:to>
    <xdr:sp macro="MOD_04_Dashboard_ETL.ANNEE_SUIVANTE" textlink="">
      <xdr:nvSpPr>
        <xdr:cNvPr id="6" name="BTN_NEXT_YEAR">
          <a:extLst>
            <a:ext uri="{FF2B5EF4-FFF2-40B4-BE49-F238E27FC236}">
              <a16:creationId xmlns:a16="http://schemas.microsoft.com/office/drawing/2014/main" id="{FC41A440-842A-9CAB-B802-E0C20E8FDC7D}"/>
            </a:ext>
          </a:extLst>
        </xdr:cNvPr>
        <xdr:cNvSpPr/>
      </xdr:nvSpPr>
      <xdr:spPr>
        <a:xfrm>
          <a:off x="5842000" y="190500"/>
          <a:ext cx="254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&gt;</a:t>
          </a:r>
        </a:p>
      </xdr:txBody>
    </xdr:sp>
    <xdr:clientData/>
  </xdr:twoCellAnchor>
  <xdr:twoCellAnchor>
    <xdr:from>
      <xdr:col>9</xdr:col>
      <xdr:colOff>444500</xdr:colOff>
      <xdr:row>1</xdr:row>
      <xdr:rowOff>4233</xdr:rowOff>
    </xdr:from>
    <xdr:to>
      <xdr:col>10</xdr:col>
      <xdr:colOff>21167</xdr:colOff>
      <xdr:row>3</xdr:row>
      <xdr:rowOff>38100</xdr:rowOff>
    </xdr:to>
    <xdr:sp macro="MOD_04_Dashboard_ETL.MOIS_PRECEDENT" textlink="">
      <xdr:nvSpPr>
        <xdr:cNvPr id="7" name="BTN_PREV_MONTH">
          <a:extLst>
            <a:ext uri="{FF2B5EF4-FFF2-40B4-BE49-F238E27FC236}">
              <a16:creationId xmlns:a16="http://schemas.microsoft.com/office/drawing/2014/main" id="{51D00E21-8874-9B72-DE9F-DAA38525EAA4}"/>
            </a:ext>
          </a:extLst>
        </xdr:cNvPr>
        <xdr:cNvSpPr/>
      </xdr:nvSpPr>
      <xdr:spPr>
        <a:xfrm>
          <a:off x="6540500" y="190500"/>
          <a:ext cx="254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&lt;</a:t>
          </a:r>
        </a:p>
      </xdr:txBody>
    </xdr:sp>
    <xdr:clientData/>
  </xdr:twoCellAnchor>
  <xdr:twoCellAnchor>
    <xdr:from>
      <xdr:col>10</xdr:col>
      <xdr:colOff>84667</xdr:colOff>
      <xdr:row>1</xdr:row>
      <xdr:rowOff>4233</xdr:rowOff>
    </xdr:from>
    <xdr:to>
      <xdr:col>12</xdr:col>
      <xdr:colOff>127000</xdr:colOff>
      <xdr:row>3</xdr:row>
      <xdr:rowOff>38100</xdr:rowOff>
    </xdr:to>
    <xdr:sp macro="" textlink="">
      <xdr:nvSpPr>
        <xdr:cNvPr id="8" name="LBL_MONTH">
          <a:extLst>
            <a:ext uri="{FF2B5EF4-FFF2-40B4-BE49-F238E27FC236}">
              <a16:creationId xmlns:a16="http://schemas.microsoft.com/office/drawing/2014/main" id="{BC27428F-15FA-7D7E-9E28-D5CD051D7E08}"/>
            </a:ext>
          </a:extLst>
        </xdr:cNvPr>
        <xdr:cNvSpPr/>
      </xdr:nvSpPr>
      <xdr:spPr>
        <a:xfrm>
          <a:off x="6858000" y="190500"/>
          <a:ext cx="1397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DECEMBER</a:t>
          </a:r>
        </a:p>
      </xdr:txBody>
    </xdr:sp>
    <xdr:clientData/>
  </xdr:twoCellAnchor>
  <xdr:twoCellAnchor>
    <xdr:from>
      <xdr:col>12</xdr:col>
      <xdr:colOff>190500</xdr:colOff>
      <xdr:row>1</xdr:row>
      <xdr:rowOff>4233</xdr:rowOff>
    </xdr:from>
    <xdr:to>
      <xdr:col>12</xdr:col>
      <xdr:colOff>444500</xdr:colOff>
      <xdr:row>3</xdr:row>
      <xdr:rowOff>38100</xdr:rowOff>
    </xdr:to>
    <xdr:sp macro="MOD_04_Dashboard_ETL.MOIS_SUIVANT" textlink="">
      <xdr:nvSpPr>
        <xdr:cNvPr id="9" name="BTN_NEXT_MONTH">
          <a:extLst>
            <a:ext uri="{FF2B5EF4-FFF2-40B4-BE49-F238E27FC236}">
              <a16:creationId xmlns:a16="http://schemas.microsoft.com/office/drawing/2014/main" id="{067C7C56-FA12-702C-431D-47FCC463FE64}"/>
            </a:ext>
          </a:extLst>
        </xdr:cNvPr>
        <xdr:cNvSpPr/>
      </xdr:nvSpPr>
      <xdr:spPr>
        <a:xfrm>
          <a:off x="8318500" y="190500"/>
          <a:ext cx="254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&gt;</a:t>
          </a:r>
        </a:p>
      </xdr:txBody>
    </xdr:sp>
    <xdr:clientData/>
  </xdr:twoCellAnchor>
  <xdr:twoCellAnchor>
    <xdr:from>
      <xdr:col>13</xdr:col>
      <xdr:colOff>211667</xdr:colOff>
      <xdr:row>1</xdr:row>
      <xdr:rowOff>4233</xdr:rowOff>
    </xdr:from>
    <xdr:to>
      <xdr:col>14</xdr:col>
      <xdr:colOff>169333</xdr:colOff>
      <xdr:row>3</xdr:row>
      <xdr:rowOff>76200</xdr:rowOff>
    </xdr:to>
    <xdr:sp macro="MOD_04_Dashboard_ETL.CHANGER_DEVISE" textlink="">
      <xdr:nvSpPr>
        <xdr:cNvPr id="10" name="BTN_DEV_MUR">
          <a:extLst>
            <a:ext uri="{FF2B5EF4-FFF2-40B4-BE49-F238E27FC236}">
              <a16:creationId xmlns:a16="http://schemas.microsoft.com/office/drawing/2014/main" id="{D44C07FA-2B09-9DFF-9187-423B5CAF13DC}"/>
            </a:ext>
          </a:extLst>
        </xdr:cNvPr>
        <xdr:cNvSpPr/>
      </xdr:nvSpPr>
      <xdr:spPr>
        <a:xfrm>
          <a:off x="9017000" y="190500"/>
          <a:ext cx="635000" cy="4445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MUR</a:t>
          </a:r>
        </a:p>
      </xdr:txBody>
    </xdr:sp>
    <xdr:clientData/>
  </xdr:twoCellAnchor>
  <xdr:twoCellAnchor>
    <xdr:from>
      <xdr:col>14</xdr:col>
      <xdr:colOff>232833</xdr:colOff>
      <xdr:row>1</xdr:row>
      <xdr:rowOff>4233</xdr:rowOff>
    </xdr:from>
    <xdr:to>
      <xdr:col>15</xdr:col>
      <xdr:colOff>190500</xdr:colOff>
      <xdr:row>3</xdr:row>
      <xdr:rowOff>76200</xdr:rowOff>
    </xdr:to>
    <xdr:sp macro="MOD_04_Dashboard_ETL.CHANGER_DEVISE" textlink="">
      <xdr:nvSpPr>
        <xdr:cNvPr id="11" name="BTN_DEV_EUR">
          <a:extLst>
            <a:ext uri="{FF2B5EF4-FFF2-40B4-BE49-F238E27FC236}">
              <a16:creationId xmlns:a16="http://schemas.microsoft.com/office/drawing/2014/main" id="{0F9FC395-30CB-8A47-6AF3-375E77FBC571}"/>
            </a:ext>
          </a:extLst>
        </xdr:cNvPr>
        <xdr:cNvSpPr/>
      </xdr:nvSpPr>
      <xdr:spPr>
        <a:xfrm>
          <a:off x="9715500" y="190500"/>
          <a:ext cx="635000" cy="4445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EUR</a:t>
          </a:r>
        </a:p>
      </xdr:txBody>
    </xdr:sp>
    <xdr:clientData/>
  </xdr:twoCellAnchor>
  <xdr:twoCellAnchor>
    <xdr:from>
      <xdr:col>15</xdr:col>
      <xdr:colOff>254000</xdr:colOff>
      <xdr:row>1</xdr:row>
      <xdr:rowOff>4233</xdr:rowOff>
    </xdr:from>
    <xdr:to>
      <xdr:col>16</xdr:col>
      <xdr:colOff>211667</xdr:colOff>
      <xdr:row>3</xdr:row>
      <xdr:rowOff>76200</xdr:rowOff>
    </xdr:to>
    <xdr:sp macro="MOD_04_Dashboard_ETL.CHANGER_DEVISE" textlink="">
      <xdr:nvSpPr>
        <xdr:cNvPr id="12" name="BTN_DEV_USD">
          <a:extLst>
            <a:ext uri="{FF2B5EF4-FFF2-40B4-BE49-F238E27FC236}">
              <a16:creationId xmlns:a16="http://schemas.microsoft.com/office/drawing/2014/main" id="{E301CB32-EFE2-840C-1339-9383D7D6664C}"/>
            </a:ext>
          </a:extLst>
        </xdr:cNvPr>
        <xdr:cNvSpPr/>
      </xdr:nvSpPr>
      <xdr:spPr>
        <a:xfrm>
          <a:off x="10414000" y="190500"/>
          <a:ext cx="635000" cy="4445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USD</a:t>
          </a:r>
        </a:p>
      </xdr:txBody>
    </xdr:sp>
    <xdr:clientData/>
  </xdr:twoCellAnchor>
  <xdr:twoCellAnchor>
    <xdr:from>
      <xdr:col>16</xdr:col>
      <xdr:colOff>275167</xdr:colOff>
      <xdr:row>1</xdr:row>
      <xdr:rowOff>4233</xdr:rowOff>
    </xdr:from>
    <xdr:to>
      <xdr:col>17</xdr:col>
      <xdr:colOff>232833</xdr:colOff>
      <xdr:row>3</xdr:row>
      <xdr:rowOff>76200</xdr:rowOff>
    </xdr:to>
    <xdr:sp macro="MOD_04_Dashboard_ETL.CHANGER_DEVISE" textlink="">
      <xdr:nvSpPr>
        <xdr:cNvPr id="13" name="BTN_DEV_XOF">
          <a:extLst>
            <a:ext uri="{FF2B5EF4-FFF2-40B4-BE49-F238E27FC236}">
              <a16:creationId xmlns:a16="http://schemas.microsoft.com/office/drawing/2014/main" id="{ECF5D51E-530D-74E0-36FF-DF0B05C1B441}"/>
            </a:ext>
          </a:extLst>
        </xdr:cNvPr>
        <xdr:cNvSpPr/>
      </xdr:nvSpPr>
      <xdr:spPr>
        <a:xfrm>
          <a:off x="11112500" y="190500"/>
          <a:ext cx="635000" cy="4445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XOF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7</xdr:col>
      <xdr:colOff>479778</xdr:colOff>
      <xdr:row>8</xdr:row>
      <xdr:rowOff>4233</xdr:rowOff>
    </xdr:to>
    <xdr:sp macro="" textlink="">
      <xdr:nvSpPr>
        <xdr:cNvPr id="14" name="CARD_INC">
          <a:extLst>
            <a:ext uri="{FF2B5EF4-FFF2-40B4-BE49-F238E27FC236}">
              <a16:creationId xmlns:a16="http://schemas.microsoft.com/office/drawing/2014/main" id="{03A169C2-6A99-600F-DC01-B013BB080ADA}"/>
            </a:ext>
          </a:extLst>
        </xdr:cNvPr>
        <xdr:cNvSpPr/>
      </xdr:nvSpPr>
      <xdr:spPr>
        <a:xfrm>
          <a:off x="423333" y="1117600"/>
          <a:ext cx="3976512" cy="1079500"/>
        </a:xfrm>
        <a:prstGeom prst="roundRect">
          <a:avLst/>
        </a:prstGeom>
        <a:solidFill>
          <a:srgbClr val="4169E1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ADLaM Display" panose="02010000000000000000" pitchFamily="2" charset="0"/>
            </a:rPr>
            <a:t>TOTAL REVENUS (MUR)</a:t>
          </a:r>
        </a:p>
        <a:p>
          <a:pPr algn="ctr"/>
          <a:r>
            <a:rPr lang="en-US" sz="3000" b="1">
              <a:solidFill>
                <a:srgbClr val="FFFFFF"/>
              </a:solidFill>
              <a:latin typeface="ADLaM Display" panose="02010000000000000000" pitchFamily="2" charset="0"/>
            </a:rPr>
            <a:t>604,738.94</a:t>
          </a:r>
        </a:p>
      </xdr:txBody>
    </xdr:sp>
    <xdr:clientData/>
  </xdr:twoCellAnchor>
  <xdr:twoCellAnchor>
    <xdr:from>
      <xdr:col>7</xdr:col>
      <xdr:colOff>670278</xdr:colOff>
      <xdr:row>6</xdr:row>
      <xdr:rowOff>0</xdr:rowOff>
    </xdr:from>
    <xdr:to>
      <xdr:col>9</xdr:col>
      <xdr:colOff>870655</xdr:colOff>
      <xdr:row>8</xdr:row>
      <xdr:rowOff>4233</xdr:rowOff>
    </xdr:to>
    <xdr:sp macro="" textlink="">
      <xdr:nvSpPr>
        <xdr:cNvPr id="15" name="CARD_EXP">
          <a:extLst>
            <a:ext uri="{FF2B5EF4-FFF2-40B4-BE49-F238E27FC236}">
              <a16:creationId xmlns:a16="http://schemas.microsoft.com/office/drawing/2014/main" id="{EFC37E87-DFF5-C989-3A4D-3C732BF0E7EC}"/>
            </a:ext>
          </a:extLst>
        </xdr:cNvPr>
        <xdr:cNvSpPr/>
      </xdr:nvSpPr>
      <xdr:spPr>
        <a:xfrm>
          <a:off x="4590345" y="1117600"/>
          <a:ext cx="3976510" cy="1079500"/>
        </a:xfrm>
        <a:prstGeom prst="roundRect">
          <a:avLst/>
        </a:prstGeom>
        <a:solidFill>
          <a:srgbClr val="7851A9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ADLaM Display" panose="02010000000000000000" pitchFamily="2" charset="0"/>
            </a:rPr>
            <a:t>TOTAL DÉPENSES (MUR)</a:t>
          </a:r>
        </a:p>
        <a:p>
          <a:pPr algn="ctr"/>
          <a:r>
            <a:rPr lang="en-US" sz="3000" b="1">
              <a:solidFill>
                <a:srgbClr val="FFFFFF"/>
              </a:solidFill>
              <a:latin typeface="ADLaM Display" panose="02010000000000000000" pitchFamily="2" charset="0"/>
            </a:rPr>
            <a:t>30,012.00</a:t>
          </a:r>
        </a:p>
      </xdr:txBody>
    </xdr:sp>
    <xdr:clientData/>
  </xdr:twoCellAnchor>
  <xdr:twoCellAnchor>
    <xdr:from>
      <xdr:col>9</xdr:col>
      <xdr:colOff>1061155</xdr:colOff>
      <xdr:row>6</xdr:row>
      <xdr:rowOff>0</xdr:rowOff>
    </xdr:from>
    <xdr:to>
      <xdr:col>12</xdr:col>
      <xdr:colOff>2345266</xdr:colOff>
      <xdr:row>8</xdr:row>
      <xdr:rowOff>4233</xdr:rowOff>
    </xdr:to>
    <xdr:sp macro="" textlink="">
      <xdr:nvSpPr>
        <xdr:cNvPr id="16" name="CARD_NET">
          <a:extLst>
            <a:ext uri="{FF2B5EF4-FFF2-40B4-BE49-F238E27FC236}">
              <a16:creationId xmlns:a16="http://schemas.microsoft.com/office/drawing/2014/main" id="{8579FC23-EA84-635D-248D-5B7BDAA1E430}"/>
            </a:ext>
          </a:extLst>
        </xdr:cNvPr>
        <xdr:cNvSpPr/>
      </xdr:nvSpPr>
      <xdr:spPr>
        <a:xfrm>
          <a:off x="8757355" y="1117600"/>
          <a:ext cx="3976511" cy="10795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282828"/>
              </a:solidFill>
              <a:latin typeface="ADLaM Display" panose="02010000000000000000" pitchFamily="2" charset="0"/>
            </a:rPr>
            <a:t>CASHFLOW NET (MUR)</a:t>
          </a:r>
        </a:p>
        <a:p>
          <a:pPr algn="ctr"/>
          <a:r>
            <a:rPr lang="en-US" sz="3000" b="1">
              <a:solidFill>
                <a:srgbClr val="282828"/>
              </a:solidFill>
              <a:latin typeface="ADLaM Display" panose="02010000000000000000" pitchFamily="2" charset="0"/>
            </a:rPr>
            <a:t>574,726.94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42333</xdr:colOff>
      <xdr:row>1</xdr:row>
      <xdr:rowOff>4233</xdr:rowOff>
    </xdr:from>
    <xdr:to>
      <xdr:col>2</xdr:col>
      <xdr:colOff>1608667</xdr:colOff>
      <xdr:row>3</xdr:row>
      <xdr:rowOff>38100</xdr:rowOff>
    </xdr:to>
    <xdr:sp macro="MOD_06_Budget_ZBB.ANIMATION_RETOUR" textlink="">
      <xdr:nvSpPr>
        <xdr:cNvPr id="2" name="BTN_RETOUR_TACTILE_BUDG">
          <a:extLst>
            <a:ext uri="{FF2B5EF4-FFF2-40B4-BE49-F238E27FC236}">
              <a16:creationId xmlns:a16="http://schemas.microsoft.com/office/drawing/2014/main" id="{8B954525-2B44-56CE-F5CE-FA81C988EEE5}"/>
            </a:ext>
          </a:extLst>
        </xdr:cNvPr>
        <xdr:cNvSpPr/>
      </xdr:nvSpPr>
      <xdr:spPr>
        <a:xfrm>
          <a:off x="254000" y="190500"/>
          <a:ext cx="1778000" cy="406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900" b="1">
              <a:solidFill>
                <a:srgbClr val="282828"/>
              </a:solidFill>
              <a:latin typeface="ADLaM Display" panose="02010000000000000000" pitchFamily="2" charset="0"/>
            </a:rPr>
            <a:t>&lt;  RETOUR AU MENU</a:t>
          </a:r>
        </a:p>
      </xdr:txBody>
    </xdr:sp>
    <xdr:clientData/>
  </xdr:twoCellAnchor>
  <xdr:twoCellAnchor>
    <xdr:from>
      <xdr:col>2</xdr:col>
      <xdr:colOff>1862667</xdr:colOff>
      <xdr:row>0</xdr:row>
      <xdr:rowOff>127000</xdr:rowOff>
    </xdr:from>
    <xdr:to>
      <xdr:col>4</xdr:col>
      <xdr:colOff>220133</xdr:colOff>
      <xdr:row>3</xdr:row>
      <xdr:rowOff>76200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31A011E-5667-C965-DA99-AB94CCF55D99}"/>
            </a:ext>
          </a:extLst>
        </xdr:cNvPr>
        <xdr:cNvSpPr txBox="1"/>
      </xdr:nvSpPr>
      <xdr:spPr>
        <a:xfrm>
          <a:off x="2286000" y="127000"/>
          <a:ext cx="3810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800" b="1">
              <a:solidFill>
                <a:srgbClr val="FFFFFF"/>
              </a:solidFill>
              <a:latin typeface="ADLaM Display" panose="02010000000000000000" pitchFamily="2" charset="0"/>
            </a:rPr>
            <a:t>PILOTAGE BUDGÉTAIRE</a:t>
          </a:r>
        </a:p>
        <a:p>
          <a:r>
            <a:rPr lang="en-US" sz="1000">
              <a:solidFill>
                <a:srgbClr val="DCDCFF"/>
              </a:solidFill>
              <a:latin typeface="ADLaM Display" panose="02010000000000000000" pitchFamily="2" charset="0"/>
            </a:rPr>
            <a:t>As of : Feb 2026</a:t>
          </a:r>
        </a:p>
      </xdr:txBody>
    </xdr:sp>
    <xdr:clientData/>
  </xdr:twoCellAnchor>
  <xdr:twoCellAnchor>
    <xdr:from>
      <xdr:col>4</xdr:col>
      <xdr:colOff>220133</xdr:colOff>
      <xdr:row>1</xdr:row>
      <xdr:rowOff>4233</xdr:rowOff>
    </xdr:from>
    <xdr:to>
      <xdr:col>4</xdr:col>
      <xdr:colOff>664633</xdr:colOff>
      <xdr:row>3</xdr:row>
      <xdr:rowOff>38100</xdr:rowOff>
    </xdr:to>
    <xdr:sp macro="MOD_06_Budget_ZBB.MOIS_PRECEDENT_BUDG" textlink="">
      <xdr:nvSpPr>
        <xdr:cNvPr id="4" name="BTN_BUDG_PREV">
          <a:extLst>
            <a:ext uri="{FF2B5EF4-FFF2-40B4-BE49-F238E27FC236}">
              <a16:creationId xmlns:a16="http://schemas.microsoft.com/office/drawing/2014/main" id="{15983EB7-FE43-2793-85C3-E5FA0EBC324E}"/>
            </a:ext>
          </a:extLst>
        </xdr:cNvPr>
        <xdr:cNvSpPr/>
      </xdr:nvSpPr>
      <xdr:spPr>
        <a:xfrm>
          <a:off x="6096000" y="190500"/>
          <a:ext cx="4445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&lt;</a:t>
          </a:r>
        </a:p>
      </xdr:txBody>
    </xdr:sp>
    <xdr:clientData/>
  </xdr:twoCellAnchor>
  <xdr:twoCellAnchor>
    <xdr:from>
      <xdr:col>4</xdr:col>
      <xdr:colOff>728133</xdr:colOff>
      <xdr:row>1</xdr:row>
      <xdr:rowOff>4233</xdr:rowOff>
    </xdr:from>
    <xdr:to>
      <xdr:col>5</xdr:col>
      <xdr:colOff>668867</xdr:colOff>
      <xdr:row>3</xdr:row>
      <xdr:rowOff>38100</xdr:rowOff>
    </xdr:to>
    <xdr:sp macro="" textlink="">
      <xdr:nvSpPr>
        <xdr:cNvPr id="5" name="LBL_BUDG_MONTH">
          <a:extLst>
            <a:ext uri="{FF2B5EF4-FFF2-40B4-BE49-F238E27FC236}">
              <a16:creationId xmlns:a16="http://schemas.microsoft.com/office/drawing/2014/main" id="{8979F775-66F1-BAD2-EEA1-DEB8221B5311}"/>
            </a:ext>
          </a:extLst>
        </xdr:cNvPr>
        <xdr:cNvSpPr/>
      </xdr:nvSpPr>
      <xdr:spPr>
        <a:xfrm>
          <a:off x="6604000" y="190500"/>
          <a:ext cx="1905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FEBRUARY 2026</a:t>
          </a:r>
        </a:p>
      </xdr:txBody>
    </xdr:sp>
    <xdr:clientData/>
  </xdr:twoCellAnchor>
  <xdr:twoCellAnchor>
    <xdr:from>
      <xdr:col>5</xdr:col>
      <xdr:colOff>732367</xdr:colOff>
      <xdr:row>1</xdr:row>
      <xdr:rowOff>4233</xdr:rowOff>
    </xdr:from>
    <xdr:to>
      <xdr:col>5</xdr:col>
      <xdr:colOff>1176867</xdr:colOff>
      <xdr:row>3</xdr:row>
      <xdr:rowOff>38100</xdr:rowOff>
    </xdr:to>
    <xdr:sp macro="MOD_06_Budget_ZBB.MOIS_SUIVANT_BUDG" textlink="">
      <xdr:nvSpPr>
        <xdr:cNvPr id="6" name="BTN_BUDG_NEXT">
          <a:extLst>
            <a:ext uri="{FF2B5EF4-FFF2-40B4-BE49-F238E27FC236}">
              <a16:creationId xmlns:a16="http://schemas.microsoft.com/office/drawing/2014/main" id="{BFC688F5-1883-EFF6-A3A7-B703626C5534}"/>
            </a:ext>
          </a:extLst>
        </xdr:cNvPr>
        <xdr:cNvSpPr/>
      </xdr:nvSpPr>
      <xdr:spPr>
        <a:xfrm>
          <a:off x="8572500" y="190500"/>
          <a:ext cx="4445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&gt;</a:t>
          </a:r>
        </a:p>
      </xdr:txBody>
    </xdr:sp>
    <xdr:clientData/>
  </xdr:twoCellAnchor>
  <xdr:twoCellAnchor>
    <xdr:from>
      <xdr:col>5</xdr:col>
      <xdr:colOff>1430867</xdr:colOff>
      <xdr:row>1</xdr:row>
      <xdr:rowOff>4233</xdr:rowOff>
    </xdr:from>
    <xdr:to>
      <xdr:col>6</xdr:col>
      <xdr:colOff>38100</xdr:colOff>
      <xdr:row>3</xdr:row>
      <xdr:rowOff>38100</xdr:rowOff>
    </xdr:to>
    <xdr:sp macro="MOD_06_Budget_ZBB.CHANGER_DEVISE_BUDG" textlink="">
      <xdr:nvSpPr>
        <xdr:cNvPr id="7" name="BTN_BUDG_DEV_MUR">
          <a:extLst>
            <a:ext uri="{FF2B5EF4-FFF2-40B4-BE49-F238E27FC236}">
              <a16:creationId xmlns:a16="http://schemas.microsoft.com/office/drawing/2014/main" id="{3B2BCD93-B7F5-2691-BC8E-91279B1E4678}"/>
            </a:ext>
          </a:extLst>
        </xdr:cNvPr>
        <xdr:cNvSpPr/>
      </xdr:nvSpPr>
      <xdr:spPr>
        <a:xfrm>
          <a:off x="9271000" y="190500"/>
          <a:ext cx="571500" cy="4064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MUR</a:t>
          </a:r>
        </a:p>
      </xdr:txBody>
    </xdr:sp>
    <xdr:clientData/>
  </xdr:twoCellAnchor>
  <xdr:twoCellAnchor>
    <xdr:from>
      <xdr:col>6</xdr:col>
      <xdr:colOff>101600</xdr:colOff>
      <xdr:row>1</xdr:row>
      <xdr:rowOff>4233</xdr:rowOff>
    </xdr:from>
    <xdr:to>
      <xdr:col>6</xdr:col>
      <xdr:colOff>673100</xdr:colOff>
      <xdr:row>3</xdr:row>
      <xdr:rowOff>38100</xdr:rowOff>
    </xdr:to>
    <xdr:sp macro="MOD_06_Budget_ZBB.CHANGER_DEVISE_BUDG" textlink="">
      <xdr:nvSpPr>
        <xdr:cNvPr id="8" name="BTN_BUDG_DEV_EUR">
          <a:extLst>
            <a:ext uri="{FF2B5EF4-FFF2-40B4-BE49-F238E27FC236}">
              <a16:creationId xmlns:a16="http://schemas.microsoft.com/office/drawing/2014/main" id="{C28986DC-8E2D-289F-BFF9-6B773B72D285}"/>
            </a:ext>
          </a:extLst>
        </xdr:cNvPr>
        <xdr:cNvSpPr/>
      </xdr:nvSpPr>
      <xdr:spPr>
        <a:xfrm>
          <a:off x="9906000" y="190500"/>
          <a:ext cx="5715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EUR</a:t>
          </a:r>
        </a:p>
      </xdr:txBody>
    </xdr:sp>
    <xdr:clientData/>
  </xdr:twoCellAnchor>
  <xdr:twoCellAnchor>
    <xdr:from>
      <xdr:col>6</xdr:col>
      <xdr:colOff>736600</xdr:colOff>
      <xdr:row>1</xdr:row>
      <xdr:rowOff>4233</xdr:rowOff>
    </xdr:from>
    <xdr:to>
      <xdr:col>6</xdr:col>
      <xdr:colOff>1308100</xdr:colOff>
      <xdr:row>3</xdr:row>
      <xdr:rowOff>38100</xdr:rowOff>
    </xdr:to>
    <xdr:sp macro="MOD_06_Budget_ZBB.CHANGER_DEVISE_BUDG" textlink="">
      <xdr:nvSpPr>
        <xdr:cNvPr id="9" name="BTN_BUDG_DEV_USD">
          <a:extLst>
            <a:ext uri="{FF2B5EF4-FFF2-40B4-BE49-F238E27FC236}">
              <a16:creationId xmlns:a16="http://schemas.microsoft.com/office/drawing/2014/main" id="{823031EC-9AFF-1F82-7E79-4E7BC7416821}"/>
            </a:ext>
          </a:extLst>
        </xdr:cNvPr>
        <xdr:cNvSpPr/>
      </xdr:nvSpPr>
      <xdr:spPr>
        <a:xfrm>
          <a:off x="10541000" y="190500"/>
          <a:ext cx="5715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USD</a:t>
          </a:r>
        </a:p>
      </xdr:txBody>
    </xdr:sp>
    <xdr:clientData/>
  </xdr:twoCellAnchor>
  <xdr:twoCellAnchor>
    <xdr:from>
      <xdr:col>6</xdr:col>
      <xdr:colOff>1371600</xdr:colOff>
      <xdr:row>1</xdr:row>
      <xdr:rowOff>4233</xdr:rowOff>
    </xdr:from>
    <xdr:to>
      <xdr:col>6</xdr:col>
      <xdr:colOff>1943100</xdr:colOff>
      <xdr:row>3</xdr:row>
      <xdr:rowOff>38100</xdr:rowOff>
    </xdr:to>
    <xdr:sp macro="MOD_06_Budget_ZBB.CHANGER_DEVISE_BUDG" textlink="">
      <xdr:nvSpPr>
        <xdr:cNvPr id="10" name="BTN_BUDG_DEV_OXF">
          <a:extLst>
            <a:ext uri="{FF2B5EF4-FFF2-40B4-BE49-F238E27FC236}">
              <a16:creationId xmlns:a16="http://schemas.microsoft.com/office/drawing/2014/main" id="{D13C368E-E9FC-1705-CBC0-E5ACC8DA29DF}"/>
            </a:ext>
          </a:extLst>
        </xdr:cNvPr>
        <xdr:cNvSpPr/>
      </xdr:nvSpPr>
      <xdr:spPr>
        <a:xfrm>
          <a:off x="11176000" y="190500"/>
          <a:ext cx="5715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OXF</a:t>
          </a:r>
        </a:p>
      </xdr:txBody>
    </xdr:sp>
    <xdr:clientData/>
  </xdr:twoCellAnchor>
  <xdr:twoCellAnchor>
    <xdr:from>
      <xdr:col>6</xdr:col>
      <xdr:colOff>2294467</xdr:colOff>
      <xdr:row>1</xdr:row>
      <xdr:rowOff>4233</xdr:rowOff>
    </xdr:from>
    <xdr:to>
      <xdr:col>9</xdr:col>
      <xdr:colOff>118535</xdr:colOff>
      <xdr:row>3</xdr:row>
      <xdr:rowOff>38100</xdr:rowOff>
    </xdr:to>
    <xdr:sp macro="MOD_06_Budget_ZBB.ANIMATION_OUVRIR_ALLOC" textlink="">
      <xdr:nvSpPr>
        <xdr:cNvPr id="11" name="BTN_ALLOC_TACTILE">
          <a:extLst>
            <a:ext uri="{FF2B5EF4-FFF2-40B4-BE49-F238E27FC236}">
              <a16:creationId xmlns:a16="http://schemas.microsoft.com/office/drawing/2014/main" id="{371748FA-9FCD-DD7C-84B1-8ADAA5FF5AF4}"/>
            </a:ext>
          </a:extLst>
        </xdr:cNvPr>
        <xdr:cNvSpPr/>
      </xdr:nvSpPr>
      <xdr:spPr>
        <a:xfrm>
          <a:off x="12098867" y="190500"/>
          <a:ext cx="1905001" cy="4064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900" b="1">
              <a:solidFill>
                <a:srgbClr val="282828"/>
              </a:solidFill>
              <a:latin typeface="ADLaM Display" panose="02010000000000000000" pitchFamily="2" charset="0"/>
            </a:rPr>
            <a:t>+  ALLOUER BUDGET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420511</xdr:colOff>
      <xdr:row>8</xdr:row>
      <xdr:rowOff>4233</xdr:rowOff>
    </xdr:to>
    <xdr:sp macro="" textlink="">
      <xdr:nvSpPr>
        <xdr:cNvPr id="12" name="CARD_ALLO">
          <a:extLst>
            <a:ext uri="{FF2B5EF4-FFF2-40B4-BE49-F238E27FC236}">
              <a16:creationId xmlns:a16="http://schemas.microsoft.com/office/drawing/2014/main" id="{480F4215-49A4-3E1B-0980-2FD9DDDFED33}"/>
            </a:ext>
          </a:extLst>
        </xdr:cNvPr>
        <xdr:cNvSpPr/>
      </xdr:nvSpPr>
      <xdr:spPr>
        <a:xfrm>
          <a:off x="423333" y="1117600"/>
          <a:ext cx="3908778" cy="1079500"/>
        </a:xfrm>
        <a:prstGeom prst="roundRect">
          <a:avLst/>
        </a:prstGeom>
        <a:solidFill>
          <a:srgbClr val="3498DB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TOTAL ALLOUÉ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0.00</a:t>
          </a:r>
        </a:p>
      </xdr:txBody>
    </xdr:sp>
    <xdr:clientData/>
  </xdr:twoCellAnchor>
  <xdr:twoCellAnchor>
    <xdr:from>
      <xdr:col>3</xdr:col>
      <xdr:colOff>611011</xdr:colOff>
      <xdr:row>6</xdr:row>
      <xdr:rowOff>0</xdr:rowOff>
    </xdr:from>
    <xdr:to>
      <xdr:col>5</xdr:col>
      <xdr:colOff>591256</xdr:colOff>
      <xdr:row>8</xdr:row>
      <xdr:rowOff>4233</xdr:rowOff>
    </xdr:to>
    <xdr:sp macro="" textlink="">
      <xdr:nvSpPr>
        <xdr:cNvPr id="13" name="CARD_SPEN">
          <a:extLst>
            <a:ext uri="{FF2B5EF4-FFF2-40B4-BE49-F238E27FC236}">
              <a16:creationId xmlns:a16="http://schemas.microsoft.com/office/drawing/2014/main" id="{3E7E0AC5-4DAC-A6BC-3B6B-ADC17A9777D9}"/>
            </a:ext>
          </a:extLst>
        </xdr:cNvPr>
        <xdr:cNvSpPr/>
      </xdr:nvSpPr>
      <xdr:spPr>
        <a:xfrm>
          <a:off x="4522611" y="1117600"/>
          <a:ext cx="3908778" cy="1079500"/>
        </a:xfrm>
        <a:prstGeom prst="roundRect">
          <a:avLst/>
        </a:prstGeom>
        <a:solidFill>
          <a:srgbClr val="7851A9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TOTAL DÉPENSÉ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22,190.25</a:t>
          </a:r>
        </a:p>
      </xdr:txBody>
    </xdr:sp>
    <xdr:clientData/>
  </xdr:twoCellAnchor>
  <xdr:twoCellAnchor>
    <xdr:from>
      <xdr:col>5</xdr:col>
      <xdr:colOff>781756</xdr:colOff>
      <xdr:row>6</xdr:row>
      <xdr:rowOff>0</xdr:rowOff>
    </xdr:from>
    <xdr:to>
      <xdr:col>7</xdr:col>
      <xdr:colOff>0</xdr:colOff>
      <xdr:row>8</xdr:row>
      <xdr:rowOff>4233</xdr:rowOff>
    </xdr:to>
    <xdr:sp macro="" textlink="">
      <xdr:nvSpPr>
        <xdr:cNvPr id="14" name="CARD_LEFT">
          <a:extLst>
            <a:ext uri="{FF2B5EF4-FFF2-40B4-BE49-F238E27FC236}">
              <a16:creationId xmlns:a16="http://schemas.microsoft.com/office/drawing/2014/main" id="{78822F0D-128C-93DB-7BAC-3B188FC93033}"/>
            </a:ext>
          </a:extLst>
        </xdr:cNvPr>
        <xdr:cNvSpPr/>
      </xdr:nvSpPr>
      <xdr:spPr>
        <a:xfrm>
          <a:off x="8621889" y="1117600"/>
          <a:ext cx="3908778" cy="1079500"/>
        </a:xfrm>
        <a:prstGeom prst="roundRect">
          <a:avLst/>
        </a:prstGeom>
        <a:solidFill>
          <a:srgbClr val="2ECC71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RESTE À DÉPENSER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-22,190.25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1022828-A3C6-4794-B03F-63B26C3EF007}" name="VIEW_NetWorth" displayName="VIEW_NetWorth" ref="C12:F19" totalsRowShown="0" headerRowDxfId="5" dataDxfId="4">
  <autoFilter ref="C12:F19" xr:uid="{A1022828-A3C6-4794-B03F-63B26C3EF007}">
    <filterColumn colId="0" hiddenButton="1"/>
    <filterColumn colId="1" hiddenButton="1"/>
    <filterColumn colId="2" hiddenButton="1"/>
    <filterColumn colId="3" hiddenButton="1"/>
  </autoFilter>
  <tableColumns count="4">
    <tableColumn id="1" xr3:uid="{3A9F23F3-703A-4138-B5D4-4ECB2658B496}" name="COMPTE FINANCIER" dataDxfId="3"/>
    <tableColumn id="2" xr3:uid="{37E4E184-ED54-4D13-8C4B-1DE1C7DB0F93}" name="CLASSE D'ACTIF" dataDxfId="2"/>
    <tableColumn id="3" xr3:uid="{D0738696-5C58-45AB-BA25-573E5FEA7CF2}" name="DEVISE" dataDxfId="1"/>
    <tableColumn id="4" xr3:uid="{A33AC2C8-7173-49FC-81CC-F2505A6AD52D}" name="SOLDE" dataDxfId="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4" xr:uid="{E65D1CED-C7B5-4797-9228-22802CB9E46E}" name="VIEW_Transactions" displayName="VIEW_Transactions" ref="C12:M33" totalsRowShown="0" headerRowDxfId="25" dataDxfId="24">
  <autoFilter ref="C12:M33" xr:uid="{E65D1CED-C7B5-4797-9228-22802CB9E46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89600B88-8B82-424F-AF18-16623538C455}" name="ID" dataDxfId="23"/>
    <tableColumn id="2" xr3:uid="{EF9FC63F-C175-4B87-8580-FBD16325E08E}" name="DATE (JJ/MM/AAAA) :" dataDxfId="22"/>
    <tableColumn id="3" xr3:uid="{237180CD-B098-4425-92F4-F884AEFEE488}" name="ANNÉE" dataDxfId="21"/>
    <tableColumn id="4" xr3:uid="{AB6F6E46-C03C-4B38-92B6-133A359DB116}" name="MOIS" dataDxfId="20"/>
    <tableColumn id="5" xr3:uid="{2E918683-76AC-4B90-999E-54C044829317}" name="COMPTE :" dataDxfId="19"/>
    <tableColumn id="6" xr3:uid="{1C69E4B1-FA3A-4CC9-8775-FEA38FBF5CD7}" name="CATÉGORIE :" dataDxfId="18"/>
    <tableColumn id="7" xr3:uid="{6D618C72-C9E0-4C7C-BA92-34794DC4AE96}" name="TIERS :" dataDxfId="17"/>
    <tableColumn id="8" xr3:uid="{406B0A09-C676-4C90-ACA2-63263A6685EE}" name="MONTANT :" dataDxfId="16"/>
    <tableColumn id="9" xr3:uid="{EB1CD614-4FB6-43AA-9F5B-19F1D404AD33}" name="DEVISE" dataDxfId="15"/>
    <tableColumn id="10" xr3:uid="{F929ED06-8EE5-4582-91D4-14E12CE39A9E}" name="TYPE DE FLUX" dataDxfId="14"/>
    <tableColumn id="11" xr3:uid="{58A67193-4522-4BED-8567-6BD1B3FAD518}" name="NOTES :" dataDxfId="1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3" xr:uid="{AA904A21-8EE8-41EA-9A79-379BE5205886}" name="VIEW_Budget" displayName="VIEW_Budget" ref="C12:G15" totalsRowShown="0" headerRowDxfId="12" dataDxfId="11">
  <autoFilter ref="C12:G15" xr:uid="{AA904A21-8EE8-41EA-9A79-379BE5205886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CA7C8489-1457-4F71-928C-150916B71127}" name="ENVELOPPE (CATÉGORIE)" dataDxfId="10"/>
    <tableColumn id="2" xr3:uid="{DB6EDEDD-69D1-4F40-AE3F-E1270804F51C}" name="ALLOUÉ" dataDxfId="9"/>
    <tableColumn id="3" xr3:uid="{7884F2CB-3B32-4BA6-8237-16E14958C6A7}" name="RÉALISÉ" dataDxfId="8"/>
    <tableColumn id="4" xr3:uid="{CAB6DDB0-4797-456E-B5C5-E25F1052CE59}" name="ÉCART" dataDxfId="7"/>
    <tableColumn id="5" xr3:uid="{29D6ACD3-5AC5-47CE-A9B1-F078A4A41939}" name="CONSOMMATION" dataDxfId="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1B9851-ACD5-4EBC-8C3D-0F6B47E10A52}" name="T_DIM_Compte" displayName="T_DIM_Compte" ref="A1:E17" totalsRowShown="0">
  <autoFilter ref="A1:E17" xr:uid="{EE1B9851-ACD5-4EBC-8C3D-0F6B47E10A52}"/>
  <tableColumns count="5">
    <tableColumn id="1" xr3:uid="{FD14A4D9-A3EB-422D-8054-BA98E3A9CA03}" name="ID_Compte"/>
    <tableColumn id="2" xr3:uid="{F8C54ABD-8659-41BC-823D-C361CA0F956C}" name="Nom_Compte"/>
    <tableColumn id="3" xr3:uid="{9A459EF1-3176-4BCB-93C8-A990E6CFDBA6}" name="Classe_Actif"/>
    <tableColumn id="4" xr3:uid="{9BE2B7BB-6F72-4222-B3EF-1241240ADA38}" name="Devise_Defaut"/>
    <tableColumn id="5" xr3:uid="{DB21D451-963C-49EF-AB07-0874E5863E9B}" name="Est_Actif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264C28-ACA3-47D6-BD16-72BC41E18096}" name="T_DIM_Categorie" displayName="T_DIM_Categorie" ref="A1:C21" totalsRowShown="0">
  <autoFilter ref="A1:C21" xr:uid="{F8264C28-ACA3-47D6-BD16-72BC41E18096}"/>
  <tableColumns count="3">
    <tableColumn id="1" xr3:uid="{B204552C-3E02-4617-B3E4-5418C2C46C30}" name="ID_Categorie"/>
    <tableColumn id="2" xr3:uid="{3ADECE16-927A-4C0C-B909-2AF5AD769EBF}" name="Nom_Categorie"/>
    <tableColumn id="3" xr3:uid="{68B36DE0-5983-49E5-B142-1D85FC3F5D7F}" name="Type_Flux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A1A578-B77E-4061-AEF3-8B4B6E872C76}" name="T_DIM_Tiers" displayName="T_DIM_Tiers" ref="A1:C16" totalsRowShown="0">
  <autoFilter ref="A1:C16" xr:uid="{96A1A578-B77E-4061-AEF3-8B4B6E872C76}"/>
  <tableColumns count="3">
    <tableColumn id="1" xr3:uid="{2511E65C-C642-48D4-983B-BB32C20954BA}" name="ID_Tiers"/>
    <tableColumn id="2" xr3:uid="{A72988F9-96C0-414A-BE00-0CCF47CB5133}" name="Nom_Tiers"/>
    <tableColumn id="3" xr3:uid="{5C9D4760-94A8-4C0C-B62C-A5755CAE3B95}" name="Type_Tiers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5DC7A6-056E-443F-B9B8-50D1DFE56145}" name="T_FACT_Transaction" displayName="T_FACT_Transaction" ref="A1:J22" totalsRowShown="0">
  <autoFilter ref="A1:J22" xr:uid="{7E5DC7A6-056E-443F-B9B8-50D1DFE56145}"/>
  <tableColumns count="10">
    <tableColumn id="1" xr3:uid="{82DD51E1-A862-4873-AA4D-BDFC841EA9F1}" name="ID_Trans"/>
    <tableColumn id="2" xr3:uid="{8A5FDF74-0E93-4689-AB5F-208DB9FAFE7B}" name="Date_Trans"/>
    <tableColumn id="3" xr3:uid="{B6686DA5-E2B8-4956-8644-F9ADF681BC75}" name="ID_Compte"/>
    <tableColumn id="4" xr3:uid="{4101A00C-58C9-4BAE-AD87-486C292B2C29}" name="ID_Categorie"/>
    <tableColumn id="5" xr3:uid="{FE778B62-95A2-405A-A918-9853CBC63724}" name="ID_Tiers"/>
    <tableColumn id="6" xr3:uid="{273B6F9A-1D55-4B40-B458-F708B847CAB4}" name="Montant"/>
    <tableColumn id="7" xr3:uid="{7491D3CB-92A9-4F32-92D8-A14A2438053D}" name="Devise"/>
    <tableColumn id="8" xr3:uid="{CB6BE0DE-7F4B-4311-B03D-A3264CF1A5A2}" name="Notes"/>
    <tableColumn id="9" xr3:uid="{6A125324-1428-4D0B-AAF5-DB04D132E2BE}" name="SYS_User"/>
    <tableColumn id="10" xr3:uid="{BA453BE4-283F-4518-B4E0-C62B88DC8493}" name="SYS_Date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0E857A-D919-4822-A9B0-9CF437CBF9F9}" name="T_FACT_Budget" displayName="T_FACT_Budget" ref="A1:F2" insertRow="1" totalsRowShown="0">
  <autoFilter ref="A1:F2" xr:uid="{6B0E857A-D919-4822-A9B0-9CF437CBF9F9}"/>
  <tableColumns count="6">
    <tableColumn id="1" xr3:uid="{B7E1A59B-ED3A-48B9-B676-2F77C0FB1A5B}" name="ID_Budget"/>
    <tableColumn id="2" xr3:uid="{25F80523-BE7A-4B66-A8CB-E9724AD3BB89}" name="Mois_Annee"/>
    <tableColumn id="3" xr3:uid="{EE38A1ED-810E-4220-A8A1-0FBF133C5E1D}" name="ID_Categorie"/>
    <tableColumn id="4" xr3:uid="{1D7EF026-560A-4EAC-9F57-35595EAECD2B}" name="Montant_Alloue"/>
    <tableColumn id="5" xr3:uid="{20ACC8EB-D211-4079-89C9-527C966601A9}" name="SYS_User"/>
    <tableColumn id="6" xr3:uid="{CB7295C9-E548-4065-A34E-9C9E371E3D53}" name="SYS_Date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08D4AF6-645C-4456-83A5-93F27D39DB10}" name="T_SYS_Config" displayName="T_SYS_Config" ref="A1:C13" totalsRowShown="0">
  <autoFilter ref="A1:C13" xr:uid="{208D4AF6-645C-4456-83A5-93F27D39DB10}"/>
  <tableColumns count="3">
    <tableColumn id="1" xr3:uid="{A9F43618-47FD-453F-A44F-33817F007256}" name="Parametre"/>
    <tableColumn id="2" xr3:uid="{EAF5A4A4-7097-4E9B-A549-B0B41D343966}" name="Valeur"/>
    <tableColumn id="3" xr3:uid="{8B800B8E-DDF0-4DBE-9B3E-6613259F7243}" name="Description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07A915E6-9250-438A-9AF5-7003CDA9536E}" name="T_SYS_Dictionary" displayName="T_SYS_Dictionary" ref="E1:M63" totalsRowShown="0">
  <autoFilter ref="E1:M63" xr:uid="{07A915E6-9250-438A-9AF5-7003CDA9536E}"/>
  <tableColumns count="9">
    <tableColumn id="1" xr3:uid="{07DC77C1-65E7-4F7F-9DFF-75E939D97FCF}" name="KEY"/>
    <tableColumn id="2" xr3:uid="{D3065E21-682E-49E6-B3AC-3F6BA059D472}" name="FR"/>
    <tableColumn id="3" xr3:uid="{07EF345B-2946-4C65-81FC-1DDD3935DDFF}" name="EN"/>
    <tableColumn id="4" xr3:uid="{A5A4A828-C6F0-4423-97C0-EA30B29C0507}" name="ES"/>
    <tableColumn id="5" xr3:uid="{534CA134-EB67-4C6A-8CBE-325910AFCAF9}" name="PT"/>
    <tableColumn id="6" xr3:uid="{F106F28A-474B-4ECD-A10F-7F54A10AC16D}" name="DE"/>
    <tableColumn id="7" xr3:uid="{8CAB1AFA-EDAE-435E-B638-5264808300CD}" name="IT"/>
    <tableColumn id="8" xr3:uid="{143E5280-5839-48B9-85C2-1A863498BB2C}" name="NL"/>
    <tableColumn id="9" xr3:uid="{1017B0AC-210A-4E3D-B5ED-3B7B5F80A051}" name="SV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96945-5DE3-47B3-8BB5-897C766857D2}">
  <sheetPr codeName="Sheet29"/>
  <dimension ref="A1:Z8"/>
  <sheetViews>
    <sheetView showGridLines="0" showRowColHeaders="0" zoomScaleNormal="100" workbookViewId="0"/>
  </sheetViews>
  <sheetFormatPr defaultColWidth="9" defaultRowHeight="14.7" x14ac:dyDescent="0.3"/>
  <cols>
    <col min="1" max="16384" width="9" style="4"/>
  </cols>
  <sheetData>
    <row r="1" spans="1:26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x14ac:dyDescent="0.3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x14ac:dyDescent="0.3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x14ac:dyDescent="0.3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8" spans="1:26" x14ac:dyDescent="0.3">
      <c r="C8" s="1" t="s">
        <v>513</v>
      </c>
    </row>
  </sheetData>
  <sheetProtection algorithmName="SHA-512" hashValue="OzdeGgpGCo+ZEMDvo52Ww1ppnnGH2TRLLdnXpwYs0TPybu/DWkkkOkSs9S+8UnLFcaRUeeP6aM5yyBaCTcOoLQ==" saltValue="mSYc+Q8EJefmG1HziXOVqw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05BB8-0B2E-4E00-9468-A143C13D305F}">
  <sheetPr codeName="Sheet1"/>
  <dimension ref="A1:Z19"/>
  <sheetViews>
    <sheetView showGridLines="0" tabSelected="1" zoomScaleNormal="100" workbookViewId="0"/>
  </sheetViews>
  <sheetFormatPr defaultRowHeight="14.7" x14ac:dyDescent="0.3"/>
  <cols>
    <col min="1" max="2" width="2.77734375" style="21" customWidth="1"/>
    <col min="3" max="3" width="40.77734375" style="21" customWidth="1"/>
    <col min="4" max="4" width="30.77734375" style="21" customWidth="1"/>
    <col min="5" max="5" width="15.77734375" style="21" customWidth="1"/>
    <col min="6" max="6" width="30.77734375" style="21" customWidth="1"/>
    <col min="7" max="16384" width="8.88671875" style="21"/>
  </cols>
  <sheetData>
    <row r="1" spans="1:26" x14ac:dyDescent="0.3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</row>
    <row r="2" spans="1:26" x14ac:dyDescent="0.3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</row>
    <row r="3" spans="1:26" x14ac:dyDescent="0.3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</row>
    <row r="4" spans="1:26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</row>
    <row r="5" spans="1:26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</row>
    <row r="7" spans="1:26" ht="35" customHeight="1" x14ac:dyDescent="0.3"/>
    <row r="8" spans="1:26" ht="50" customHeight="1" x14ac:dyDescent="0.3"/>
    <row r="9" spans="1:26" ht="15" customHeight="1" x14ac:dyDescent="0.3"/>
    <row r="10" spans="1:26" ht="15" customHeight="1" x14ac:dyDescent="0.3"/>
    <row r="11" spans="1:26" ht="15" customHeight="1" x14ac:dyDescent="0.3"/>
    <row r="12" spans="1:26" ht="35" customHeight="1" x14ac:dyDescent="0.3">
      <c r="C12" s="23" t="s">
        <v>284</v>
      </c>
      <c r="D12" s="23" t="s">
        <v>293</v>
      </c>
      <c r="E12" s="23" t="s">
        <v>607</v>
      </c>
      <c r="F12" s="23" t="s">
        <v>453</v>
      </c>
    </row>
    <row r="13" spans="1:26" ht="28" customHeight="1" x14ac:dyDescent="0.3">
      <c r="C13" s="24" t="s">
        <v>630</v>
      </c>
      <c r="D13" s="26" t="s">
        <v>27</v>
      </c>
      <c r="E13" s="26" t="s">
        <v>623</v>
      </c>
      <c r="F13" s="28">
        <v>3832509</v>
      </c>
    </row>
    <row r="14" spans="1:26" ht="28" customHeight="1" x14ac:dyDescent="0.3">
      <c r="C14" s="25" t="s">
        <v>633</v>
      </c>
      <c r="D14" s="27" t="s">
        <v>27</v>
      </c>
      <c r="E14" s="27" t="s">
        <v>623</v>
      </c>
      <c r="F14" s="29">
        <v>484700</v>
      </c>
    </row>
    <row r="15" spans="1:26" ht="28" customHeight="1" x14ac:dyDescent="0.3">
      <c r="C15" s="24" t="s">
        <v>635</v>
      </c>
      <c r="D15" s="26" t="s">
        <v>27</v>
      </c>
      <c r="E15" s="26" t="s">
        <v>28</v>
      </c>
      <c r="F15" s="28">
        <v>25561.994999999999</v>
      </c>
    </row>
    <row r="16" spans="1:26" ht="28" customHeight="1" x14ac:dyDescent="0.3">
      <c r="C16" s="25" t="s">
        <v>636</v>
      </c>
      <c r="D16" s="27" t="s">
        <v>33</v>
      </c>
      <c r="E16" s="27" t="s">
        <v>623</v>
      </c>
      <c r="F16" s="29">
        <v>520000</v>
      </c>
    </row>
    <row r="17" spans="3:6" ht="28" customHeight="1" x14ac:dyDescent="0.3">
      <c r="C17" s="24" t="s">
        <v>639</v>
      </c>
      <c r="D17" s="26" t="s">
        <v>27</v>
      </c>
      <c r="E17" s="26" t="s">
        <v>623</v>
      </c>
      <c r="F17" s="28">
        <v>28460</v>
      </c>
    </row>
    <row r="18" spans="3:6" ht="28" customHeight="1" x14ac:dyDescent="0.3">
      <c r="C18" s="25" t="s">
        <v>627</v>
      </c>
      <c r="D18" s="27" t="s">
        <v>27</v>
      </c>
      <c r="E18" s="27" t="s">
        <v>28</v>
      </c>
      <c r="F18" s="29">
        <v>322</v>
      </c>
    </row>
    <row r="19" spans="3:6" ht="28" customHeight="1" x14ac:dyDescent="0.3">
      <c r="C19" s="24" t="s">
        <v>640</v>
      </c>
      <c r="D19" s="26" t="s">
        <v>27</v>
      </c>
      <c r="E19" s="26" t="s">
        <v>28</v>
      </c>
      <c r="F19" s="28">
        <v>148120.29999999999</v>
      </c>
    </row>
  </sheetData>
  <sheetProtection algorithmName="SHA-512" hashValue="2ZZ48uMugH06prrWWm3R3RHwPBpjeT+rMUR9LtN1XeaQJ3COtuvKRJcYGmFMnBUAttn9LuQ1b6qZLnuJ2VcmDg==" saltValue="p2OdffNhoZnfxcZ5XsHgNg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6515B-A65B-41E1-9B83-2F2640443C97}">
  <sheetPr codeName="Sheet197"/>
  <dimension ref="A1:Z33"/>
  <sheetViews>
    <sheetView showGridLines="0" zoomScaleNormal="100" workbookViewId="0"/>
  </sheetViews>
  <sheetFormatPr defaultRowHeight="14.7" x14ac:dyDescent="0.3"/>
  <cols>
    <col min="1" max="2" width="2.77734375" style="4" customWidth="1"/>
    <col min="3" max="3" width="4.77734375" style="4" customWidth="1"/>
    <col min="4" max="4" width="21.88671875" style="4" customWidth="1"/>
    <col min="5" max="5" width="8.77734375" style="4" customWidth="1"/>
    <col min="6" max="6" width="7.44140625" style="4" customWidth="1"/>
    <col min="7" max="7" width="20.77734375" style="4" customWidth="1"/>
    <col min="8" max="8" width="30.77734375" style="4" customWidth="1"/>
    <col min="9" max="9" width="18.77734375" style="4" customWidth="1"/>
    <col min="10" max="10" width="15.77734375" style="4" customWidth="1"/>
    <col min="11" max="11" width="9" style="4" customWidth="1"/>
    <col min="12" max="12" width="15" style="4" customWidth="1"/>
    <col min="13" max="13" width="30.77734375" style="4" customWidth="1"/>
    <col min="14" max="16384" width="8.88671875" style="4"/>
  </cols>
  <sheetData>
    <row r="1" spans="1:26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x14ac:dyDescent="0.3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x14ac:dyDescent="0.3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x14ac:dyDescent="0.3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7" spans="1:26" ht="35" customHeight="1" x14ac:dyDescent="0.3"/>
    <row r="8" spans="1:26" ht="50" customHeight="1" x14ac:dyDescent="0.3"/>
    <row r="9" spans="1:26" ht="15" customHeight="1" x14ac:dyDescent="0.3"/>
    <row r="10" spans="1:26" ht="15" customHeight="1" x14ac:dyDescent="0.3"/>
    <row r="11" spans="1:26" ht="15" customHeight="1" x14ac:dyDescent="0.3"/>
    <row r="12" spans="1:26" ht="35" customHeight="1" x14ac:dyDescent="0.3">
      <c r="C12" s="6" t="s">
        <v>612</v>
      </c>
      <c r="D12" s="6" t="s">
        <v>613</v>
      </c>
      <c r="E12" s="6" t="s">
        <v>614</v>
      </c>
      <c r="F12" s="6" t="s">
        <v>615</v>
      </c>
      <c r="G12" s="6" t="s">
        <v>616</v>
      </c>
      <c r="H12" s="6" t="s">
        <v>617</v>
      </c>
      <c r="I12" s="6" t="s">
        <v>618</v>
      </c>
      <c r="J12" s="6" t="s">
        <v>619</v>
      </c>
      <c r="K12" s="6" t="s">
        <v>607</v>
      </c>
      <c r="L12" s="6" t="s">
        <v>171</v>
      </c>
      <c r="M12" s="6" t="s">
        <v>620</v>
      </c>
    </row>
    <row r="13" spans="1:26" ht="28" customHeight="1" x14ac:dyDescent="0.3">
      <c r="C13" s="8">
        <v>1</v>
      </c>
      <c r="D13" s="9">
        <v>46023</v>
      </c>
      <c r="E13" s="8">
        <v>2026</v>
      </c>
      <c r="F13" s="8">
        <v>1</v>
      </c>
      <c r="G13" s="7" t="s">
        <v>630</v>
      </c>
      <c r="H13" s="7" t="s">
        <v>631</v>
      </c>
      <c r="I13" s="7" t="s">
        <v>632</v>
      </c>
      <c r="J13" s="10">
        <v>318098.24700000003</v>
      </c>
      <c r="K13" s="8" t="s">
        <v>28</v>
      </c>
      <c r="L13" s="8" t="s">
        <v>46</v>
      </c>
      <c r="M13" s="7" t="s">
        <v>624</v>
      </c>
    </row>
    <row r="14" spans="1:26" ht="28" customHeight="1" x14ac:dyDescent="0.3">
      <c r="C14" s="14">
        <v>2</v>
      </c>
      <c r="D14" s="16">
        <v>46023</v>
      </c>
      <c r="E14" s="14">
        <v>2026</v>
      </c>
      <c r="F14" s="14">
        <v>1</v>
      </c>
      <c r="G14" s="12" t="s">
        <v>633</v>
      </c>
      <c r="H14" s="12" t="s">
        <v>631</v>
      </c>
      <c r="I14" s="12" t="s">
        <v>634</v>
      </c>
      <c r="J14" s="15">
        <v>40230.1</v>
      </c>
      <c r="K14" s="14" t="s">
        <v>28</v>
      </c>
      <c r="L14" s="14" t="s">
        <v>46</v>
      </c>
      <c r="M14" s="12" t="s">
        <v>624</v>
      </c>
    </row>
    <row r="15" spans="1:26" ht="28" customHeight="1" x14ac:dyDescent="0.3">
      <c r="C15" s="8">
        <v>3</v>
      </c>
      <c r="D15" s="9">
        <v>46053</v>
      </c>
      <c r="E15" s="8">
        <v>2026</v>
      </c>
      <c r="F15" s="8">
        <v>1</v>
      </c>
      <c r="G15" s="7" t="s">
        <v>635</v>
      </c>
      <c r="H15" s="7" t="s">
        <v>631</v>
      </c>
      <c r="I15" s="7" t="s">
        <v>634</v>
      </c>
      <c r="J15" s="10">
        <v>44000</v>
      </c>
      <c r="K15" s="8" t="s">
        <v>28</v>
      </c>
      <c r="L15" s="8" t="s">
        <v>46</v>
      </c>
      <c r="M15" s="7"/>
    </row>
    <row r="16" spans="1:26" ht="28" customHeight="1" x14ac:dyDescent="0.3">
      <c r="C16" s="14">
        <v>4</v>
      </c>
      <c r="D16" s="16">
        <v>46053</v>
      </c>
      <c r="E16" s="14">
        <v>2026</v>
      </c>
      <c r="F16" s="14">
        <v>1</v>
      </c>
      <c r="G16" s="12" t="s">
        <v>636</v>
      </c>
      <c r="H16" s="12" t="s">
        <v>637</v>
      </c>
      <c r="I16" s="12" t="s">
        <v>638</v>
      </c>
      <c r="J16" s="15">
        <v>43160</v>
      </c>
      <c r="K16" s="14" t="s">
        <v>28</v>
      </c>
      <c r="L16" s="14" t="s">
        <v>46</v>
      </c>
      <c r="M16" s="12"/>
    </row>
    <row r="17" spans="3:13" ht="28" customHeight="1" x14ac:dyDescent="0.3">
      <c r="C17" s="8">
        <v>5</v>
      </c>
      <c r="D17" s="9">
        <v>46053</v>
      </c>
      <c r="E17" s="8">
        <v>2026</v>
      </c>
      <c r="F17" s="8">
        <v>1</v>
      </c>
      <c r="G17" s="7" t="s">
        <v>639</v>
      </c>
      <c r="H17" s="7" t="s">
        <v>637</v>
      </c>
      <c r="I17" s="7" t="s">
        <v>638</v>
      </c>
      <c r="J17" s="10">
        <v>2362.1800000000003</v>
      </c>
      <c r="K17" s="8" t="s">
        <v>28</v>
      </c>
      <c r="L17" s="8" t="s">
        <v>46</v>
      </c>
      <c r="M17" s="7"/>
    </row>
    <row r="18" spans="3:13" ht="28" customHeight="1" x14ac:dyDescent="0.3">
      <c r="C18" s="14">
        <v>6</v>
      </c>
      <c r="D18" s="16">
        <v>46078</v>
      </c>
      <c r="E18" s="14">
        <v>2026</v>
      </c>
      <c r="F18" s="14">
        <v>2</v>
      </c>
      <c r="G18" s="12" t="s">
        <v>627</v>
      </c>
      <c r="H18" s="12" t="s">
        <v>628</v>
      </c>
      <c r="I18" s="12" t="s">
        <v>629</v>
      </c>
      <c r="J18" s="15">
        <v>450</v>
      </c>
      <c r="K18" s="14" t="s">
        <v>28</v>
      </c>
      <c r="L18" s="14" t="s">
        <v>46</v>
      </c>
      <c r="M18" s="12"/>
    </row>
    <row r="19" spans="3:13" ht="28" customHeight="1" x14ac:dyDescent="0.3">
      <c r="C19" s="8">
        <v>7</v>
      </c>
      <c r="D19" s="9">
        <v>46078</v>
      </c>
      <c r="E19" s="8">
        <v>2026</v>
      </c>
      <c r="F19" s="8">
        <v>2</v>
      </c>
      <c r="G19" s="7" t="s">
        <v>640</v>
      </c>
      <c r="H19" s="7" t="s">
        <v>45</v>
      </c>
      <c r="I19" s="7" t="s">
        <v>60</v>
      </c>
      <c r="J19" s="10">
        <v>155738.41</v>
      </c>
      <c r="K19" s="8" t="s">
        <v>28</v>
      </c>
      <c r="L19" s="8" t="s">
        <v>46</v>
      </c>
      <c r="M19" s="7"/>
    </row>
    <row r="20" spans="3:13" ht="28" customHeight="1" x14ac:dyDescent="0.3">
      <c r="C20" s="14">
        <v>8</v>
      </c>
      <c r="D20" s="16">
        <v>46078</v>
      </c>
      <c r="E20" s="14">
        <v>2026</v>
      </c>
      <c r="F20" s="14">
        <v>2</v>
      </c>
      <c r="G20" s="12" t="s">
        <v>627</v>
      </c>
      <c r="H20" s="12" t="s">
        <v>643</v>
      </c>
      <c r="I20" s="12" t="s">
        <v>629</v>
      </c>
      <c r="J20" s="15">
        <v>64</v>
      </c>
      <c r="K20" s="14" t="s">
        <v>28</v>
      </c>
      <c r="L20" s="14" t="s">
        <v>50</v>
      </c>
      <c r="M20" s="12"/>
    </row>
    <row r="21" spans="3:13" ht="28" customHeight="1" x14ac:dyDescent="0.3">
      <c r="C21" s="8">
        <v>9</v>
      </c>
      <c r="D21" s="9">
        <v>46078</v>
      </c>
      <c r="E21" s="8">
        <v>2026</v>
      </c>
      <c r="F21" s="8">
        <v>2</v>
      </c>
      <c r="G21" s="7" t="s">
        <v>640</v>
      </c>
      <c r="H21" s="7" t="s">
        <v>51</v>
      </c>
      <c r="I21" s="7" t="s">
        <v>644</v>
      </c>
      <c r="J21" s="10">
        <v>88.88</v>
      </c>
      <c r="K21" s="8" t="s">
        <v>28</v>
      </c>
      <c r="L21" s="8" t="s">
        <v>50</v>
      </c>
      <c r="M21" s="7" t="s">
        <v>645</v>
      </c>
    </row>
    <row r="22" spans="3:13" ht="28" customHeight="1" x14ac:dyDescent="0.3">
      <c r="C22" s="14">
        <v>10</v>
      </c>
      <c r="D22" s="16">
        <v>46079</v>
      </c>
      <c r="E22" s="14">
        <v>2026</v>
      </c>
      <c r="F22" s="14">
        <v>2</v>
      </c>
      <c r="G22" s="12" t="s">
        <v>627</v>
      </c>
      <c r="H22" s="12" t="s">
        <v>643</v>
      </c>
      <c r="I22" s="12" t="s">
        <v>629</v>
      </c>
      <c r="J22" s="15">
        <v>64</v>
      </c>
      <c r="K22" s="14" t="s">
        <v>28</v>
      </c>
      <c r="L22" s="14" t="s">
        <v>50</v>
      </c>
      <c r="M22" s="12" t="s">
        <v>646</v>
      </c>
    </row>
    <row r="23" spans="3:13" ht="28" customHeight="1" x14ac:dyDescent="0.3">
      <c r="C23" s="8">
        <v>11</v>
      </c>
      <c r="D23" s="9">
        <v>46079</v>
      </c>
      <c r="E23" s="8">
        <v>2026</v>
      </c>
      <c r="F23" s="8">
        <v>2</v>
      </c>
      <c r="G23" s="7" t="s">
        <v>635</v>
      </c>
      <c r="H23" s="7" t="s">
        <v>631</v>
      </c>
      <c r="I23" s="7" t="s">
        <v>634</v>
      </c>
      <c r="J23" s="10">
        <v>700</v>
      </c>
      <c r="K23" s="8" t="s">
        <v>28</v>
      </c>
      <c r="L23" s="8" t="s">
        <v>46</v>
      </c>
      <c r="M23" s="7"/>
    </row>
    <row r="24" spans="3:13" ht="28" customHeight="1" x14ac:dyDescent="0.3">
      <c r="C24" s="14">
        <v>12</v>
      </c>
      <c r="D24" s="16">
        <v>46079</v>
      </c>
      <c r="E24" s="14">
        <v>2026</v>
      </c>
      <c r="F24" s="14">
        <v>2</v>
      </c>
      <c r="G24" s="12" t="s">
        <v>635</v>
      </c>
      <c r="H24" s="12" t="s">
        <v>51</v>
      </c>
      <c r="I24" s="12" t="s">
        <v>647</v>
      </c>
      <c r="J24" s="15">
        <v>16</v>
      </c>
      <c r="K24" s="14" t="s">
        <v>28</v>
      </c>
      <c r="L24" s="14" t="s">
        <v>50</v>
      </c>
      <c r="M24" s="12" t="s">
        <v>648</v>
      </c>
    </row>
    <row r="25" spans="3:13" ht="28" customHeight="1" x14ac:dyDescent="0.3">
      <c r="C25" s="8">
        <v>13</v>
      </c>
      <c r="D25" s="9">
        <v>46079</v>
      </c>
      <c r="E25" s="8">
        <v>2026</v>
      </c>
      <c r="F25" s="8">
        <v>2</v>
      </c>
      <c r="G25" s="7" t="s">
        <v>635</v>
      </c>
      <c r="H25" s="7" t="s">
        <v>649</v>
      </c>
      <c r="I25" s="7" t="s">
        <v>650</v>
      </c>
      <c r="J25" s="10">
        <v>20000</v>
      </c>
      <c r="K25" s="8" t="s">
        <v>28</v>
      </c>
      <c r="L25" s="8" t="s">
        <v>50</v>
      </c>
      <c r="M25" s="7" t="s">
        <v>651</v>
      </c>
    </row>
    <row r="26" spans="3:13" ht="28" customHeight="1" x14ac:dyDescent="0.3">
      <c r="C26" s="14">
        <v>14</v>
      </c>
      <c r="D26" s="16">
        <v>46079</v>
      </c>
      <c r="E26" s="14">
        <v>2026</v>
      </c>
      <c r="F26" s="14">
        <v>2</v>
      </c>
      <c r="G26" s="12" t="s">
        <v>640</v>
      </c>
      <c r="H26" s="12" t="s">
        <v>649</v>
      </c>
      <c r="I26" s="12" t="s">
        <v>650</v>
      </c>
      <c r="J26" s="15">
        <v>1957.37</v>
      </c>
      <c r="K26" s="14" t="s">
        <v>28</v>
      </c>
      <c r="L26" s="14" t="s">
        <v>50</v>
      </c>
      <c r="M26" s="12" t="s">
        <v>652</v>
      </c>
    </row>
    <row r="27" spans="3:13" ht="28" customHeight="1" x14ac:dyDescent="0.3">
      <c r="C27" s="8">
        <v>15</v>
      </c>
      <c r="D27" s="9">
        <v>46079</v>
      </c>
      <c r="E27" s="8">
        <v>2026</v>
      </c>
      <c r="F27" s="8">
        <v>2</v>
      </c>
      <c r="G27" s="7" t="s">
        <v>640</v>
      </c>
      <c r="H27" s="7" t="s">
        <v>653</v>
      </c>
      <c r="I27" s="7" t="s">
        <v>634</v>
      </c>
      <c r="J27" s="10">
        <v>1042.6300000000001</v>
      </c>
      <c r="K27" s="8" t="s">
        <v>28</v>
      </c>
      <c r="L27" s="8" t="s">
        <v>57</v>
      </c>
      <c r="M27" s="7" t="s">
        <v>654</v>
      </c>
    </row>
    <row r="28" spans="3:13" ht="28" customHeight="1" x14ac:dyDescent="0.3">
      <c r="C28" s="14">
        <v>16</v>
      </c>
      <c r="D28" s="16">
        <v>46081</v>
      </c>
      <c r="E28" s="14">
        <v>2026</v>
      </c>
      <c r="F28" s="14">
        <v>2</v>
      </c>
      <c r="G28" s="12" t="s">
        <v>640</v>
      </c>
      <c r="H28" s="12" t="s">
        <v>655</v>
      </c>
      <c r="I28" s="12" t="s">
        <v>632</v>
      </c>
      <c r="J28" s="15">
        <v>2085.2600000000002</v>
      </c>
      <c r="K28" s="14" t="s">
        <v>28</v>
      </c>
      <c r="L28" s="14" t="s">
        <v>50</v>
      </c>
      <c r="M28" s="12"/>
    </row>
    <row r="29" spans="3:13" ht="28" customHeight="1" x14ac:dyDescent="0.3">
      <c r="C29" s="8">
        <v>17</v>
      </c>
      <c r="D29" s="9">
        <v>46081</v>
      </c>
      <c r="E29" s="8">
        <v>2026</v>
      </c>
      <c r="F29" s="8">
        <v>2</v>
      </c>
      <c r="G29" s="7" t="s">
        <v>635</v>
      </c>
      <c r="H29" s="7" t="s">
        <v>653</v>
      </c>
      <c r="I29" s="7" t="s">
        <v>634</v>
      </c>
      <c r="J29" s="10">
        <v>2.085</v>
      </c>
      <c r="K29" s="8" t="s">
        <v>28</v>
      </c>
      <c r="L29" s="8" t="s">
        <v>57</v>
      </c>
      <c r="M29" s="7" t="s">
        <v>656</v>
      </c>
    </row>
    <row r="30" spans="3:13" ht="28" customHeight="1" x14ac:dyDescent="0.3">
      <c r="C30" s="14">
        <v>18</v>
      </c>
      <c r="D30" s="16">
        <v>46081</v>
      </c>
      <c r="E30" s="14">
        <v>2026</v>
      </c>
      <c r="F30" s="14">
        <v>2</v>
      </c>
      <c r="G30" s="12" t="s">
        <v>635</v>
      </c>
      <c r="H30" s="12" t="s">
        <v>653</v>
      </c>
      <c r="I30" s="12" t="s">
        <v>634</v>
      </c>
      <c r="J30" s="15">
        <v>2083.17</v>
      </c>
      <c r="K30" s="14" t="s">
        <v>28</v>
      </c>
      <c r="L30" s="14" t="s">
        <v>57</v>
      </c>
      <c r="M30" s="12" t="s">
        <v>656</v>
      </c>
    </row>
    <row r="31" spans="3:13" ht="28" customHeight="1" x14ac:dyDescent="0.3">
      <c r="C31" s="8">
        <v>19</v>
      </c>
      <c r="D31" s="9">
        <v>46081</v>
      </c>
      <c r="E31" s="8">
        <v>2026</v>
      </c>
      <c r="F31" s="8">
        <v>2</v>
      </c>
      <c r="G31" s="7" t="s">
        <v>635</v>
      </c>
      <c r="H31" s="7" t="s">
        <v>657</v>
      </c>
      <c r="I31" s="7" t="s">
        <v>634</v>
      </c>
      <c r="J31" s="10">
        <v>1207.26</v>
      </c>
      <c r="K31" s="8" t="s">
        <v>28</v>
      </c>
      <c r="L31" s="8" t="s">
        <v>50</v>
      </c>
      <c r="M31" s="7" t="s">
        <v>657</v>
      </c>
    </row>
    <row r="32" spans="3:13" ht="28" customHeight="1" x14ac:dyDescent="0.3">
      <c r="C32" s="14">
        <v>20</v>
      </c>
      <c r="D32" s="16">
        <v>46080</v>
      </c>
      <c r="E32" s="14">
        <v>2026</v>
      </c>
      <c r="F32" s="14">
        <v>2</v>
      </c>
      <c r="G32" s="12" t="s">
        <v>640</v>
      </c>
      <c r="H32" s="12" t="s">
        <v>658</v>
      </c>
      <c r="I32" s="12" t="s">
        <v>659</v>
      </c>
      <c r="J32" s="15">
        <v>4322</v>
      </c>
      <c r="K32" s="14" t="s">
        <v>28</v>
      </c>
      <c r="L32" s="14" t="s">
        <v>50</v>
      </c>
      <c r="M32" s="12" t="s">
        <v>660</v>
      </c>
    </row>
    <row r="33" spans="3:13" ht="28" customHeight="1" x14ac:dyDescent="0.3">
      <c r="C33" s="8">
        <v>21</v>
      </c>
      <c r="D33" s="9">
        <v>46080</v>
      </c>
      <c r="E33" s="8">
        <v>2026</v>
      </c>
      <c r="F33" s="8">
        <v>2</v>
      </c>
      <c r="G33" s="7" t="s">
        <v>640</v>
      </c>
      <c r="H33" s="7" t="s">
        <v>51</v>
      </c>
      <c r="I33" s="7" t="s">
        <v>647</v>
      </c>
      <c r="J33" s="10">
        <v>207.23</v>
      </c>
      <c r="K33" s="8" t="s">
        <v>28</v>
      </c>
      <c r="L33" s="8" t="s">
        <v>50</v>
      </c>
      <c r="M33" s="7" t="s">
        <v>661</v>
      </c>
    </row>
  </sheetData>
  <sheetProtection algorithmName="SHA-512" hashValue="V2TNpYLPewzCbazcbuILHfhdD9soiH/LX1As8Um8iUtzeefaC5KwqWmfofbTs2sywk4/kiiDTlS6LC6aMYW39Q==" saltValue="lVKArTAKjYHnnTV0pgrq8Q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CA8ED-024B-41A6-AED9-1C8A44FA7F77}">
  <sheetPr codeName="Sheet186"/>
  <dimension ref="A1:Z15"/>
  <sheetViews>
    <sheetView showGridLines="0" zoomScaleNormal="100" workbookViewId="0"/>
  </sheetViews>
  <sheetFormatPr defaultRowHeight="14.7" x14ac:dyDescent="0.3"/>
  <cols>
    <col min="1" max="2" width="2.77734375" style="4" customWidth="1"/>
    <col min="3" max="3" width="45.77734375" style="4" customWidth="1"/>
    <col min="4" max="6" width="25.77734375" style="4" customWidth="1"/>
    <col min="7" max="7" width="35.77734375" style="4" customWidth="1"/>
    <col min="8" max="16384" width="8.88671875" style="4"/>
  </cols>
  <sheetData>
    <row r="1" spans="1:26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x14ac:dyDescent="0.3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x14ac:dyDescent="0.3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x14ac:dyDescent="0.3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7" spans="1:26" ht="35" customHeight="1" x14ac:dyDescent="0.3"/>
    <row r="8" spans="1:26" ht="50" customHeight="1" x14ac:dyDescent="0.3"/>
    <row r="9" spans="1:26" ht="15" customHeight="1" x14ac:dyDescent="0.3"/>
    <row r="10" spans="1:26" ht="15" customHeight="1" x14ac:dyDescent="0.3"/>
    <row r="11" spans="1:26" ht="15" customHeight="1" x14ac:dyDescent="0.3"/>
    <row r="12" spans="1:26" ht="35" customHeight="1" x14ac:dyDescent="0.3">
      <c r="C12" s="6" t="s">
        <v>386</v>
      </c>
      <c r="D12" s="6" t="s">
        <v>393</v>
      </c>
      <c r="E12" s="6" t="s">
        <v>402</v>
      </c>
      <c r="F12" s="6" t="s">
        <v>411</v>
      </c>
      <c r="G12" s="6" t="s">
        <v>420</v>
      </c>
    </row>
    <row r="13" spans="1:26" ht="30" customHeight="1" x14ac:dyDescent="0.3">
      <c r="C13" s="11" t="s">
        <v>643</v>
      </c>
      <c r="D13" s="10">
        <v>0</v>
      </c>
      <c r="E13" s="10">
        <v>128</v>
      </c>
      <c r="F13" s="20">
        <v>-128</v>
      </c>
      <c r="G13" s="18">
        <v>1</v>
      </c>
    </row>
    <row r="14" spans="1:26" ht="30" customHeight="1" x14ac:dyDescent="0.3">
      <c r="C14" s="13" t="s">
        <v>51</v>
      </c>
      <c r="D14" s="15">
        <v>0</v>
      </c>
      <c r="E14" s="15">
        <v>104.88</v>
      </c>
      <c r="F14" s="17">
        <v>-104.88</v>
      </c>
      <c r="G14" s="19">
        <v>1</v>
      </c>
    </row>
    <row r="15" spans="1:26" ht="30" customHeight="1" x14ac:dyDescent="0.3">
      <c r="C15" s="11" t="s">
        <v>649</v>
      </c>
      <c r="D15" s="10">
        <v>0</v>
      </c>
      <c r="E15" s="10">
        <v>21957.37</v>
      </c>
      <c r="F15" s="20">
        <v>-21957.37</v>
      </c>
      <c r="G15" s="18">
        <v>1</v>
      </c>
    </row>
  </sheetData>
  <sheetProtection algorithmName="SHA-512" hashValue="utpuvoOmsUQGOu//hly9q16A2cHrXa9dGNBsuWyDRU6CSQqhgXu7C0JZSw19DA3jl1OzKhYmPlojsKH5SiDrsA==" saltValue="aVChkqlcW+XyAiVEsNUtRA==" spinCount="100000" sheet="1" objects="1" scenarios="1"/>
  <conditionalFormatting sqref="G13:G15">
    <cfRule type="dataBar" priority="1">
      <dataBar>
        <cfvo type="num" val="0"/>
        <cfvo type="num" val="1"/>
        <color rgb="FFFADA5E"/>
      </dataBar>
      <extLst>
        <ext xmlns:x14="http://schemas.microsoft.com/office/spreadsheetml/2009/9/main" uri="{B025F937-C7B1-47D3-B67F-A62EFF666E3E}">
          <x14:id>{CAE7CB69-F48F-4A13-B5CE-2FBA0FC13C4F}</x14:id>
        </ext>
      </extLst>
    </cfRule>
  </conditionalFormatting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AE7CB69-F48F-4A13-B5CE-2FBA0FC13C4F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G13:G15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5752-A4D1-487B-913E-D9DD03A8193A}">
  <sheetPr codeName="Sheet2"/>
  <dimension ref="A1:E17"/>
  <sheetViews>
    <sheetView workbookViewId="0">
      <selection activeCell="C34" sqref="C34:C35"/>
    </sheetView>
  </sheetViews>
  <sheetFormatPr defaultRowHeight="14.7" x14ac:dyDescent="0.3"/>
  <cols>
    <col min="1" max="1" width="12.21875" customWidth="1"/>
    <col min="2" max="2" width="14.33203125" customWidth="1"/>
    <col min="3" max="3" width="13.21875" customWidth="1"/>
    <col min="4" max="4" width="15.33203125" customWidth="1"/>
    <col min="5" max="5" width="10.33203125" customWidth="1"/>
  </cols>
  <sheetData>
    <row r="1" spans="1: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">
      <c r="A2">
        <v>1</v>
      </c>
      <c r="B2" t="s">
        <v>26</v>
      </c>
      <c r="C2" t="s">
        <v>27</v>
      </c>
      <c r="D2" t="s">
        <v>28</v>
      </c>
      <c r="E2" t="s">
        <v>29</v>
      </c>
    </row>
    <row r="3" spans="1:5" x14ac:dyDescent="0.3">
      <c r="A3">
        <v>2</v>
      </c>
      <c r="B3" t="s">
        <v>30</v>
      </c>
      <c r="C3" t="s">
        <v>27</v>
      </c>
      <c r="D3" t="s">
        <v>28</v>
      </c>
      <c r="E3" t="s">
        <v>29</v>
      </c>
    </row>
    <row r="4" spans="1:5" x14ac:dyDescent="0.3">
      <c r="A4">
        <v>3</v>
      </c>
      <c r="B4" t="s">
        <v>31</v>
      </c>
      <c r="C4" t="s">
        <v>27</v>
      </c>
      <c r="D4" t="s">
        <v>28</v>
      </c>
      <c r="E4" t="s">
        <v>29</v>
      </c>
    </row>
    <row r="5" spans="1:5" x14ac:dyDescent="0.3">
      <c r="A5">
        <v>4</v>
      </c>
      <c r="B5" t="s">
        <v>32</v>
      </c>
      <c r="C5" t="s">
        <v>33</v>
      </c>
      <c r="D5" t="s">
        <v>34</v>
      </c>
      <c r="E5" t="s">
        <v>29</v>
      </c>
    </row>
    <row r="6" spans="1:5" x14ac:dyDescent="0.3">
      <c r="A6">
        <v>5</v>
      </c>
      <c r="B6" t="s">
        <v>35</v>
      </c>
      <c r="C6" t="s">
        <v>33</v>
      </c>
      <c r="D6" t="s">
        <v>34</v>
      </c>
      <c r="E6" t="s">
        <v>29</v>
      </c>
    </row>
    <row r="7" spans="1:5" x14ac:dyDescent="0.3">
      <c r="A7">
        <v>6</v>
      </c>
      <c r="B7" t="s">
        <v>36</v>
      </c>
      <c r="C7" t="s">
        <v>33</v>
      </c>
      <c r="D7" t="s">
        <v>37</v>
      </c>
      <c r="E7" t="s">
        <v>29</v>
      </c>
    </row>
    <row r="8" spans="1:5" x14ac:dyDescent="0.3">
      <c r="A8">
        <v>7</v>
      </c>
      <c r="B8" t="s">
        <v>38</v>
      </c>
      <c r="C8" t="s">
        <v>39</v>
      </c>
      <c r="D8" t="s">
        <v>28</v>
      </c>
      <c r="E8" t="s">
        <v>29</v>
      </c>
    </row>
    <row r="9" spans="1:5" x14ac:dyDescent="0.3">
      <c r="A9">
        <v>8</v>
      </c>
      <c r="B9" t="s">
        <v>40</v>
      </c>
      <c r="C9" t="s">
        <v>39</v>
      </c>
      <c r="D9" t="s">
        <v>28</v>
      </c>
      <c r="E9" t="s">
        <v>29</v>
      </c>
    </row>
    <row r="10" spans="1:5" x14ac:dyDescent="0.3">
      <c r="A10">
        <v>9</v>
      </c>
      <c r="B10" t="s">
        <v>41</v>
      </c>
      <c r="C10" t="s">
        <v>42</v>
      </c>
      <c r="D10" t="s">
        <v>28</v>
      </c>
      <c r="E10" t="s">
        <v>29</v>
      </c>
    </row>
    <row r="11" spans="1:5" x14ac:dyDescent="0.3">
      <c r="A11">
        <v>10</v>
      </c>
      <c r="B11" t="s">
        <v>630</v>
      </c>
      <c r="C11" t="s">
        <v>27</v>
      </c>
      <c r="D11" t="s">
        <v>623</v>
      </c>
      <c r="E11" t="s">
        <v>29</v>
      </c>
    </row>
    <row r="12" spans="1:5" x14ac:dyDescent="0.3">
      <c r="A12">
        <v>11</v>
      </c>
      <c r="B12" t="s">
        <v>633</v>
      </c>
      <c r="C12" t="s">
        <v>27</v>
      </c>
      <c r="D12" t="s">
        <v>623</v>
      </c>
      <c r="E12" t="s">
        <v>29</v>
      </c>
    </row>
    <row r="13" spans="1:5" x14ac:dyDescent="0.3">
      <c r="A13">
        <v>12</v>
      </c>
      <c r="B13" t="s">
        <v>635</v>
      </c>
      <c r="C13" t="s">
        <v>27</v>
      </c>
      <c r="D13" t="s">
        <v>28</v>
      </c>
      <c r="E13" t="s">
        <v>29</v>
      </c>
    </row>
    <row r="14" spans="1:5" x14ac:dyDescent="0.3">
      <c r="A14">
        <v>13</v>
      </c>
      <c r="B14" t="s">
        <v>636</v>
      </c>
      <c r="C14" t="s">
        <v>33</v>
      </c>
      <c r="D14" t="s">
        <v>623</v>
      </c>
      <c r="E14" t="s">
        <v>29</v>
      </c>
    </row>
    <row r="15" spans="1:5" x14ac:dyDescent="0.3">
      <c r="A15">
        <v>14</v>
      </c>
      <c r="B15" t="s">
        <v>639</v>
      </c>
      <c r="C15" t="s">
        <v>27</v>
      </c>
      <c r="D15" t="s">
        <v>623</v>
      </c>
      <c r="E15" t="s">
        <v>29</v>
      </c>
    </row>
    <row r="16" spans="1:5" x14ac:dyDescent="0.3">
      <c r="A16">
        <v>15</v>
      </c>
      <c r="B16" t="s">
        <v>627</v>
      </c>
      <c r="C16" t="s">
        <v>27</v>
      </c>
      <c r="D16" t="s">
        <v>28</v>
      </c>
      <c r="E16" t="s">
        <v>29</v>
      </c>
    </row>
    <row r="17" spans="1:5" x14ac:dyDescent="0.3">
      <c r="A17">
        <v>16</v>
      </c>
      <c r="B17" t="s">
        <v>640</v>
      </c>
      <c r="C17" t="s">
        <v>27</v>
      </c>
      <c r="D17" t="s">
        <v>28</v>
      </c>
      <c r="E17" t="s">
        <v>29</v>
      </c>
    </row>
  </sheetData>
  <sheetProtection algorithmName="SHA-512" hashValue="GZw5Rzdvk6d68m3oeXBkZWICFTI9UbRQKB9jgRlnV+lamq2zQbqKbok69IxXiG7a2zW/Ip5F8hQbzgobw2M15A==" saltValue="dumQrwDPYj4IUGNsVUwiXg==" spinCount="100000" sheet="1" objects="1" scenarios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874D-23FE-4B13-A51F-FB063A901413}">
  <sheetPr codeName="Sheet3"/>
  <dimension ref="A1:C21"/>
  <sheetViews>
    <sheetView workbookViewId="0">
      <selection activeCell="B43" sqref="B43"/>
    </sheetView>
  </sheetViews>
  <sheetFormatPr defaultRowHeight="14.7" x14ac:dyDescent="0.3"/>
  <cols>
    <col min="1" max="1" width="14" customWidth="1"/>
    <col min="2" max="2" width="16.109375" customWidth="1"/>
    <col min="3" max="3" width="11.44140625" customWidth="1"/>
  </cols>
  <sheetData>
    <row r="1" spans="1:3" x14ac:dyDescent="0.3">
      <c r="A1" t="s">
        <v>5</v>
      </c>
      <c r="B1" t="s">
        <v>6</v>
      </c>
      <c r="C1" t="s">
        <v>7</v>
      </c>
    </row>
    <row r="2" spans="1:3" x14ac:dyDescent="0.3">
      <c r="A2">
        <v>1</v>
      </c>
      <c r="B2" t="s">
        <v>45</v>
      </c>
      <c r="C2" t="s">
        <v>46</v>
      </c>
    </row>
    <row r="3" spans="1:3" x14ac:dyDescent="0.3">
      <c r="A3">
        <v>2</v>
      </c>
      <c r="B3" t="s">
        <v>47</v>
      </c>
      <c r="C3" t="s">
        <v>46</v>
      </c>
    </row>
    <row r="4" spans="1:3" x14ac:dyDescent="0.3">
      <c r="A4">
        <v>3</v>
      </c>
      <c r="B4" t="s">
        <v>48</v>
      </c>
      <c r="C4" t="s">
        <v>46</v>
      </c>
    </row>
    <row r="5" spans="1:3" x14ac:dyDescent="0.3">
      <c r="A5">
        <v>4</v>
      </c>
      <c r="B5" t="s">
        <v>49</v>
      </c>
      <c r="C5" t="s">
        <v>50</v>
      </c>
    </row>
    <row r="6" spans="1:3" x14ac:dyDescent="0.3">
      <c r="A6">
        <v>5</v>
      </c>
      <c r="B6" t="s">
        <v>51</v>
      </c>
      <c r="C6" t="s">
        <v>50</v>
      </c>
    </row>
    <row r="7" spans="1:3" x14ac:dyDescent="0.3">
      <c r="A7">
        <v>6</v>
      </c>
      <c r="B7" t="s">
        <v>52</v>
      </c>
      <c r="C7" t="s">
        <v>50</v>
      </c>
    </row>
    <row r="8" spans="1:3" x14ac:dyDescent="0.3">
      <c r="A8">
        <v>7</v>
      </c>
      <c r="B8" t="s">
        <v>53</v>
      </c>
      <c r="C8" t="s">
        <v>50</v>
      </c>
    </row>
    <row r="9" spans="1:3" x14ac:dyDescent="0.3">
      <c r="A9">
        <v>8</v>
      </c>
      <c r="B9" t="s">
        <v>54</v>
      </c>
      <c r="C9" t="s">
        <v>50</v>
      </c>
    </row>
    <row r="10" spans="1:3" x14ac:dyDescent="0.3">
      <c r="A10">
        <v>9</v>
      </c>
      <c r="B10" t="s">
        <v>55</v>
      </c>
      <c r="C10" t="s">
        <v>50</v>
      </c>
    </row>
    <row r="11" spans="1:3" x14ac:dyDescent="0.3">
      <c r="A11">
        <v>10</v>
      </c>
      <c r="B11" t="s">
        <v>56</v>
      </c>
      <c r="C11" t="s">
        <v>57</v>
      </c>
    </row>
    <row r="12" spans="1:3" x14ac:dyDescent="0.3">
      <c r="A12">
        <v>11</v>
      </c>
      <c r="B12" t="s">
        <v>41</v>
      </c>
      <c r="C12" t="s">
        <v>42</v>
      </c>
    </row>
    <row r="13" spans="1:3" x14ac:dyDescent="0.3">
      <c r="A13">
        <v>12</v>
      </c>
      <c r="B13" t="s">
        <v>631</v>
      </c>
      <c r="C13" t="s">
        <v>46</v>
      </c>
    </row>
    <row r="14" spans="1:3" x14ac:dyDescent="0.3">
      <c r="A14">
        <v>13</v>
      </c>
      <c r="B14" t="s">
        <v>637</v>
      </c>
      <c r="C14" t="s">
        <v>46</v>
      </c>
    </row>
    <row r="15" spans="1:3" x14ac:dyDescent="0.3">
      <c r="A15">
        <v>14</v>
      </c>
      <c r="B15" t="s">
        <v>628</v>
      </c>
      <c r="C15" t="s">
        <v>46</v>
      </c>
    </row>
    <row r="16" spans="1:3" x14ac:dyDescent="0.3">
      <c r="A16">
        <v>15</v>
      </c>
      <c r="B16" t="s">
        <v>643</v>
      </c>
      <c r="C16" t="s">
        <v>50</v>
      </c>
    </row>
    <row r="17" spans="1:3" x14ac:dyDescent="0.3">
      <c r="A17">
        <v>16</v>
      </c>
      <c r="B17" t="s">
        <v>649</v>
      </c>
      <c r="C17" t="s">
        <v>50</v>
      </c>
    </row>
    <row r="18" spans="1:3" x14ac:dyDescent="0.3">
      <c r="A18">
        <v>17</v>
      </c>
      <c r="B18" t="s">
        <v>653</v>
      </c>
      <c r="C18" t="s">
        <v>57</v>
      </c>
    </row>
    <row r="19" spans="1:3" x14ac:dyDescent="0.3">
      <c r="A19">
        <v>18</v>
      </c>
      <c r="B19" t="s">
        <v>655</v>
      </c>
      <c r="C19" t="s">
        <v>50</v>
      </c>
    </row>
    <row r="20" spans="1:3" x14ac:dyDescent="0.3">
      <c r="A20">
        <v>19</v>
      </c>
      <c r="B20" t="s">
        <v>657</v>
      </c>
      <c r="C20" t="s">
        <v>50</v>
      </c>
    </row>
    <row r="21" spans="1:3" x14ac:dyDescent="0.3">
      <c r="A21">
        <v>20</v>
      </c>
      <c r="B21" t="s">
        <v>658</v>
      </c>
      <c r="C21" t="s">
        <v>50</v>
      </c>
    </row>
  </sheetData>
  <sheetProtection algorithmName="SHA-512" hashValue="TjhtFzXI2VnVceXFjyfjeAwyLmovs5PBxafSvmLN4jVdENO66B2BUs9JrNAZpHN181uJbkfZo1gZT0+1mp69Gw==" saltValue="nq4sSEA5uBoEo8OD0vrwVg==" spinCount="100000" sheet="1" objects="1" scenarios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9D9F0-DD60-4A26-9A33-69CE3A703D21}">
  <sheetPr codeName="Sheet4"/>
  <dimension ref="A1:C16"/>
  <sheetViews>
    <sheetView workbookViewId="0"/>
  </sheetViews>
  <sheetFormatPr defaultRowHeight="14.7" x14ac:dyDescent="0.3"/>
  <cols>
    <col min="1" max="1" width="9.88671875" customWidth="1"/>
    <col min="2" max="2" width="12" customWidth="1"/>
    <col min="3" max="3" width="12.109375" customWidth="1"/>
  </cols>
  <sheetData>
    <row r="1" spans="1:3" x14ac:dyDescent="0.3">
      <c r="A1" t="s">
        <v>8</v>
      </c>
      <c r="B1" t="s">
        <v>9</v>
      </c>
      <c r="C1" t="s">
        <v>10</v>
      </c>
    </row>
    <row r="2" spans="1:3" x14ac:dyDescent="0.3">
      <c r="A2">
        <v>1</v>
      </c>
      <c r="B2" t="s">
        <v>60</v>
      </c>
      <c r="C2" t="s">
        <v>61</v>
      </c>
    </row>
    <row r="3" spans="1:3" x14ac:dyDescent="0.3">
      <c r="A3">
        <v>2</v>
      </c>
      <c r="B3" t="s">
        <v>62</v>
      </c>
      <c r="C3" t="s">
        <v>63</v>
      </c>
    </row>
    <row r="4" spans="1:3" x14ac:dyDescent="0.3">
      <c r="A4">
        <v>3</v>
      </c>
      <c r="B4" t="s">
        <v>64</v>
      </c>
      <c r="C4" t="s">
        <v>65</v>
      </c>
    </row>
    <row r="5" spans="1:3" x14ac:dyDescent="0.3">
      <c r="A5">
        <v>4</v>
      </c>
      <c r="B5" t="s">
        <v>66</v>
      </c>
      <c r="C5" t="s">
        <v>67</v>
      </c>
    </row>
    <row r="6" spans="1:3" x14ac:dyDescent="0.3">
      <c r="A6">
        <v>5</v>
      </c>
      <c r="B6" t="s">
        <v>68</v>
      </c>
      <c r="C6" t="s">
        <v>69</v>
      </c>
    </row>
    <row r="7" spans="1:3" x14ac:dyDescent="0.3">
      <c r="A7">
        <v>6</v>
      </c>
      <c r="B7" t="s">
        <v>70</v>
      </c>
      <c r="C7" t="s">
        <v>67</v>
      </c>
    </row>
    <row r="8" spans="1:3" x14ac:dyDescent="0.3">
      <c r="A8">
        <v>7</v>
      </c>
      <c r="B8" t="s">
        <v>41</v>
      </c>
      <c r="C8" t="s">
        <v>42</v>
      </c>
    </row>
    <row r="9" spans="1:3" x14ac:dyDescent="0.3">
      <c r="A9">
        <v>8</v>
      </c>
      <c r="B9" t="s">
        <v>632</v>
      </c>
      <c r="C9" t="s">
        <v>42</v>
      </c>
    </row>
    <row r="10" spans="1:3" x14ac:dyDescent="0.3">
      <c r="A10">
        <v>9</v>
      </c>
      <c r="B10" t="s">
        <v>634</v>
      </c>
      <c r="C10" t="s">
        <v>42</v>
      </c>
    </row>
    <row r="11" spans="1:3" x14ac:dyDescent="0.3">
      <c r="A11">
        <v>10</v>
      </c>
      <c r="B11" t="s">
        <v>638</v>
      </c>
      <c r="C11" t="s">
        <v>42</v>
      </c>
    </row>
    <row r="12" spans="1:3" x14ac:dyDescent="0.3">
      <c r="A12">
        <v>11</v>
      </c>
      <c r="B12" t="s">
        <v>629</v>
      </c>
      <c r="C12" t="s">
        <v>42</v>
      </c>
    </row>
    <row r="13" spans="1:3" x14ac:dyDescent="0.3">
      <c r="A13">
        <v>12</v>
      </c>
      <c r="B13" t="s">
        <v>644</v>
      </c>
      <c r="C13" t="s">
        <v>42</v>
      </c>
    </row>
    <row r="14" spans="1:3" x14ac:dyDescent="0.3">
      <c r="A14">
        <v>13</v>
      </c>
      <c r="B14" t="s">
        <v>647</v>
      </c>
      <c r="C14" t="s">
        <v>42</v>
      </c>
    </row>
    <row r="15" spans="1:3" x14ac:dyDescent="0.3">
      <c r="A15">
        <v>14</v>
      </c>
      <c r="B15" t="s">
        <v>650</v>
      </c>
      <c r="C15" t="s">
        <v>42</v>
      </c>
    </row>
    <row r="16" spans="1:3" x14ac:dyDescent="0.3">
      <c r="A16">
        <v>15</v>
      </c>
      <c r="B16" t="s">
        <v>659</v>
      </c>
      <c r="C16" t="s">
        <v>42</v>
      </c>
    </row>
  </sheetData>
  <sheetProtection algorithmName="SHA-512" hashValue="5Kd3kUyHLAF+3JZMt5mnTl7HQ9UZFaJwkOSOXOO+d4Gd9ha+0uhHC5bHpFXvS9Mlrr+6l5GzVtY9mDW0Gs+XRg==" saltValue="ICj8kLxakQn506GKU1X7YA==" spinCount="100000"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77C75-F5AC-49C5-8E4F-0D75331F47C9}">
  <sheetPr codeName="Sheet5"/>
  <dimension ref="A1:J22"/>
  <sheetViews>
    <sheetView workbookViewId="0"/>
  </sheetViews>
  <sheetFormatPr defaultRowHeight="14.7" x14ac:dyDescent="0.3"/>
  <cols>
    <col min="1" max="1" width="10.33203125" customWidth="1"/>
    <col min="2" max="2" width="12.44140625" customWidth="1"/>
    <col min="3" max="3" width="12.21875" customWidth="1"/>
    <col min="4" max="4" width="14" customWidth="1"/>
    <col min="5" max="5" width="9.88671875" customWidth="1"/>
    <col min="6" max="6" width="10.21875" customWidth="1"/>
    <col min="9" max="9" width="10.44140625" customWidth="1"/>
    <col min="10" max="10" width="10.77734375" customWidth="1"/>
  </cols>
  <sheetData>
    <row r="1" spans="1:10" x14ac:dyDescent="0.3">
      <c r="A1" t="s">
        <v>11</v>
      </c>
      <c r="B1" t="s">
        <v>12</v>
      </c>
      <c r="C1" t="s">
        <v>0</v>
      </c>
      <c r="D1" t="s">
        <v>5</v>
      </c>
      <c r="E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</row>
    <row r="2" spans="1:10" x14ac:dyDescent="0.3">
      <c r="A2">
        <v>1</v>
      </c>
      <c r="B2" s="3">
        <v>46023</v>
      </c>
      <c r="C2">
        <v>10</v>
      </c>
      <c r="D2">
        <v>12</v>
      </c>
      <c r="E2">
        <v>8</v>
      </c>
      <c r="F2">
        <v>3832509</v>
      </c>
      <c r="G2" t="s">
        <v>623</v>
      </c>
      <c r="H2" t="s">
        <v>624</v>
      </c>
      <c r="I2" t="s">
        <v>625</v>
      </c>
      <c r="J2" s="2">
        <v>46081.593807870369</v>
      </c>
    </row>
    <row r="3" spans="1:10" x14ac:dyDescent="0.3">
      <c r="A3">
        <v>2</v>
      </c>
      <c r="B3" s="3">
        <v>46023</v>
      </c>
      <c r="C3">
        <v>11</v>
      </c>
      <c r="D3">
        <v>12</v>
      </c>
      <c r="E3">
        <v>9</v>
      </c>
      <c r="F3">
        <v>484700</v>
      </c>
      <c r="G3" t="s">
        <v>623</v>
      </c>
      <c r="H3" t="s">
        <v>624</v>
      </c>
      <c r="I3" t="s">
        <v>625</v>
      </c>
      <c r="J3" s="2">
        <v>46081.595196759263</v>
      </c>
    </row>
    <row r="4" spans="1:10" x14ac:dyDescent="0.3">
      <c r="A4">
        <v>3</v>
      </c>
      <c r="B4" s="3">
        <v>46053</v>
      </c>
      <c r="C4">
        <v>12</v>
      </c>
      <c r="D4">
        <v>12</v>
      </c>
      <c r="E4">
        <v>9</v>
      </c>
      <c r="F4">
        <v>44000</v>
      </c>
      <c r="G4" t="s">
        <v>28</v>
      </c>
      <c r="I4" t="s">
        <v>625</v>
      </c>
      <c r="J4" s="2">
        <v>46081.596296296295</v>
      </c>
    </row>
    <row r="5" spans="1:10" x14ac:dyDescent="0.3">
      <c r="A5">
        <v>4</v>
      </c>
      <c r="B5" s="3">
        <v>46053</v>
      </c>
      <c r="C5">
        <v>13</v>
      </c>
      <c r="D5">
        <v>13</v>
      </c>
      <c r="E5">
        <v>10</v>
      </c>
      <c r="F5">
        <v>520000</v>
      </c>
      <c r="G5" t="s">
        <v>623</v>
      </c>
      <c r="I5" t="s">
        <v>625</v>
      </c>
      <c r="J5" s="2">
        <v>46081.603773148148</v>
      </c>
    </row>
    <row r="6" spans="1:10" x14ac:dyDescent="0.3">
      <c r="A6">
        <v>5</v>
      </c>
      <c r="B6" s="3">
        <v>46053</v>
      </c>
      <c r="C6">
        <v>14</v>
      </c>
      <c r="D6">
        <v>13</v>
      </c>
      <c r="E6">
        <v>10</v>
      </c>
      <c r="F6">
        <v>28460</v>
      </c>
      <c r="G6" t="s">
        <v>623</v>
      </c>
      <c r="I6" t="s">
        <v>625</v>
      </c>
      <c r="J6" s="2">
        <v>46081.605578703704</v>
      </c>
    </row>
    <row r="7" spans="1:10" x14ac:dyDescent="0.3">
      <c r="A7">
        <v>6</v>
      </c>
      <c r="B7" s="3">
        <v>46078</v>
      </c>
      <c r="C7">
        <v>15</v>
      </c>
      <c r="D7">
        <v>14</v>
      </c>
      <c r="E7">
        <v>11</v>
      </c>
      <c r="F7">
        <v>450</v>
      </c>
      <c r="G7" t="s">
        <v>28</v>
      </c>
      <c r="I7" t="s">
        <v>625</v>
      </c>
      <c r="J7" s="2">
        <v>46081.606724537036</v>
      </c>
    </row>
    <row r="8" spans="1:10" x14ac:dyDescent="0.3">
      <c r="A8">
        <v>7</v>
      </c>
      <c r="B8" s="3">
        <v>46078</v>
      </c>
      <c r="C8">
        <v>16</v>
      </c>
      <c r="D8">
        <v>1</v>
      </c>
      <c r="E8">
        <v>1</v>
      </c>
      <c r="F8">
        <v>155738.41</v>
      </c>
      <c r="G8" t="s">
        <v>28</v>
      </c>
      <c r="I8" t="s">
        <v>625</v>
      </c>
      <c r="J8" s="2">
        <v>46081.607685185183</v>
      </c>
    </row>
    <row r="9" spans="1:10" x14ac:dyDescent="0.3">
      <c r="A9">
        <v>8</v>
      </c>
      <c r="B9" s="3">
        <v>46078</v>
      </c>
      <c r="C9">
        <v>15</v>
      </c>
      <c r="D9">
        <v>15</v>
      </c>
      <c r="E9">
        <v>11</v>
      </c>
      <c r="F9">
        <v>64</v>
      </c>
      <c r="G9" t="s">
        <v>28</v>
      </c>
      <c r="I9" t="s">
        <v>625</v>
      </c>
      <c r="J9" s="2">
        <v>46081.658020833333</v>
      </c>
    </row>
    <row r="10" spans="1:10" x14ac:dyDescent="0.3">
      <c r="A10">
        <v>9</v>
      </c>
      <c r="B10" s="3">
        <v>46078</v>
      </c>
      <c r="C10">
        <v>16</v>
      </c>
      <c r="D10">
        <v>5</v>
      </c>
      <c r="E10">
        <v>12</v>
      </c>
      <c r="F10">
        <v>88.88</v>
      </c>
      <c r="G10" t="s">
        <v>28</v>
      </c>
      <c r="H10" t="s">
        <v>645</v>
      </c>
      <c r="I10" t="s">
        <v>625</v>
      </c>
      <c r="J10" s="2">
        <v>46081.658773148149</v>
      </c>
    </row>
    <row r="11" spans="1:10" x14ac:dyDescent="0.3">
      <c r="A11">
        <v>10</v>
      </c>
      <c r="B11" s="3">
        <v>46079</v>
      </c>
      <c r="C11">
        <v>15</v>
      </c>
      <c r="D11">
        <v>15</v>
      </c>
      <c r="E11">
        <v>11</v>
      </c>
      <c r="F11">
        <v>64</v>
      </c>
      <c r="G11" t="s">
        <v>28</v>
      </c>
      <c r="H11" t="s">
        <v>646</v>
      </c>
      <c r="I11" t="s">
        <v>625</v>
      </c>
      <c r="J11" s="2">
        <v>46081.660231481481</v>
      </c>
    </row>
    <row r="12" spans="1:10" x14ac:dyDescent="0.3">
      <c r="A12">
        <v>11</v>
      </c>
      <c r="B12" s="3">
        <v>46079</v>
      </c>
      <c r="C12">
        <v>12</v>
      </c>
      <c r="D12">
        <v>12</v>
      </c>
      <c r="E12">
        <v>9</v>
      </c>
      <c r="F12">
        <v>700</v>
      </c>
      <c r="G12" t="s">
        <v>28</v>
      </c>
      <c r="I12" t="s">
        <v>625</v>
      </c>
      <c r="J12" s="2">
        <v>46081.66128472222</v>
      </c>
    </row>
    <row r="13" spans="1:10" x14ac:dyDescent="0.3">
      <c r="A13">
        <v>12</v>
      </c>
      <c r="B13" s="3">
        <v>46079</v>
      </c>
      <c r="C13">
        <v>12</v>
      </c>
      <c r="D13">
        <v>5</v>
      </c>
      <c r="E13">
        <v>13</v>
      </c>
      <c r="F13">
        <v>16</v>
      </c>
      <c r="G13" t="s">
        <v>28</v>
      </c>
      <c r="H13" t="s">
        <v>648</v>
      </c>
      <c r="I13" t="s">
        <v>625</v>
      </c>
      <c r="J13" s="2">
        <v>46081.662094907406</v>
      </c>
    </row>
    <row r="14" spans="1:10" x14ac:dyDescent="0.3">
      <c r="A14">
        <v>13</v>
      </c>
      <c r="B14" s="3">
        <v>46079</v>
      </c>
      <c r="C14">
        <v>12</v>
      </c>
      <c r="D14">
        <v>16</v>
      </c>
      <c r="E14">
        <v>14</v>
      </c>
      <c r="F14">
        <v>20000</v>
      </c>
      <c r="G14" t="s">
        <v>28</v>
      </c>
      <c r="H14" t="s">
        <v>651</v>
      </c>
      <c r="I14" t="s">
        <v>625</v>
      </c>
      <c r="J14" s="2">
        <v>46081.663437499999</v>
      </c>
    </row>
    <row r="15" spans="1:10" x14ac:dyDescent="0.3">
      <c r="A15">
        <v>14</v>
      </c>
      <c r="B15" s="3">
        <v>46079</v>
      </c>
      <c r="C15">
        <v>16</v>
      </c>
      <c r="D15">
        <v>16</v>
      </c>
      <c r="E15">
        <v>14</v>
      </c>
      <c r="F15">
        <v>1957.37</v>
      </c>
      <c r="G15" t="s">
        <v>28</v>
      </c>
      <c r="H15" t="s">
        <v>652</v>
      </c>
      <c r="I15" t="s">
        <v>625</v>
      </c>
      <c r="J15" s="2">
        <v>46081.664537037039</v>
      </c>
    </row>
    <row r="16" spans="1:10" x14ac:dyDescent="0.3">
      <c r="A16">
        <v>15</v>
      </c>
      <c r="B16" s="3">
        <v>46079</v>
      </c>
      <c r="C16">
        <v>16</v>
      </c>
      <c r="D16">
        <v>17</v>
      </c>
      <c r="E16">
        <v>9</v>
      </c>
      <c r="F16">
        <v>1042.6300000000001</v>
      </c>
      <c r="G16" t="s">
        <v>28</v>
      </c>
      <c r="H16" t="s">
        <v>654</v>
      </c>
      <c r="I16" t="s">
        <v>625</v>
      </c>
      <c r="J16" s="2">
        <v>46081.670046296298</v>
      </c>
    </row>
    <row r="17" spans="1:10" x14ac:dyDescent="0.3">
      <c r="A17">
        <v>16</v>
      </c>
      <c r="B17" s="3">
        <v>46081</v>
      </c>
      <c r="C17">
        <v>16</v>
      </c>
      <c r="D17">
        <v>18</v>
      </c>
      <c r="E17">
        <v>8</v>
      </c>
      <c r="F17">
        <v>2085.2600000000002</v>
      </c>
      <c r="G17" t="s">
        <v>28</v>
      </c>
      <c r="I17" t="s">
        <v>625</v>
      </c>
      <c r="J17" s="2">
        <v>46081.671400462961</v>
      </c>
    </row>
    <row r="18" spans="1:10" x14ac:dyDescent="0.3">
      <c r="A18">
        <v>17</v>
      </c>
      <c r="B18" s="3">
        <v>46081</v>
      </c>
      <c r="C18">
        <v>12</v>
      </c>
      <c r="D18">
        <v>17</v>
      </c>
      <c r="E18">
        <v>9</v>
      </c>
      <c r="F18">
        <v>2.085</v>
      </c>
      <c r="G18" t="s">
        <v>28</v>
      </c>
      <c r="H18" t="s">
        <v>656</v>
      </c>
      <c r="I18" t="s">
        <v>625</v>
      </c>
      <c r="J18" s="2">
        <v>46081.672384259262</v>
      </c>
    </row>
    <row r="19" spans="1:10" x14ac:dyDescent="0.3">
      <c r="A19">
        <v>18</v>
      </c>
      <c r="B19" s="3">
        <v>46081</v>
      </c>
      <c r="C19">
        <v>12</v>
      </c>
      <c r="D19">
        <v>17</v>
      </c>
      <c r="E19">
        <v>9</v>
      </c>
      <c r="F19">
        <v>2083.17</v>
      </c>
      <c r="G19" t="s">
        <v>28</v>
      </c>
      <c r="H19" t="s">
        <v>656</v>
      </c>
      <c r="I19" t="s">
        <v>625</v>
      </c>
      <c r="J19" s="2">
        <v>46081.673495370371</v>
      </c>
    </row>
    <row r="20" spans="1:10" x14ac:dyDescent="0.3">
      <c r="A20">
        <v>19</v>
      </c>
      <c r="B20" s="3">
        <v>46081</v>
      </c>
      <c r="C20">
        <v>12</v>
      </c>
      <c r="D20">
        <v>19</v>
      </c>
      <c r="E20">
        <v>9</v>
      </c>
      <c r="F20">
        <v>1207.26</v>
      </c>
      <c r="G20" t="s">
        <v>28</v>
      </c>
      <c r="H20" t="s">
        <v>657</v>
      </c>
      <c r="I20" t="s">
        <v>625</v>
      </c>
      <c r="J20" s="2">
        <v>46081.679490740738</v>
      </c>
    </row>
    <row r="21" spans="1:10" x14ac:dyDescent="0.3">
      <c r="A21">
        <v>20</v>
      </c>
      <c r="B21" s="3">
        <v>46080</v>
      </c>
      <c r="C21">
        <v>16</v>
      </c>
      <c r="D21">
        <v>20</v>
      </c>
      <c r="E21">
        <v>15</v>
      </c>
      <c r="F21">
        <v>4322</v>
      </c>
      <c r="G21" t="s">
        <v>28</v>
      </c>
      <c r="H21" t="s">
        <v>660</v>
      </c>
      <c r="I21" t="s">
        <v>625</v>
      </c>
      <c r="J21" s="2">
        <v>46081.680937500001</v>
      </c>
    </row>
    <row r="22" spans="1:10" x14ac:dyDescent="0.3">
      <c r="A22">
        <v>21</v>
      </c>
      <c r="B22" s="3">
        <v>46080</v>
      </c>
      <c r="C22">
        <v>16</v>
      </c>
      <c r="D22">
        <v>5</v>
      </c>
      <c r="E22">
        <v>13</v>
      </c>
      <c r="F22">
        <v>207.23</v>
      </c>
      <c r="G22" t="s">
        <v>28</v>
      </c>
      <c r="H22" t="s">
        <v>661</v>
      </c>
      <c r="I22" t="s">
        <v>625</v>
      </c>
      <c r="J22" s="2">
        <v>46081.682002314818</v>
      </c>
    </row>
  </sheetData>
  <sheetProtection algorithmName="SHA-512" hashValue="zIwDTySUFYiVL09+N8HhLR1V25dEUy/x7xknvDxMYokfE61o17/TGHUFhY7a9sIzg2Vao0qZzylgxN5Y6HtecA==" saltValue="zNGQINwd0FIqUdU/Gu6Jfw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4C043-3775-4AD0-80FA-15896757333C}">
  <sheetPr codeName="Sheet6"/>
  <dimension ref="A1:F2"/>
  <sheetViews>
    <sheetView workbookViewId="0"/>
  </sheetViews>
  <sheetFormatPr defaultRowHeight="14.7" x14ac:dyDescent="0.3"/>
  <cols>
    <col min="1" max="1" width="11.77734375" customWidth="1"/>
    <col min="2" max="2" width="13.21875" customWidth="1"/>
    <col min="3" max="3" width="14" customWidth="1"/>
    <col min="4" max="4" width="16.77734375" customWidth="1"/>
    <col min="5" max="5" width="10.44140625" customWidth="1"/>
    <col min="6" max="6" width="10.77734375" customWidth="1"/>
  </cols>
  <sheetData>
    <row r="1" spans="1:6" x14ac:dyDescent="0.3">
      <c r="A1" t="s">
        <v>18</v>
      </c>
      <c r="B1" t="s">
        <v>19</v>
      </c>
      <c r="C1" t="s">
        <v>5</v>
      </c>
      <c r="D1" t="s">
        <v>20</v>
      </c>
      <c r="E1" t="s">
        <v>16</v>
      </c>
      <c r="F1" t="s">
        <v>17</v>
      </c>
    </row>
    <row r="2" spans="1:6" x14ac:dyDescent="0.3">
      <c r="F2" s="2"/>
    </row>
  </sheetData>
  <sheetProtection algorithmName="SHA-512" hashValue="W2h2HoAbALEJouCp4UhUYzMwrYYz27rNZvqsS6uaDPQq7msWHQKREN+aalkqP8pnUjPx0dZilPhTHDfumpfxjg==" saltValue="+RK+wup7YYtGVxda9nBlPg==" spinCount="100000" sheet="1" objects="1" scenarios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114A7-AC10-474D-989D-71E1B0AD9A65}">
  <sheetPr codeName="Sheet7"/>
  <dimension ref="A1:M63"/>
  <sheetViews>
    <sheetView workbookViewId="0"/>
  </sheetViews>
  <sheetFormatPr defaultRowHeight="14.7" x14ac:dyDescent="0.3"/>
  <cols>
    <col min="1" max="1" width="11.77734375" customWidth="1"/>
    <col min="3" max="3" width="13" customWidth="1"/>
  </cols>
  <sheetData>
    <row r="1" spans="1:13" x14ac:dyDescent="0.3">
      <c r="A1" t="s">
        <v>21</v>
      </c>
      <c r="B1" t="s">
        <v>22</v>
      </c>
      <c r="C1" t="s">
        <v>23</v>
      </c>
      <c r="E1" t="s">
        <v>72</v>
      </c>
      <c r="F1" t="s">
        <v>71</v>
      </c>
      <c r="G1" t="s">
        <v>73</v>
      </c>
      <c r="H1" t="s">
        <v>74</v>
      </c>
      <c r="I1" t="s">
        <v>89</v>
      </c>
      <c r="J1" t="s">
        <v>90</v>
      </c>
      <c r="K1" t="s">
        <v>134</v>
      </c>
      <c r="L1" t="s">
        <v>143</v>
      </c>
      <c r="M1" t="s">
        <v>144</v>
      </c>
    </row>
    <row r="2" spans="1:13" x14ac:dyDescent="0.3">
      <c r="A2" t="s">
        <v>24</v>
      </c>
      <c r="B2">
        <v>16</v>
      </c>
      <c r="C2" t="s">
        <v>25</v>
      </c>
      <c r="E2" t="s">
        <v>75</v>
      </c>
      <c r="F2" t="s">
        <v>91</v>
      </c>
      <c r="G2" t="s">
        <v>92</v>
      </c>
      <c r="H2" t="s">
        <v>93</v>
      </c>
      <c r="I2" t="s">
        <v>94</v>
      </c>
      <c r="J2" t="s">
        <v>95</v>
      </c>
      <c r="K2" t="s">
        <v>145</v>
      </c>
      <c r="L2" t="s">
        <v>146</v>
      </c>
      <c r="M2" t="s">
        <v>147</v>
      </c>
    </row>
    <row r="3" spans="1:13" x14ac:dyDescent="0.3">
      <c r="A3" t="s">
        <v>43</v>
      </c>
      <c r="B3">
        <v>20</v>
      </c>
      <c r="C3" t="s">
        <v>44</v>
      </c>
      <c r="E3" t="s">
        <v>76</v>
      </c>
      <c r="F3" t="s">
        <v>162</v>
      </c>
      <c r="G3" t="s">
        <v>163</v>
      </c>
      <c r="H3" t="s">
        <v>164</v>
      </c>
      <c r="I3" t="s">
        <v>162</v>
      </c>
      <c r="J3" t="s">
        <v>165</v>
      </c>
      <c r="K3" t="s">
        <v>166</v>
      </c>
      <c r="L3" t="s">
        <v>167</v>
      </c>
      <c r="M3" t="s">
        <v>163</v>
      </c>
    </row>
    <row r="4" spans="1:13" x14ac:dyDescent="0.3">
      <c r="A4" t="s">
        <v>58</v>
      </c>
      <c r="B4">
        <v>15</v>
      </c>
      <c r="C4" t="s">
        <v>59</v>
      </c>
      <c r="E4" t="s">
        <v>96</v>
      </c>
      <c r="F4" t="s">
        <v>77</v>
      </c>
      <c r="G4" t="s">
        <v>78</v>
      </c>
      <c r="H4" t="s">
        <v>79</v>
      </c>
      <c r="I4" t="s">
        <v>97</v>
      </c>
      <c r="J4" t="s">
        <v>98</v>
      </c>
      <c r="K4" t="s">
        <v>135</v>
      </c>
      <c r="L4" t="s">
        <v>148</v>
      </c>
      <c r="M4" t="s">
        <v>149</v>
      </c>
    </row>
    <row r="5" spans="1:13" x14ac:dyDescent="0.3">
      <c r="A5" t="s">
        <v>621</v>
      </c>
      <c r="B5">
        <v>21</v>
      </c>
      <c r="C5" t="s">
        <v>622</v>
      </c>
      <c r="E5" t="s">
        <v>99</v>
      </c>
      <c r="F5" t="s">
        <v>505</v>
      </c>
      <c r="G5" t="s">
        <v>506</v>
      </c>
      <c r="H5" t="s">
        <v>507</v>
      </c>
      <c r="I5" t="s">
        <v>508</v>
      </c>
      <c r="J5" t="s">
        <v>509</v>
      </c>
      <c r="K5" t="s">
        <v>510</v>
      </c>
      <c r="L5" t="s">
        <v>511</v>
      </c>
      <c r="M5" t="s">
        <v>512</v>
      </c>
    </row>
    <row r="6" spans="1:13" x14ac:dyDescent="0.3">
      <c r="A6" t="s">
        <v>603</v>
      </c>
      <c r="B6" t="s">
        <v>28</v>
      </c>
      <c r="C6" t="s">
        <v>604</v>
      </c>
      <c r="E6" t="s">
        <v>100</v>
      </c>
      <c r="F6" t="s">
        <v>80</v>
      </c>
      <c r="G6" t="s">
        <v>81</v>
      </c>
      <c r="H6" t="s">
        <v>82</v>
      </c>
      <c r="I6" t="s">
        <v>101</v>
      </c>
      <c r="J6" t="s">
        <v>102</v>
      </c>
      <c r="K6" t="s">
        <v>136</v>
      </c>
      <c r="L6" t="s">
        <v>81</v>
      </c>
      <c r="M6" t="s">
        <v>81</v>
      </c>
    </row>
    <row r="7" spans="1:13" x14ac:dyDescent="0.3">
      <c r="A7" t="s">
        <v>605</v>
      </c>
      <c r="B7" t="s">
        <v>606</v>
      </c>
      <c r="C7" t="s">
        <v>604</v>
      </c>
      <c r="E7" t="s">
        <v>103</v>
      </c>
      <c r="F7" t="s">
        <v>104</v>
      </c>
      <c r="G7" t="s">
        <v>105</v>
      </c>
      <c r="H7" t="s">
        <v>106</v>
      </c>
      <c r="I7" t="s">
        <v>107</v>
      </c>
      <c r="J7" t="s">
        <v>108</v>
      </c>
      <c r="K7" t="s">
        <v>137</v>
      </c>
      <c r="L7" t="s">
        <v>150</v>
      </c>
      <c r="M7" t="s">
        <v>151</v>
      </c>
    </row>
    <row r="8" spans="1:13" x14ac:dyDescent="0.3">
      <c r="A8" t="s">
        <v>610</v>
      </c>
      <c r="B8" t="s">
        <v>626</v>
      </c>
      <c r="C8" t="s">
        <v>604</v>
      </c>
      <c r="E8" t="s">
        <v>109</v>
      </c>
      <c r="F8" t="s">
        <v>83</v>
      </c>
      <c r="G8" t="s">
        <v>84</v>
      </c>
      <c r="H8" t="s">
        <v>85</v>
      </c>
      <c r="I8" t="s">
        <v>110</v>
      </c>
      <c r="J8" t="s">
        <v>111</v>
      </c>
      <c r="K8" t="s">
        <v>138</v>
      </c>
      <c r="L8" t="s">
        <v>152</v>
      </c>
      <c r="M8" t="s">
        <v>153</v>
      </c>
    </row>
    <row r="9" spans="1:13" x14ac:dyDescent="0.3">
      <c r="A9" t="s">
        <v>611</v>
      </c>
      <c r="B9" t="s">
        <v>28</v>
      </c>
      <c r="C9" t="s">
        <v>604</v>
      </c>
      <c r="E9" t="s">
        <v>112</v>
      </c>
      <c r="F9" t="s">
        <v>128</v>
      </c>
      <c r="G9" t="s">
        <v>113</v>
      </c>
      <c r="H9" t="s">
        <v>114</v>
      </c>
      <c r="I9" t="s">
        <v>115</v>
      </c>
      <c r="J9" t="s">
        <v>116</v>
      </c>
      <c r="K9" t="s">
        <v>139</v>
      </c>
      <c r="L9" t="s">
        <v>154</v>
      </c>
      <c r="M9" t="s">
        <v>155</v>
      </c>
    </row>
    <row r="10" spans="1:13" x14ac:dyDescent="0.3">
      <c r="A10" t="s">
        <v>641</v>
      </c>
      <c r="B10">
        <v>2026</v>
      </c>
      <c r="C10" t="s">
        <v>604</v>
      </c>
      <c r="E10" t="s">
        <v>117</v>
      </c>
      <c r="F10" t="s">
        <v>86</v>
      </c>
      <c r="G10" t="s">
        <v>87</v>
      </c>
      <c r="H10" t="s">
        <v>88</v>
      </c>
      <c r="I10" t="s">
        <v>118</v>
      </c>
      <c r="J10" t="s">
        <v>119</v>
      </c>
      <c r="K10" t="s">
        <v>140</v>
      </c>
      <c r="L10" t="s">
        <v>156</v>
      </c>
      <c r="M10" t="s">
        <v>157</v>
      </c>
    </row>
    <row r="11" spans="1:13" x14ac:dyDescent="0.3">
      <c r="A11" t="s">
        <v>642</v>
      </c>
      <c r="B11">
        <v>0</v>
      </c>
      <c r="C11" t="s">
        <v>604</v>
      </c>
      <c r="E11" t="s">
        <v>120</v>
      </c>
      <c r="F11" t="s">
        <v>121</v>
      </c>
      <c r="G11" t="s">
        <v>122</v>
      </c>
      <c r="H11" t="s">
        <v>123</v>
      </c>
      <c r="I11" t="s">
        <v>124</v>
      </c>
      <c r="J11" t="s">
        <v>125</v>
      </c>
      <c r="K11" t="s">
        <v>141</v>
      </c>
      <c r="L11" t="s">
        <v>158</v>
      </c>
      <c r="M11" t="s">
        <v>159</v>
      </c>
    </row>
    <row r="12" spans="1:13" x14ac:dyDescent="0.3">
      <c r="A12" t="s">
        <v>608</v>
      </c>
      <c r="B12" t="s">
        <v>28</v>
      </c>
      <c r="C12" t="s">
        <v>604</v>
      </c>
      <c r="E12" t="s">
        <v>126</v>
      </c>
      <c r="F12" t="s">
        <v>513</v>
      </c>
      <c r="G12" t="s">
        <v>514</v>
      </c>
      <c r="H12" t="s">
        <v>515</v>
      </c>
      <c r="I12" t="s">
        <v>516</v>
      </c>
      <c r="J12" t="s">
        <v>517</v>
      </c>
      <c r="K12" t="s">
        <v>518</v>
      </c>
      <c r="L12" t="s">
        <v>519</v>
      </c>
      <c r="M12" t="s">
        <v>520</v>
      </c>
    </row>
    <row r="13" spans="1:13" x14ac:dyDescent="0.3">
      <c r="A13" t="s">
        <v>609</v>
      </c>
      <c r="B13" t="s">
        <v>606</v>
      </c>
      <c r="C13" t="s">
        <v>604</v>
      </c>
      <c r="E13" t="s">
        <v>127</v>
      </c>
      <c r="F13" t="s">
        <v>129</v>
      </c>
      <c r="G13" t="s">
        <v>130</v>
      </c>
      <c r="H13" t="s">
        <v>131</v>
      </c>
      <c r="I13" t="s">
        <v>132</v>
      </c>
      <c r="J13" t="s">
        <v>133</v>
      </c>
      <c r="K13" t="s">
        <v>142</v>
      </c>
      <c r="L13" t="s">
        <v>160</v>
      </c>
      <c r="M13" t="s">
        <v>161</v>
      </c>
    </row>
    <row r="14" spans="1:13" x14ac:dyDescent="0.3">
      <c r="E14" t="s">
        <v>256</v>
      </c>
      <c r="F14" t="s">
        <v>257</v>
      </c>
      <c r="G14" t="s">
        <v>258</v>
      </c>
      <c r="H14" t="s">
        <v>259</v>
      </c>
      <c r="I14" t="s">
        <v>260</v>
      </c>
      <c r="J14" t="s">
        <v>261</v>
      </c>
      <c r="K14" t="s">
        <v>262</v>
      </c>
      <c r="L14" t="s">
        <v>263</v>
      </c>
      <c r="M14" t="s">
        <v>264</v>
      </c>
    </row>
    <row r="15" spans="1:13" x14ac:dyDescent="0.3">
      <c r="E15" t="s">
        <v>265</v>
      </c>
      <c r="F15" t="s">
        <v>266</v>
      </c>
      <c r="G15" t="s">
        <v>267</v>
      </c>
      <c r="H15" t="s">
        <v>268</v>
      </c>
      <c r="I15" t="s">
        <v>269</v>
      </c>
      <c r="J15" t="s">
        <v>270</v>
      </c>
      <c r="K15" t="s">
        <v>271</v>
      </c>
      <c r="L15" t="s">
        <v>272</v>
      </c>
      <c r="M15" t="s">
        <v>273</v>
      </c>
    </row>
    <row r="16" spans="1:13" x14ac:dyDescent="0.3">
      <c r="E16" t="s">
        <v>274</v>
      </c>
      <c r="F16" t="s">
        <v>275</v>
      </c>
      <c r="G16" t="s">
        <v>276</v>
      </c>
      <c r="H16" t="s">
        <v>277</v>
      </c>
      <c r="I16" t="s">
        <v>278</v>
      </c>
      <c r="J16" t="s">
        <v>279</v>
      </c>
      <c r="K16" t="s">
        <v>280</v>
      </c>
      <c r="L16" t="s">
        <v>281</v>
      </c>
      <c r="M16" t="s">
        <v>282</v>
      </c>
    </row>
    <row r="17" spans="5:13" x14ac:dyDescent="0.3">
      <c r="E17" t="s">
        <v>283</v>
      </c>
      <c r="F17" t="s">
        <v>284</v>
      </c>
      <c r="G17" t="s">
        <v>285</v>
      </c>
      <c r="H17" t="s">
        <v>286</v>
      </c>
      <c r="I17" t="s">
        <v>287</v>
      </c>
      <c r="J17" t="s">
        <v>288</v>
      </c>
      <c r="K17" t="s">
        <v>289</v>
      </c>
      <c r="L17" t="s">
        <v>290</v>
      </c>
      <c r="M17" t="s">
        <v>291</v>
      </c>
    </row>
    <row r="18" spans="5:13" x14ac:dyDescent="0.3">
      <c r="E18" t="s">
        <v>292</v>
      </c>
      <c r="F18" t="s">
        <v>293</v>
      </c>
      <c r="G18" t="s">
        <v>294</v>
      </c>
      <c r="H18" t="s">
        <v>295</v>
      </c>
      <c r="I18" t="s">
        <v>296</v>
      </c>
      <c r="J18" t="s">
        <v>297</v>
      </c>
      <c r="K18" t="s">
        <v>298</v>
      </c>
      <c r="L18" t="s">
        <v>299</v>
      </c>
      <c r="M18" t="s">
        <v>300</v>
      </c>
    </row>
    <row r="19" spans="5:13" x14ac:dyDescent="0.3">
      <c r="E19" t="s">
        <v>301</v>
      </c>
      <c r="F19" t="s">
        <v>453</v>
      </c>
      <c r="G19" t="s">
        <v>454</v>
      </c>
      <c r="H19" t="s">
        <v>455</v>
      </c>
      <c r="I19" t="s">
        <v>455</v>
      </c>
      <c r="J19" t="s">
        <v>456</v>
      </c>
      <c r="K19" t="s">
        <v>455</v>
      </c>
      <c r="L19" t="s">
        <v>455</v>
      </c>
      <c r="M19" t="s">
        <v>455</v>
      </c>
    </row>
    <row r="20" spans="5:13" x14ac:dyDescent="0.3">
      <c r="E20" t="s">
        <v>180</v>
      </c>
      <c r="F20" t="s">
        <v>14</v>
      </c>
      <c r="G20" t="s">
        <v>339</v>
      </c>
      <c r="H20" t="s">
        <v>340</v>
      </c>
      <c r="I20" t="s">
        <v>341</v>
      </c>
      <c r="J20" t="s">
        <v>342</v>
      </c>
      <c r="K20" t="s">
        <v>343</v>
      </c>
      <c r="L20" t="s">
        <v>343</v>
      </c>
      <c r="M20" t="s">
        <v>343</v>
      </c>
    </row>
    <row r="21" spans="5:13" x14ac:dyDescent="0.3">
      <c r="E21" t="s">
        <v>323</v>
      </c>
      <c r="F21" t="s">
        <v>324</v>
      </c>
      <c r="G21" t="s">
        <v>325</v>
      </c>
      <c r="H21" t="s">
        <v>326</v>
      </c>
      <c r="I21" t="s">
        <v>327</v>
      </c>
      <c r="J21" t="s">
        <v>328</v>
      </c>
      <c r="K21" t="s">
        <v>329</v>
      </c>
      <c r="L21" t="s">
        <v>330</v>
      </c>
      <c r="M21" t="s">
        <v>331</v>
      </c>
    </row>
    <row r="22" spans="5:13" x14ac:dyDescent="0.3">
      <c r="E22" t="s">
        <v>183</v>
      </c>
      <c r="F22" t="s">
        <v>457</v>
      </c>
      <c r="G22" t="s">
        <v>458</v>
      </c>
      <c r="H22" t="s">
        <v>459</v>
      </c>
      <c r="I22" t="s">
        <v>460</v>
      </c>
      <c r="J22" t="s">
        <v>344</v>
      </c>
      <c r="K22" t="s">
        <v>345</v>
      </c>
      <c r="L22" t="s">
        <v>346</v>
      </c>
      <c r="M22" t="s">
        <v>347</v>
      </c>
    </row>
    <row r="23" spans="5:13" x14ac:dyDescent="0.3">
      <c r="E23" t="s">
        <v>172</v>
      </c>
      <c r="F23" t="s">
        <v>168</v>
      </c>
      <c r="G23" t="s">
        <v>302</v>
      </c>
      <c r="H23" t="s">
        <v>303</v>
      </c>
      <c r="I23" t="s">
        <v>304</v>
      </c>
      <c r="J23" t="s">
        <v>305</v>
      </c>
      <c r="K23" t="s">
        <v>306</v>
      </c>
      <c r="L23" t="s">
        <v>307</v>
      </c>
      <c r="M23" t="s">
        <v>308</v>
      </c>
    </row>
    <row r="24" spans="5:13" x14ac:dyDescent="0.3">
      <c r="E24" t="s">
        <v>173</v>
      </c>
      <c r="F24" t="s">
        <v>169</v>
      </c>
      <c r="G24" t="s">
        <v>309</v>
      </c>
      <c r="H24" t="s">
        <v>310</v>
      </c>
      <c r="I24" t="s">
        <v>311</v>
      </c>
      <c r="J24" t="s">
        <v>312</v>
      </c>
      <c r="K24" t="s">
        <v>313</v>
      </c>
      <c r="L24" t="s">
        <v>314</v>
      </c>
      <c r="M24" t="s">
        <v>315</v>
      </c>
    </row>
    <row r="25" spans="5:13" x14ac:dyDescent="0.3">
      <c r="E25" t="s">
        <v>174</v>
      </c>
      <c r="F25" t="s">
        <v>170</v>
      </c>
      <c r="G25" t="s">
        <v>316</v>
      </c>
      <c r="H25" t="s">
        <v>317</v>
      </c>
      <c r="I25" t="s">
        <v>318</v>
      </c>
      <c r="J25" t="s">
        <v>319</v>
      </c>
      <c r="K25" t="s">
        <v>320</v>
      </c>
      <c r="L25" t="s">
        <v>321</v>
      </c>
      <c r="M25" t="s">
        <v>322</v>
      </c>
    </row>
    <row r="26" spans="5:13" x14ac:dyDescent="0.3">
      <c r="E26" t="s">
        <v>181</v>
      </c>
      <c r="F26" t="s">
        <v>171</v>
      </c>
      <c r="G26" t="s">
        <v>332</v>
      </c>
      <c r="H26" t="s">
        <v>333</v>
      </c>
      <c r="I26" t="s">
        <v>334</v>
      </c>
      <c r="J26" t="s">
        <v>335</v>
      </c>
      <c r="K26" t="s">
        <v>336</v>
      </c>
      <c r="L26" t="s">
        <v>337</v>
      </c>
      <c r="M26" t="s">
        <v>338</v>
      </c>
    </row>
    <row r="27" spans="5:13" x14ac:dyDescent="0.3">
      <c r="E27" t="s">
        <v>435</v>
      </c>
      <c r="F27" t="s">
        <v>436</v>
      </c>
      <c r="G27" t="s">
        <v>437</v>
      </c>
      <c r="H27" t="s">
        <v>438</v>
      </c>
      <c r="I27" t="s">
        <v>439</v>
      </c>
      <c r="J27" t="s">
        <v>440</v>
      </c>
      <c r="K27" t="s">
        <v>441</v>
      </c>
      <c r="L27" t="s">
        <v>442</v>
      </c>
      <c r="M27" t="s">
        <v>443</v>
      </c>
    </row>
    <row r="28" spans="5:13" x14ac:dyDescent="0.3">
      <c r="E28" t="s">
        <v>444</v>
      </c>
      <c r="F28" t="s">
        <v>445</v>
      </c>
      <c r="G28" t="s">
        <v>446</v>
      </c>
      <c r="H28" t="s">
        <v>447</v>
      </c>
      <c r="I28" t="s">
        <v>448</v>
      </c>
      <c r="J28" t="s">
        <v>449</v>
      </c>
      <c r="K28" t="s">
        <v>450</v>
      </c>
      <c r="L28" t="s">
        <v>451</v>
      </c>
      <c r="M28" t="s">
        <v>452</v>
      </c>
    </row>
    <row r="29" spans="5:13" x14ac:dyDescent="0.3">
      <c r="E29" t="s">
        <v>184</v>
      </c>
      <c r="F29" t="s">
        <v>185</v>
      </c>
      <c r="G29" t="s">
        <v>186</v>
      </c>
      <c r="H29" t="s">
        <v>187</v>
      </c>
      <c r="I29" t="s">
        <v>188</v>
      </c>
      <c r="J29" t="s">
        <v>189</v>
      </c>
      <c r="K29" t="s">
        <v>190</v>
      </c>
      <c r="L29" t="s">
        <v>191</v>
      </c>
      <c r="M29" t="s">
        <v>192</v>
      </c>
    </row>
    <row r="30" spans="5:13" x14ac:dyDescent="0.3">
      <c r="E30" t="s">
        <v>175</v>
      </c>
      <c r="F30" t="s">
        <v>461</v>
      </c>
      <c r="G30" t="s">
        <v>462</v>
      </c>
      <c r="H30" t="s">
        <v>463</v>
      </c>
      <c r="I30" t="s">
        <v>464</v>
      </c>
      <c r="J30" t="s">
        <v>465</v>
      </c>
      <c r="K30" t="s">
        <v>466</v>
      </c>
      <c r="L30" t="s">
        <v>467</v>
      </c>
      <c r="M30" t="s">
        <v>468</v>
      </c>
    </row>
    <row r="31" spans="5:13" x14ac:dyDescent="0.3">
      <c r="E31" t="s">
        <v>176</v>
      </c>
      <c r="F31" t="s">
        <v>469</v>
      </c>
      <c r="G31" t="s">
        <v>470</v>
      </c>
      <c r="H31" t="s">
        <v>471</v>
      </c>
      <c r="I31" t="s">
        <v>472</v>
      </c>
      <c r="J31" t="s">
        <v>473</v>
      </c>
      <c r="K31" t="s">
        <v>474</v>
      </c>
      <c r="L31" t="s">
        <v>475</v>
      </c>
      <c r="M31" t="s">
        <v>473</v>
      </c>
    </row>
    <row r="32" spans="5:13" x14ac:dyDescent="0.3">
      <c r="E32" t="s">
        <v>177</v>
      </c>
      <c r="F32" t="s">
        <v>476</v>
      </c>
      <c r="G32" t="s">
        <v>477</v>
      </c>
      <c r="H32" t="s">
        <v>478</v>
      </c>
      <c r="I32" t="s">
        <v>479</v>
      </c>
      <c r="J32" t="s">
        <v>480</v>
      </c>
      <c r="K32" t="s">
        <v>479</v>
      </c>
      <c r="L32" t="s">
        <v>481</v>
      </c>
      <c r="M32" t="s">
        <v>482</v>
      </c>
    </row>
    <row r="33" spans="5:13" x14ac:dyDescent="0.3">
      <c r="E33" t="s">
        <v>178</v>
      </c>
      <c r="F33" t="s">
        <v>483</v>
      </c>
      <c r="G33" t="s">
        <v>484</v>
      </c>
      <c r="H33" t="s">
        <v>485</v>
      </c>
      <c r="I33" t="s">
        <v>486</v>
      </c>
      <c r="J33" t="s">
        <v>487</v>
      </c>
      <c r="K33" t="s">
        <v>488</v>
      </c>
      <c r="L33" t="s">
        <v>489</v>
      </c>
      <c r="M33" t="s">
        <v>490</v>
      </c>
    </row>
    <row r="34" spans="5:13" x14ac:dyDescent="0.3">
      <c r="E34" t="s">
        <v>179</v>
      </c>
      <c r="F34" t="s">
        <v>491</v>
      </c>
      <c r="G34" t="s">
        <v>492</v>
      </c>
      <c r="H34" t="s">
        <v>493</v>
      </c>
      <c r="I34" t="s">
        <v>494</v>
      </c>
      <c r="J34" t="s">
        <v>495</v>
      </c>
      <c r="K34" t="s">
        <v>496</v>
      </c>
      <c r="L34" t="s">
        <v>497</v>
      </c>
      <c r="M34" t="s">
        <v>498</v>
      </c>
    </row>
    <row r="35" spans="5:13" x14ac:dyDescent="0.3">
      <c r="E35" t="s">
        <v>182</v>
      </c>
      <c r="F35" t="s">
        <v>499</v>
      </c>
      <c r="G35" t="s">
        <v>499</v>
      </c>
      <c r="H35" t="s">
        <v>500</v>
      </c>
      <c r="I35" t="s">
        <v>500</v>
      </c>
      <c r="J35" t="s">
        <v>501</v>
      </c>
      <c r="K35" t="s">
        <v>502</v>
      </c>
      <c r="L35" t="s">
        <v>503</v>
      </c>
      <c r="M35" t="s">
        <v>504</v>
      </c>
    </row>
    <row r="36" spans="5:13" x14ac:dyDescent="0.3">
      <c r="E36" t="s">
        <v>193</v>
      </c>
      <c r="F36" t="s">
        <v>194</v>
      </c>
      <c r="G36" t="s">
        <v>195</v>
      </c>
      <c r="H36" t="s">
        <v>196</v>
      </c>
      <c r="I36" t="s">
        <v>196</v>
      </c>
      <c r="J36" t="s">
        <v>197</v>
      </c>
      <c r="K36" t="s">
        <v>198</v>
      </c>
      <c r="L36" t="s">
        <v>199</v>
      </c>
      <c r="M36" t="s">
        <v>200</v>
      </c>
    </row>
    <row r="37" spans="5:13" x14ac:dyDescent="0.3">
      <c r="E37" t="s">
        <v>201</v>
      </c>
      <c r="F37" t="s">
        <v>202</v>
      </c>
      <c r="G37" t="s">
        <v>203</v>
      </c>
      <c r="H37" t="s">
        <v>204</v>
      </c>
      <c r="I37" t="s">
        <v>205</v>
      </c>
      <c r="J37" t="s">
        <v>206</v>
      </c>
      <c r="K37" t="s">
        <v>207</v>
      </c>
      <c r="L37" t="s">
        <v>208</v>
      </c>
      <c r="M37" t="s">
        <v>209</v>
      </c>
    </row>
    <row r="38" spans="5:13" x14ac:dyDescent="0.3">
      <c r="E38" t="s">
        <v>210</v>
      </c>
      <c r="F38" t="s">
        <v>211</v>
      </c>
      <c r="G38" t="s">
        <v>212</v>
      </c>
      <c r="H38" t="s">
        <v>213</v>
      </c>
      <c r="I38" t="s">
        <v>213</v>
      </c>
      <c r="J38" t="s">
        <v>214</v>
      </c>
      <c r="K38" t="s">
        <v>215</v>
      </c>
      <c r="L38" t="s">
        <v>216</v>
      </c>
      <c r="M38" t="s">
        <v>217</v>
      </c>
    </row>
    <row r="39" spans="5:13" x14ac:dyDescent="0.3">
      <c r="E39" t="s">
        <v>218</v>
      </c>
      <c r="F39" t="s">
        <v>219</v>
      </c>
      <c r="G39" t="s">
        <v>220</v>
      </c>
      <c r="H39" t="s">
        <v>221</v>
      </c>
      <c r="I39" t="s">
        <v>222</v>
      </c>
      <c r="J39" t="s">
        <v>223</v>
      </c>
      <c r="K39" t="s">
        <v>224</v>
      </c>
      <c r="L39" t="s">
        <v>225</v>
      </c>
      <c r="M39" t="s">
        <v>226</v>
      </c>
    </row>
    <row r="40" spans="5:13" x14ac:dyDescent="0.3">
      <c r="E40" t="s">
        <v>227</v>
      </c>
      <c r="F40" t="s">
        <v>228</v>
      </c>
      <c r="G40" t="s">
        <v>229</v>
      </c>
      <c r="H40" t="s">
        <v>230</v>
      </c>
      <c r="I40" t="s">
        <v>231</v>
      </c>
      <c r="J40" t="s">
        <v>232</v>
      </c>
      <c r="K40" t="s">
        <v>233</v>
      </c>
      <c r="L40" t="s">
        <v>234</v>
      </c>
      <c r="M40" t="s">
        <v>235</v>
      </c>
    </row>
    <row r="41" spans="5:13" x14ac:dyDescent="0.3">
      <c r="E41" t="s">
        <v>236</v>
      </c>
      <c r="F41" t="s">
        <v>237</v>
      </c>
      <c r="G41" t="s">
        <v>238</v>
      </c>
      <c r="H41" t="s">
        <v>239</v>
      </c>
      <c r="I41" t="s">
        <v>240</v>
      </c>
      <c r="J41" t="s">
        <v>241</v>
      </c>
      <c r="K41" t="s">
        <v>242</v>
      </c>
      <c r="L41" t="s">
        <v>243</v>
      </c>
      <c r="M41" t="s">
        <v>244</v>
      </c>
    </row>
    <row r="42" spans="5:13" x14ac:dyDescent="0.3">
      <c r="E42" t="s">
        <v>245</v>
      </c>
      <c r="F42" t="s">
        <v>521</v>
      </c>
      <c r="G42" t="s">
        <v>522</v>
      </c>
      <c r="H42" t="s">
        <v>523</v>
      </c>
      <c r="I42" t="s">
        <v>524</v>
      </c>
      <c r="J42" t="s">
        <v>525</v>
      </c>
      <c r="K42" t="s">
        <v>526</v>
      </c>
      <c r="L42" t="s">
        <v>527</v>
      </c>
      <c r="M42" t="s">
        <v>528</v>
      </c>
    </row>
    <row r="43" spans="5:13" x14ac:dyDescent="0.3">
      <c r="E43" t="s">
        <v>246</v>
      </c>
      <c r="F43" t="s">
        <v>529</v>
      </c>
      <c r="G43" t="s">
        <v>530</v>
      </c>
      <c r="H43" t="s">
        <v>531</v>
      </c>
      <c r="I43" t="s">
        <v>532</v>
      </c>
      <c r="J43" t="s">
        <v>533</v>
      </c>
      <c r="K43" t="s">
        <v>534</v>
      </c>
      <c r="L43" t="s">
        <v>535</v>
      </c>
      <c r="M43" t="s">
        <v>536</v>
      </c>
    </row>
    <row r="44" spans="5:13" x14ac:dyDescent="0.3">
      <c r="E44" t="s">
        <v>247</v>
      </c>
      <c r="F44" t="s">
        <v>248</v>
      </c>
      <c r="G44" t="s">
        <v>537</v>
      </c>
      <c r="H44" t="s">
        <v>538</v>
      </c>
      <c r="I44" t="s">
        <v>539</v>
      </c>
      <c r="J44" t="s">
        <v>540</v>
      </c>
      <c r="K44" t="s">
        <v>541</v>
      </c>
      <c r="L44" t="s">
        <v>542</v>
      </c>
      <c r="M44" t="s">
        <v>249</v>
      </c>
    </row>
    <row r="45" spans="5:13" x14ac:dyDescent="0.3">
      <c r="E45" t="s">
        <v>250</v>
      </c>
      <c r="F45" t="s">
        <v>543</v>
      </c>
      <c r="G45" t="s">
        <v>544</v>
      </c>
      <c r="H45" t="s">
        <v>545</v>
      </c>
      <c r="I45" t="s">
        <v>546</v>
      </c>
      <c r="J45" t="s">
        <v>547</v>
      </c>
      <c r="K45" t="s">
        <v>548</v>
      </c>
      <c r="L45" t="s">
        <v>549</v>
      </c>
      <c r="M45" t="s">
        <v>550</v>
      </c>
    </row>
    <row r="46" spans="5:13" x14ac:dyDescent="0.3">
      <c r="E46" t="s">
        <v>251</v>
      </c>
      <c r="F46" t="s">
        <v>551</v>
      </c>
      <c r="G46" t="s">
        <v>552</v>
      </c>
      <c r="H46" t="s">
        <v>553</v>
      </c>
      <c r="I46" t="s">
        <v>553</v>
      </c>
      <c r="J46" t="s">
        <v>554</v>
      </c>
      <c r="K46" t="s">
        <v>555</v>
      </c>
      <c r="L46" t="s">
        <v>556</v>
      </c>
      <c r="M46" t="s">
        <v>557</v>
      </c>
    </row>
    <row r="47" spans="5:13" x14ac:dyDescent="0.3">
      <c r="E47" t="s">
        <v>252</v>
      </c>
      <c r="F47" t="s">
        <v>558</v>
      </c>
      <c r="G47" t="s">
        <v>559</v>
      </c>
      <c r="H47" t="s">
        <v>560</v>
      </c>
      <c r="I47" t="s">
        <v>561</v>
      </c>
      <c r="J47" t="s">
        <v>562</v>
      </c>
      <c r="K47" t="s">
        <v>563</v>
      </c>
      <c r="L47" t="s">
        <v>563</v>
      </c>
      <c r="M47" t="s">
        <v>563</v>
      </c>
    </row>
    <row r="48" spans="5:13" x14ac:dyDescent="0.3">
      <c r="E48" t="s">
        <v>253</v>
      </c>
      <c r="F48" t="s">
        <v>564</v>
      </c>
      <c r="G48" t="s">
        <v>564</v>
      </c>
      <c r="H48" t="s">
        <v>565</v>
      </c>
      <c r="I48" t="s">
        <v>565</v>
      </c>
      <c r="J48" t="s">
        <v>566</v>
      </c>
      <c r="K48" t="s">
        <v>567</v>
      </c>
      <c r="L48" t="s">
        <v>568</v>
      </c>
      <c r="M48" t="s">
        <v>569</v>
      </c>
    </row>
    <row r="49" spans="5:13" x14ac:dyDescent="0.3">
      <c r="E49" t="s">
        <v>254</v>
      </c>
      <c r="F49" t="s">
        <v>570</v>
      </c>
      <c r="G49" t="s">
        <v>571</v>
      </c>
      <c r="H49" t="s">
        <v>572</v>
      </c>
      <c r="I49" t="s">
        <v>573</v>
      </c>
      <c r="J49" t="s">
        <v>574</v>
      </c>
      <c r="K49" t="s">
        <v>575</v>
      </c>
      <c r="L49" t="s">
        <v>576</v>
      </c>
      <c r="M49" t="s">
        <v>577</v>
      </c>
    </row>
    <row r="50" spans="5:13" x14ac:dyDescent="0.3">
      <c r="E50" t="s">
        <v>255</v>
      </c>
      <c r="F50" t="s">
        <v>578</v>
      </c>
      <c r="G50" t="s">
        <v>579</v>
      </c>
      <c r="H50" t="s">
        <v>580</v>
      </c>
      <c r="I50" t="s">
        <v>580</v>
      </c>
      <c r="J50" t="s">
        <v>581</v>
      </c>
      <c r="K50" t="s">
        <v>582</v>
      </c>
      <c r="L50" t="s">
        <v>583</v>
      </c>
      <c r="M50" t="s">
        <v>584</v>
      </c>
    </row>
    <row r="51" spans="5:13" x14ac:dyDescent="0.3">
      <c r="E51" t="s">
        <v>349</v>
      </c>
      <c r="F51" t="s">
        <v>83</v>
      </c>
      <c r="G51" t="s">
        <v>84</v>
      </c>
      <c r="H51" t="s">
        <v>85</v>
      </c>
      <c r="I51" t="s">
        <v>110</v>
      </c>
      <c r="J51" t="s">
        <v>111</v>
      </c>
      <c r="K51" t="s">
        <v>138</v>
      </c>
      <c r="L51" t="s">
        <v>152</v>
      </c>
      <c r="M51" t="s">
        <v>153</v>
      </c>
    </row>
    <row r="52" spans="5:13" x14ac:dyDescent="0.3">
      <c r="E52" t="s">
        <v>350</v>
      </c>
      <c r="F52" t="s">
        <v>351</v>
      </c>
      <c r="G52" t="s">
        <v>352</v>
      </c>
      <c r="H52" t="s">
        <v>353</v>
      </c>
      <c r="I52" t="s">
        <v>354</v>
      </c>
      <c r="J52" t="s">
        <v>355</v>
      </c>
      <c r="K52" t="s">
        <v>356</v>
      </c>
      <c r="L52" t="s">
        <v>357</v>
      </c>
      <c r="M52" t="s">
        <v>358</v>
      </c>
    </row>
    <row r="53" spans="5:13" x14ac:dyDescent="0.3">
      <c r="E53" t="s">
        <v>359</v>
      </c>
      <c r="F53" t="s">
        <v>360</v>
      </c>
      <c r="G53" t="s">
        <v>361</v>
      </c>
      <c r="H53" t="s">
        <v>362</v>
      </c>
      <c r="I53" t="s">
        <v>363</v>
      </c>
      <c r="J53" t="s">
        <v>364</v>
      </c>
      <c r="K53" t="s">
        <v>365</v>
      </c>
      <c r="L53" t="s">
        <v>366</v>
      </c>
      <c r="M53" t="s">
        <v>367</v>
      </c>
    </row>
    <row r="54" spans="5:13" x14ac:dyDescent="0.3">
      <c r="E54" t="s">
        <v>368</v>
      </c>
      <c r="F54" t="s">
        <v>369</v>
      </c>
      <c r="G54" t="s">
        <v>370</v>
      </c>
      <c r="H54" t="s">
        <v>371</v>
      </c>
      <c r="I54" t="s">
        <v>372</v>
      </c>
      <c r="J54" t="s">
        <v>373</v>
      </c>
      <c r="K54" t="s">
        <v>374</v>
      </c>
      <c r="L54" t="s">
        <v>375</v>
      </c>
      <c r="M54" t="s">
        <v>376</v>
      </c>
    </row>
    <row r="55" spans="5:13" x14ac:dyDescent="0.3">
      <c r="E55" t="s">
        <v>377</v>
      </c>
      <c r="F55" t="s">
        <v>378</v>
      </c>
      <c r="G55" t="s">
        <v>379</v>
      </c>
      <c r="H55" t="s">
        <v>380</v>
      </c>
      <c r="I55" t="s">
        <v>380</v>
      </c>
      <c r="J55" t="s">
        <v>381</v>
      </c>
      <c r="K55" t="s">
        <v>382</v>
      </c>
      <c r="L55" t="s">
        <v>383</v>
      </c>
      <c r="M55" t="s">
        <v>384</v>
      </c>
    </row>
    <row r="56" spans="5:13" x14ac:dyDescent="0.3">
      <c r="E56" t="s">
        <v>385</v>
      </c>
      <c r="F56" t="s">
        <v>386</v>
      </c>
      <c r="G56" t="s">
        <v>387</v>
      </c>
      <c r="H56" t="s">
        <v>348</v>
      </c>
      <c r="I56" t="s">
        <v>388</v>
      </c>
      <c r="J56" t="s">
        <v>389</v>
      </c>
      <c r="K56" t="s">
        <v>388</v>
      </c>
      <c r="L56" t="s">
        <v>390</v>
      </c>
      <c r="M56" t="s">
        <v>391</v>
      </c>
    </row>
    <row r="57" spans="5:13" x14ac:dyDescent="0.3">
      <c r="E57" t="s">
        <v>392</v>
      </c>
      <c r="F57" t="s">
        <v>393</v>
      </c>
      <c r="G57" t="s">
        <v>394</v>
      </c>
      <c r="H57" t="s">
        <v>395</v>
      </c>
      <c r="I57" t="s">
        <v>396</v>
      </c>
      <c r="J57" t="s">
        <v>397</v>
      </c>
      <c r="K57" t="s">
        <v>398</v>
      </c>
      <c r="L57" t="s">
        <v>399</v>
      </c>
      <c r="M57" t="s">
        <v>400</v>
      </c>
    </row>
    <row r="58" spans="5:13" x14ac:dyDescent="0.3">
      <c r="E58" t="s">
        <v>401</v>
      </c>
      <c r="F58" t="s">
        <v>402</v>
      </c>
      <c r="G58" t="s">
        <v>403</v>
      </c>
      <c r="H58" t="s">
        <v>404</v>
      </c>
      <c r="I58" t="s">
        <v>405</v>
      </c>
      <c r="J58" t="s">
        <v>406</v>
      </c>
      <c r="K58" t="s">
        <v>407</v>
      </c>
      <c r="L58" t="s">
        <v>408</v>
      </c>
      <c r="M58" t="s">
        <v>409</v>
      </c>
    </row>
    <row r="59" spans="5:13" x14ac:dyDescent="0.3">
      <c r="E59" t="s">
        <v>410</v>
      </c>
      <c r="F59" t="s">
        <v>411</v>
      </c>
      <c r="G59" t="s">
        <v>412</v>
      </c>
      <c r="H59" t="s">
        <v>413</v>
      </c>
      <c r="I59" t="s">
        <v>414</v>
      </c>
      <c r="J59" t="s">
        <v>415</v>
      </c>
      <c r="K59" t="s">
        <v>416</v>
      </c>
      <c r="L59" t="s">
        <v>417</v>
      </c>
      <c r="M59" t="s">
        <v>418</v>
      </c>
    </row>
    <row r="60" spans="5:13" x14ac:dyDescent="0.3">
      <c r="E60" t="s">
        <v>419</v>
      </c>
      <c r="F60" t="s">
        <v>420</v>
      </c>
      <c r="G60" t="s">
        <v>421</v>
      </c>
      <c r="H60" t="s">
        <v>422</v>
      </c>
      <c r="I60" t="s">
        <v>422</v>
      </c>
      <c r="J60" t="s">
        <v>423</v>
      </c>
      <c r="K60" t="s">
        <v>422</v>
      </c>
      <c r="L60" t="s">
        <v>424</v>
      </c>
      <c r="M60" t="s">
        <v>425</v>
      </c>
    </row>
    <row r="61" spans="5:13" x14ac:dyDescent="0.3">
      <c r="E61" t="s">
        <v>426</v>
      </c>
      <c r="F61" t="s">
        <v>427</v>
      </c>
      <c r="G61" t="s">
        <v>428</v>
      </c>
      <c r="H61" t="s">
        <v>429</v>
      </c>
      <c r="I61" t="s">
        <v>430</v>
      </c>
      <c r="J61" t="s">
        <v>431</v>
      </c>
      <c r="K61" t="s">
        <v>432</v>
      </c>
      <c r="L61" t="s">
        <v>433</v>
      </c>
      <c r="M61" t="s">
        <v>434</v>
      </c>
    </row>
    <row r="62" spans="5:13" x14ac:dyDescent="0.3">
      <c r="E62" t="s">
        <v>585</v>
      </c>
      <c r="F62" t="s">
        <v>586</v>
      </c>
      <c r="G62" t="s">
        <v>587</v>
      </c>
      <c r="H62" t="s">
        <v>588</v>
      </c>
      <c r="I62" t="s">
        <v>589</v>
      </c>
      <c r="J62" t="s">
        <v>590</v>
      </c>
      <c r="K62" t="s">
        <v>591</v>
      </c>
      <c r="L62" t="s">
        <v>592</v>
      </c>
      <c r="M62" t="s">
        <v>593</v>
      </c>
    </row>
    <row r="63" spans="5:13" x14ac:dyDescent="0.3">
      <c r="E63" t="s">
        <v>594</v>
      </c>
      <c r="F63" t="s">
        <v>595</v>
      </c>
      <c r="G63" t="s">
        <v>596</v>
      </c>
      <c r="H63" t="s">
        <v>597</v>
      </c>
      <c r="I63" t="s">
        <v>598</v>
      </c>
      <c r="J63" t="s">
        <v>599</v>
      </c>
      <c r="K63" t="s">
        <v>600</v>
      </c>
      <c r="L63" t="s">
        <v>601</v>
      </c>
      <c r="M63" t="s">
        <v>602</v>
      </c>
    </row>
  </sheetData>
  <sheetProtection algorithmName="SHA-512" hashValue="TN5GB4pWjPZ7oGQfQyUK4pGzdL6SFEJ+TSgUcowYV7mxNfXBurBzF3NQeOFj5i3VKRu78sJYFgNoOuvNr8kNjQ==" saltValue="5qkWfFXSGdQikJ7rArTjTw==" spinCount="100000" sheet="1" objects="1" scenarios="1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APP_HOME</vt:lpstr>
      <vt:lpstr>NET_WORTH</vt:lpstr>
      <vt:lpstr>DASHBOARD</vt:lpstr>
      <vt:lpstr>BUDGET_ZBB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KIMYA ÉDITION</dc:creator>
  <cp:lastModifiedBy>Keya, Raymond</cp:lastModifiedBy>
  <dcterms:created xsi:type="dcterms:W3CDTF">2026-02-22T06:52:18Z</dcterms:created>
  <dcterms:modified xsi:type="dcterms:W3CDTF">2026-02-28T12:29:07Z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2026-02-22T06:52:25Z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97d02173-a5c4-49c7-824a-b3e9a2688380</vt:lpwstr>
  </property>
  <property fmtid="{D5CDD505-2E9C-101B-9397-08002B2CF9AE}" pid="7" name="MSIP_Label_defa4170-0d19-0005-0004-bc88714345d2_ActionId">
    <vt:lpwstr>0ac522ef-5997-4344-8393-dfa035d636a6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